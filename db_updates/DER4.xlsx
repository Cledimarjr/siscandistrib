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hagas\Downloads\"/>
    </mc:Choice>
  </mc:AlternateContent>
  <xr:revisionPtr revIDLastSave="0" documentId="13_ncr:9_{842D28CC-18D7-4F43-B480-619279EB0BF3}" xr6:coauthVersionLast="47" xr6:coauthVersionMax="47" xr10:uidLastSave="{00000000-0000-0000-0000-000000000000}"/>
  <bookViews>
    <workbookView xWindow="-120" yWindow="-120" windowWidth="29040" windowHeight="15840" xr2:uid="{7DE88E55-35F8-4BD2-9BEF-1F9714E299BE}"/>
  </bookViews>
  <sheets>
    <sheet name="Composiçõ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38" i="1" l="1"/>
  <c r="D5127" i="1"/>
  <c r="D5126" i="1"/>
  <c r="F5120" i="1"/>
  <c r="F5105" i="1"/>
  <c r="F5104" i="1"/>
  <c r="D5093" i="1"/>
  <c r="D5092" i="1"/>
  <c r="F5086" i="1"/>
  <c r="F5071" i="1"/>
  <c r="F5070" i="1"/>
  <c r="D5059" i="1"/>
  <c r="D5058" i="1"/>
  <c r="F5052" i="1"/>
  <c r="F5037" i="1"/>
  <c r="F5036" i="1"/>
  <c r="D5025" i="1"/>
  <c r="D5024" i="1"/>
  <c r="F5018" i="1"/>
  <c r="F5003" i="1"/>
  <c r="F5002" i="1"/>
  <c r="D4991" i="1"/>
  <c r="D4990" i="1"/>
  <c r="F4984" i="1"/>
  <c r="F4969" i="1"/>
  <c r="F4968" i="1"/>
  <c r="D4957" i="1"/>
  <c r="D4956" i="1"/>
  <c r="F4950" i="1"/>
  <c r="F4934" i="1"/>
  <c r="F4933" i="1"/>
  <c r="F4917" i="1"/>
  <c r="F4901" i="1"/>
  <c r="F4900" i="1"/>
  <c r="F4884" i="1"/>
  <c r="F4868" i="1"/>
  <c r="F4867" i="1"/>
  <c r="F4866" i="1"/>
  <c r="F4850" i="1"/>
  <c r="F4834" i="1"/>
  <c r="F4833" i="1"/>
  <c r="F4817" i="1"/>
  <c r="F4802" i="1"/>
  <c r="D4791" i="1"/>
  <c r="D4790" i="1"/>
  <c r="F4784" i="1"/>
  <c r="F4768" i="1"/>
  <c r="F4752" i="1"/>
  <c r="F4736" i="1"/>
  <c r="F4720" i="1"/>
  <c r="F4704" i="1"/>
  <c r="F4688" i="1"/>
  <c r="F4672" i="1"/>
  <c r="F4656" i="1"/>
  <c r="F4640" i="1"/>
  <c r="F4624" i="1"/>
  <c r="F4608" i="1"/>
  <c r="F4592" i="1"/>
  <c r="F4576" i="1"/>
  <c r="F4560" i="1"/>
  <c r="F4545" i="1"/>
  <c r="D4534" i="1"/>
  <c r="D4533" i="1"/>
  <c r="F4527" i="1"/>
  <c r="F4511" i="1"/>
  <c r="F4495" i="1"/>
  <c r="F4479" i="1"/>
  <c r="F4463" i="1"/>
  <c r="F4447" i="1"/>
  <c r="F4431" i="1"/>
  <c r="F4400" i="1"/>
  <c r="F4385" i="1"/>
  <c r="D4374" i="1"/>
  <c r="D4373" i="1"/>
  <c r="F4367" i="1"/>
  <c r="F4352" i="1"/>
  <c r="D4341" i="1"/>
  <c r="D4340" i="1"/>
  <c r="F4334" i="1"/>
  <c r="F4319" i="1"/>
  <c r="D4308" i="1"/>
  <c r="D4307" i="1"/>
  <c r="F4301" i="1"/>
  <c r="F4286" i="1"/>
  <c r="D4275" i="1"/>
  <c r="D4274" i="1"/>
  <c r="F4268" i="1"/>
  <c r="F4252" i="1"/>
  <c r="F4251" i="1"/>
  <c r="F4250" i="1"/>
  <c r="F4249" i="1"/>
  <c r="F4248" i="1"/>
  <c r="F4247" i="1"/>
  <c r="F4246" i="1"/>
  <c r="F4245" i="1"/>
  <c r="F4244" i="1"/>
  <c r="D4232" i="1"/>
  <c r="F4226" i="1"/>
  <c r="F4211" i="1"/>
  <c r="D4200" i="1"/>
  <c r="D4199" i="1"/>
  <c r="F4193" i="1"/>
  <c r="F4178" i="1"/>
  <c r="D4167" i="1"/>
  <c r="D4166" i="1"/>
  <c r="F4160" i="1"/>
  <c r="F4145" i="1"/>
  <c r="D4134" i="1"/>
  <c r="D4133" i="1"/>
  <c r="F4127" i="1"/>
  <c r="F4112" i="1"/>
  <c r="D4101" i="1"/>
  <c r="D4100" i="1"/>
  <c r="F4094" i="1"/>
  <c r="F4079" i="1"/>
  <c r="D4068" i="1"/>
  <c r="D4067" i="1"/>
  <c r="F4061" i="1"/>
  <c r="F4046" i="1"/>
  <c r="D4035" i="1"/>
  <c r="D4034" i="1"/>
  <c r="F4028" i="1"/>
  <c r="F4013" i="1"/>
  <c r="D4002" i="1"/>
  <c r="D4001" i="1"/>
  <c r="F3995" i="1"/>
  <c r="F3980" i="1"/>
  <c r="D3969" i="1"/>
  <c r="D3968" i="1"/>
  <c r="F3962" i="1"/>
  <c r="F3947" i="1"/>
  <c r="D3936" i="1"/>
  <c r="D3935" i="1"/>
  <c r="F3929" i="1"/>
  <c r="F3914" i="1"/>
  <c r="D3903" i="1"/>
  <c r="D3902" i="1"/>
  <c r="F3896" i="1"/>
  <c r="F3881" i="1"/>
  <c r="D3870" i="1"/>
  <c r="D3869" i="1"/>
  <c r="F3863" i="1"/>
  <c r="F3845" i="1"/>
  <c r="F3844" i="1"/>
  <c r="F3843" i="1"/>
  <c r="F3827" i="1"/>
  <c r="F3812" i="1"/>
  <c r="F3811" i="1"/>
  <c r="D3800" i="1"/>
  <c r="F3794" i="1"/>
  <c r="F3763" i="1"/>
  <c r="F3732" i="1"/>
  <c r="F3701" i="1"/>
  <c r="F3670" i="1"/>
  <c r="D3645" i="1"/>
  <c r="D3644" i="1"/>
  <c r="F3638" i="1"/>
  <c r="F3623" i="1"/>
  <c r="F3622" i="1"/>
  <c r="F3621" i="1"/>
  <c r="D3610" i="1"/>
  <c r="D3609" i="1"/>
  <c r="D3608" i="1"/>
  <c r="D3607" i="1"/>
  <c r="F3601" i="1"/>
  <c r="F3570" i="1"/>
  <c r="F3539" i="1"/>
  <c r="D3514" i="1"/>
  <c r="D3513" i="1"/>
  <c r="F3507" i="1"/>
  <c r="F3491" i="1"/>
  <c r="F3490" i="1"/>
  <c r="F3489" i="1"/>
  <c r="F3473" i="1"/>
  <c r="F3457" i="1"/>
  <c r="F3441" i="1"/>
  <c r="F3421" i="1"/>
  <c r="F3405" i="1"/>
  <c r="F3373" i="1"/>
  <c r="F3340" i="1"/>
  <c r="D3311" i="1"/>
  <c r="F3305" i="1"/>
  <c r="F3289" i="1"/>
  <c r="F3288" i="1"/>
  <c r="F3287" i="1"/>
  <c r="D3276" i="1"/>
  <c r="D3275" i="1"/>
  <c r="F3269" i="1"/>
  <c r="F3254" i="1"/>
  <c r="D3243" i="1"/>
  <c r="F3237" i="1"/>
  <c r="F3222" i="1"/>
  <c r="F3221" i="1"/>
  <c r="F3220" i="1"/>
  <c r="D3209" i="1"/>
  <c r="D3208" i="1"/>
  <c r="F3202" i="1"/>
  <c r="F3186" i="1"/>
  <c r="F3185" i="1"/>
  <c r="D3174" i="1"/>
  <c r="D3173" i="1"/>
  <c r="F3167" i="1"/>
  <c r="F3151" i="1"/>
  <c r="F3150" i="1"/>
  <c r="D3139" i="1"/>
  <c r="D3138" i="1"/>
  <c r="F3132" i="1"/>
  <c r="F3116" i="1"/>
  <c r="F3115" i="1"/>
  <c r="D3104" i="1"/>
  <c r="D3103" i="1"/>
  <c r="F3097" i="1"/>
  <c r="F3081" i="1"/>
  <c r="F3080" i="1"/>
  <c r="D3069" i="1"/>
  <c r="D3068" i="1"/>
  <c r="F3062" i="1"/>
  <c r="F3046" i="1"/>
  <c r="F3045" i="1"/>
  <c r="D3034" i="1"/>
  <c r="D3033" i="1"/>
  <c r="F3027" i="1"/>
  <c r="F3011" i="1"/>
  <c r="F3010" i="1"/>
  <c r="D2999" i="1"/>
  <c r="D2998" i="1"/>
  <c r="F2992" i="1"/>
  <c r="F2977" i="1"/>
  <c r="F2976" i="1"/>
  <c r="F2975" i="1"/>
  <c r="F2974" i="1"/>
  <c r="F2973" i="1"/>
  <c r="D2962" i="1"/>
  <c r="D2961" i="1"/>
  <c r="F2955" i="1"/>
  <c r="F2940" i="1"/>
  <c r="F2939" i="1"/>
  <c r="F2938" i="1"/>
  <c r="F2937" i="1"/>
  <c r="F2936" i="1"/>
  <c r="D2925" i="1"/>
  <c r="D2924" i="1"/>
  <c r="F2918" i="1"/>
  <c r="F2887" i="1"/>
  <c r="F2871" i="1"/>
  <c r="F2855" i="1"/>
  <c r="F2839" i="1"/>
  <c r="F2823" i="1"/>
  <c r="F2808" i="1"/>
  <c r="F2807" i="1"/>
  <c r="D2796" i="1"/>
  <c r="D2795" i="1"/>
  <c r="F2789" i="1"/>
  <c r="F2774" i="1"/>
  <c r="F2773" i="1"/>
  <c r="D2762" i="1"/>
  <c r="D2761" i="1"/>
  <c r="F2755" i="1"/>
  <c r="F2739" i="1"/>
  <c r="F2723" i="1"/>
  <c r="F2707" i="1"/>
  <c r="F2691" i="1"/>
  <c r="F2675" i="1"/>
  <c r="F2659" i="1"/>
  <c r="F2640" i="1"/>
  <c r="F2639" i="1"/>
  <c r="F2638" i="1"/>
  <c r="F2622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D2574" i="1"/>
  <c r="D2573" i="1"/>
  <c r="D2572" i="1"/>
  <c r="D2571" i="1"/>
  <c r="D2570" i="1"/>
  <c r="D2569" i="1"/>
  <c r="D2568" i="1"/>
  <c r="D2567" i="1"/>
  <c r="F2561" i="1"/>
  <c r="F2543" i="1"/>
  <c r="F2542" i="1"/>
  <c r="F2541" i="1"/>
  <c r="F2540" i="1"/>
  <c r="D2529" i="1"/>
  <c r="D2528" i="1"/>
  <c r="F2522" i="1"/>
  <c r="F2507" i="1"/>
  <c r="F2506" i="1"/>
  <c r="F2505" i="1"/>
  <c r="F2504" i="1"/>
  <c r="F2503" i="1"/>
  <c r="F2502" i="1"/>
  <c r="D2491" i="1"/>
  <c r="D2490" i="1"/>
  <c r="F2484" i="1"/>
  <c r="F2469" i="1"/>
  <c r="D2458" i="1"/>
  <c r="D2457" i="1"/>
  <c r="F2451" i="1"/>
  <c r="F2436" i="1"/>
  <c r="D2424" i="1"/>
  <c r="D2423" i="1"/>
  <c r="F2417" i="1"/>
  <c r="F2386" i="1"/>
  <c r="F2370" i="1"/>
  <c r="F2369" i="1"/>
  <c r="F2368" i="1"/>
  <c r="F2367" i="1"/>
  <c r="D2356" i="1"/>
  <c r="D2355" i="1"/>
  <c r="F2349" i="1"/>
  <c r="F2334" i="1"/>
  <c r="F2318" i="1"/>
  <c r="F2294" i="1"/>
  <c r="F2293" i="1"/>
  <c r="F2292" i="1"/>
  <c r="F2291" i="1"/>
  <c r="F2290" i="1"/>
  <c r="F2289" i="1"/>
  <c r="F2288" i="1"/>
  <c r="F2287" i="1"/>
  <c r="F2286" i="1"/>
  <c r="F2285" i="1"/>
  <c r="F2269" i="1"/>
  <c r="F2253" i="1"/>
  <c r="F2252" i="1"/>
  <c r="F2236" i="1"/>
  <c r="F2221" i="1"/>
  <c r="F2220" i="1"/>
  <c r="F2219" i="1"/>
  <c r="F2218" i="1"/>
  <c r="D2207" i="1"/>
  <c r="D2206" i="1"/>
  <c r="F2200" i="1"/>
  <c r="F2185" i="1"/>
  <c r="F2184" i="1"/>
  <c r="D2173" i="1"/>
  <c r="D2172" i="1"/>
  <c r="F2166" i="1"/>
  <c r="F2151" i="1"/>
  <c r="F2150" i="1"/>
  <c r="F2149" i="1"/>
  <c r="F2148" i="1"/>
  <c r="D2137" i="1"/>
  <c r="D2136" i="1"/>
  <c r="F2130" i="1"/>
  <c r="F2115" i="1"/>
  <c r="F2114" i="1"/>
  <c r="F2113" i="1"/>
  <c r="D2102" i="1"/>
  <c r="D2101" i="1"/>
  <c r="D2100" i="1"/>
  <c r="D2099" i="1"/>
  <c r="F2093" i="1"/>
  <c r="F2077" i="1"/>
  <c r="F2076" i="1"/>
  <c r="F2060" i="1"/>
  <c r="F2029" i="1"/>
  <c r="F2014" i="1"/>
  <c r="F2013" i="1"/>
  <c r="D2002" i="1"/>
  <c r="D2001" i="1"/>
  <c r="F1995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D1956" i="1"/>
  <c r="D1955" i="1"/>
  <c r="D1954" i="1"/>
  <c r="D1953" i="1"/>
  <c r="D1952" i="1"/>
  <c r="F1946" i="1"/>
  <c r="F1919" i="1"/>
  <c r="F1903" i="1"/>
  <c r="F1888" i="1"/>
  <c r="D1877" i="1"/>
  <c r="D1876" i="1"/>
  <c r="F1870" i="1"/>
  <c r="F1855" i="1"/>
  <c r="D1844" i="1"/>
  <c r="D1843" i="1"/>
  <c r="F1837" i="1"/>
  <c r="F1822" i="1"/>
  <c r="F1821" i="1"/>
  <c r="F1820" i="1"/>
  <c r="F1819" i="1"/>
  <c r="D1808" i="1"/>
  <c r="D1807" i="1"/>
  <c r="F1801" i="1"/>
  <c r="F1786" i="1"/>
  <c r="F1785" i="1"/>
  <c r="F1784" i="1"/>
  <c r="F1783" i="1"/>
  <c r="D1772" i="1"/>
  <c r="D1771" i="1"/>
  <c r="F1765" i="1"/>
  <c r="F1750" i="1"/>
  <c r="F1749" i="1"/>
  <c r="F1748" i="1"/>
  <c r="F1747" i="1"/>
  <c r="D1736" i="1"/>
  <c r="D1735" i="1"/>
  <c r="F1729" i="1"/>
  <c r="F1714" i="1"/>
  <c r="F1713" i="1"/>
  <c r="F1712" i="1"/>
  <c r="F1711" i="1"/>
  <c r="D1700" i="1"/>
  <c r="D1699" i="1"/>
  <c r="F1693" i="1"/>
  <c r="F1678" i="1"/>
  <c r="F1677" i="1"/>
  <c r="F1676" i="1"/>
  <c r="F1675" i="1"/>
  <c r="D1664" i="1"/>
  <c r="D1663" i="1"/>
  <c r="F1657" i="1"/>
  <c r="F1642" i="1"/>
  <c r="F1641" i="1"/>
  <c r="F1640" i="1"/>
  <c r="F1639" i="1"/>
  <c r="F1638" i="1"/>
  <c r="D1627" i="1"/>
  <c r="D1626" i="1"/>
  <c r="F1620" i="1"/>
  <c r="F1605" i="1"/>
  <c r="F1604" i="1"/>
  <c r="F1603" i="1"/>
  <c r="F1602" i="1"/>
  <c r="D1591" i="1"/>
  <c r="D1590" i="1"/>
  <c r="F1584" i="1"/>
  <c r="F1569" i="1"/>
  <c r="F1568" i="1"/>
  <c r="F1567" i="1"/>
  <c r="F1566" i="1"/>
  <c r="D1555" i="1"/>
  <c r="D1554" i="1"/>
  <c r="F1548" i="1"/>
  <c r="F1532" i="1"/>
  <c r="F1531" i="1"/>
  <c r="F1530" i="1"/>
  <c r="F1529" i="1"/>
  <c r="F1528" i="1"/>
  <c r="F1527" i="1"/>
  <c r="D1516" i="1"/>
  <c r="D1515" i="1"/>
  <c r="D1514" i="1"/>
  <c r="F1508" i="1"/>
  <c r="F1493" i="1"/>
  <c r="F1492" i="1"/>
  <c r="F1491" i="1"/>
  <c r="D1480" i="1"/>
  <c r="D1479" i="1"/>
  <c r="F1473" i="1"/>
  <c r="F1458" i="1"/>
  <c r="F1457" i="1"/>
  <c r="F1456" i="1"/>
  <c r="D1445" i="1"/>
  <c r="D1444" i="1"/>
  <c r="F1438" i="1"/>
  <c r="F1407" i="1"/>
  <c r="F1392" i="1"/>
  <c r="F1391" i="1"/>
  <c r="D1380" i="1"/>
  <c r="D1379" i="1"/>
  <c r="F1373" i="1"/>
  <c r="F1358" i="1"/>
  <c r="F1357" i="1"/>
  <c r="F1356" i="1"/>
  <c r="F1355" i="1"/>
  <c r="D1344" i="1"/>
  <c r="D1343" i="1"/>
  <c r="F1337" i="1"/>
  <c r="F1322" i="1"/>
  <c r="F1321" i="1"/>
  <c r="F1320" i="1"/>
  <c r="D1309" i="1"/>
  <c r="D1308" i="1"/>
  <c r="F1302" i="1"/>
  <c r="F1287" i="1"/>
  <c r="F1286" i="1"/>
  <c r="F1285" i="1"/>
  <c r="F1284" i="1"/>
  <c r="F1283" i="1"/>
  <c r="D1272" i="1"/>
  <c r="D1271" i="1"/>
  <c r="F1265" i="1"/>
  <c r="F1250" i="1"/>
  <c r="F1249" i="1"/>
  <c r="F1248" i="1"/>
  <c r="D1237" i="1"/>
  <c r="D1236" i="1"/>
  <c r="F1230" i="1"/>
  <c r="F1215" i="1"/>
  <c r="F1214" i="1"/>
  <c r="F1213" i="1"/>
  <c r="D1202" i="1"/>
  <c r="D1201" i="1"/>
  <c r="F1195" i="1"/>
  <c r="F1180" i="1"/>
  <c r="F1179" i="1"/>
  <c r="D1168" i="1"/>
  <c r="D1167" i="1"/>
  <c r="F1161" i="1"/>
  <c r="F1146" i="1"/>
  <c r="F1130" i="1"/>
  <c r="F1115" i="1"/>
  <c r="F1099" i="1"/>
  <c r="F1083" i="1"/>
  <c r="F1067" i="1"/>
  <c r="F1052" i="1"/>
  <c r="F1051" i="1"/>
  <c r="F1050" i="1"/>
  <c r="D1039" i="1"/>
  <c r="D1038" i="1"/>
  <c r="F1032" i="1"/>
  <c r="F1016" i="1"/>
  <c r="F1015" i="1"/>
  <c r="F999" i="1"/>
  <c r="F984" i="1"/>
  <c r="F983" i="1"/>
  <c r="F982" i="1"/>
  <c r="F981" i="1"/>
  <c r="F980" i="1"/>
  <c r="F979" i="1"/>
  <c r="F978" i="1"/>
  <c r="F977" i="1"/>
  <c r="F976" i="1"/>
  <c r="D964" i="1"/>
  <c r="D963" i="1"/>
  <c r="F957" i="1"/>
  <c r="F942" i="1"/>
  <c r="F941" i="1"/>
  <c r="F940" i="1"/>
  <c r="F939" i="1"/>
  <c r="F938" i="1"/>
  <c r="F937" i="1"/>
  <c r="D925" i="1"/>
  <c r="D924" i="1"/>
  <c r="F918" i="1"/>
  <c r="F887" i="1"/>
  <c r="F871" i="1"/>
  <c r="F855" i="1"/>
  <c r="F837" i="1"/>
  <c r="F836" i="1"/>
  <c r="D825" i="1"/>
  <c r="F819" i="1"/>
  <c r="F804" i="1"/>
  <c r="F803" i="1"/>
  <c r="F802" i="1"/>
  <c r="F801" i="1"/>
  <c r="F800" i="1"/>
  <c r="F799" i="1"/>
  <c r="D788" i="1"/>
  <c r="D787" i="1"/>
  <c r="F781" i="1"/>
  <c r="F765" i="1"/>
  <c r="D754" i="1"/>
  <c r="D753" i="1"/>
  <c r="F747" i="1"/>
  <c r="F729" i="1"/>
  <c r="F728" i="1"/>
  <c r="D717" i="1"/>
  <c r="D716" i="1"/>
  <c r="F710" i="1"/>
  <c r="F695" i="1"/>
  <c r="D684" i="1"/>
  <c r="F678" i="1"/>
  <c r="D653" i="1"/>
  <c r="F647" i="1"/>
  <c r="D622" i="1"/>
  <c r="F616" i="1"/>
  <c r="D591" i="1"/>
  <c r="F585" i="1"/>
  <c r="F570" i="1"/>
  <c r="F554" i="1"/>
  <c r="D529" i="1"/>
  <c r="D528" i="1"/>
  <c r="F522" i="1"/>
  <c r="D497" i="1"/>
  <c r="D496" i="1"/>
  <c r="F490" i="1"/>
  <c r="F459" i="1"/>
  <c r="D434" i="1"/>
  <c r="D433" i="1"/>
  <c r="F427" i="1"/>
  <c r="D402" i="1"/>
  <c r="F396" i="1"/>
  <c r="D371" i="1"/>
  <c r="D370" i="1"/>
  <c r="F364" i="1"/>
  <c r="D339" i="1"/>
  <c r="D338" i="1"/>
  <c r="F332" i="1"/>
  <c r="F317" i="1"/>
  <c r="D306" i="1"/>
  <c r="D305" i="1"/>
  <c r="F299" i="1"/>
  <c r="D274" i="1"/>
  <c r="D273" i="1"/>
  <c r="F267" i="1"/>
  <c r="D242" i="1"/>
  <c r="D241" i="1"/>
  <c r="F235" i="1"/>
  <c r="D210" i="1"/>
  <c r="D209" i="1"/>
  <c r="F203" i="1"/>
  <c r="D178" i="1"/>
  <c r="D177" i="1"/>
  <c r="F171" i="1"/>
  <c r="D146" i="1"/>
  <c r="D145" i="1"/>
  <c r="F139" i="1"/>
  <c r="D114" i="1"/>
  <c r="D113" i="1"/>
  <c r="F107" i="1"/>
  <c r="D82" i="1"/>
  <c r="D81" i="1"/>
  <c r="F75" i="1"/>
  <c r="D50" i="1"/>
  <c r="D49" i="1"/>
  <c r="F43" i="1"/>
  <c r="D18" i="1"/>
  <c r="D17" i="1"/>
  <c r="F11" i="1"/>
</calcChain>
</file>

<file path=xl/sharedStrings.xml><?xml version="1.0" encoding="utf-8"?>
<sst xmlns="http://schemas.openxmlformats.org/spreadsheetml/2006/main" count="11979" uniqueCount="612">
  <si>
    <t>GOVERNO DO ESTADO DO ESPÍRITO SANTO</t>
  </si>
  <si>
    <t>Secretaria Estadual da Educação - SEDU</t>
  </si>
  <si>
    <t>Subsecretaria de Suporte a Educação - SESE/GERFE</t>
  </si>
  <si>
    <t>Relatório de Composição de Preços Unitários do Orçamento</t>
  </si>
  <si>
    <r>
      <t>Orçamento:</t>
    </r>
    <r>
      <rPr>
        <sz val="11"/>
        <color theme="1"/>
        <rFont val="Aptos Narrow"/>
        <family val="2"/>
        <scheme val="minor"/>
      </rPr>
      <t> 1632401 - ADEQUAÇÕES COZINHA - EEEF VALÉRIO - PROGEFE</t>
    </r>
  </si>
  <si>
    <r>
      <t>Órgão Cliente:</t>
    </r>
    <r>
      <rPr>
        <sz val="11"/>
        <color theme="1"/>
        <rFont val="Aptos Narrow"/>
        <family val="2"/>
        <scheme val="minor"/>
      </rPr>
      <t> SEDU</t>
    </r>
  </si>
  <si>
    <r>
      <t>Órgão Gerente:</t>
    </r>
    <r>
      <rPr>
        <sz val="11"/>
        <color theme="1"/>
        <rFont val="Aptos Narrow"/>
        <family val="2"/>
        <scheme val="minor"/>
      </rPr>
      <t> SEDU</t>
    </r>
  </si>
  <si>
    <r>
      <t>Data Base:</t>
    </r>
    <r>
      <rPr>
        <sz val="11"/>
        <color theme="1"/>
        <rFont val="Aptos Narrow"/>
        <family val="2"/>
        <scheme val="minor"/>
      </rPr>
      <t> Agosto/2025</t>
    </r>
  </si>
  <si>
    <r>
      <t>Planilha:</t>
    </r>
    <r>
      <rPr>
        <sz val="11"/>
        <color theme="1"/>
        <rFont val="Aptos Narrow"/>
        <family val="2"/>
        <scheme val="minor"/>
      </rPr>
      <t> </t>
    </r>
  </si>
  <si>
    <t>1 - ADEQUAÇÕES COZINHA</t>
  </si>
  <si>
    <r>
      <t>Serviço:</t>
    </r>
    <r>
      <rPr>
        <sz val="11"/>
        <color theme="1"/>
        <rFont val="Aptos Narrow"/>
        <family val="2"/>
        <scheme val="minor"/>
      </rPr>
      <t> </t>
    </r>
  </si>
  <si>
    <t>010101 - Demolição manual de revestimento cerâmico/porcelanato (pisos), exclusive lastro, sem reaproveitamento</t>
  </si>
  <si>
    <r>
      <t>Unidade:</t>
    </r>
    <r>
      <rPr>
        <sz val="11"/>
        <color theme="1"/>
        <rFont val="Aptos Narrow"/>
        <family val="2"/>
        <scheme val="minor"/>
      </rPr>
      <t> </t>
    </r>
  </si>
  <si>
    <t>m2</t>
  </si>
  <si>
    <r>
      <t>Base:</t>
    </r>
    <r>
      <rPr>
        <sz val="11"/>
        <color theme="1"/>
        <rFont val="Aptos Narrow"/>
        <family val="2"/>
        <scheme val="minor"/>
      </rPr>
      <t> </t>
    </r>
  </si>
  <si>
    <t>LABOR - 2024</t>
  </si>
  <si>
    <r>
      <t>Código Base:</t>
    </r>
    <r>
      <rPr>
        <sz val="11"/>
        <color theme="1"/>
        <rFont val="Aptos Narrow"/>
        <family val="2"/>
        <scheme val="minor"/>
      </rPr>
      <t> </t>
    </r>
  </si>
  <si>
    <r>
      <t>Fonte:</t>
    </r>
    <r>
      <rPr>
        <sz val="11"/>
        <color theme="1"/>
        <rFont val="Aptos Narrow"/>
        <family val="2"/>
        <scheme val="minor"/>
      </rPr>
      <t> </t>
    </r>
  </si>
  <si>
    <t>LABOR</t>
  </si>
  <si>
    <r>
      <t>Versão:</t>
    </r>
    <r>
      <rPr>
        <sz val="11"/>
        <color theme="1"/>
        <rFont val="Aptos Narrow"/>
        <family val="2"/>
        <scheme val="minor"/>
      </rPr>
      <t> </t>
    </r>
  </si>
  <si>
    <t>Equipamento</t>
  </si>
  <si>
    <t>Código</t>
  </si>
  <si>
    <t>Unid</t>
  </si>
  <si>
    <t>Quant.</t>
  </si>
  <si>
    <t>Ut. Pr.</t>
  </si>
  <si>
    <t>Ut. Impr.</t>
  </si>
  <si>
    <t>Vl. Hr. Prod</t>
  </si>
  <si>
    <t>Vl. Hr. Imp.</t>
  </si>
  <si>
    <t>Custo Horário</t>
  </si>
  <si>
    <t>(A) Total:</t>
  </si>
  <si>
    <t>Mão-de-obra</t>
  </si>
  <si>
    <t>Sal/Hora</t>
  </si>
  <si>
    <t>Encargos(%)</t>
  </si>
  <si>
    <t>Sal/Hora c/ LS</t>
  </si>
  <si>
    <t>Consumo</t>
  </si>
  <si>
    <t>AZULEJISTA (OFICIAL - SINDUSCON)</t>
  </si>
  <si>
    <t>H</t>
  </si>
  <si>
    <t>SERVENTE (AUXILIAR DE OBRAS - SINDUSCON)</t>
  </si>
  <si>
    <t>(B) Total:</t>
  </si>
  <si>
    <t>Itens de incidência</t>
  </si>
  <si>
    <t>Fator</t>
  </si>
  <si>
    <t>MO</t>
  </si>
  <si>
    <t>EQ</t>
  </si>
  <si>
    <t>MA</t>
  </si>
  <si>
    <t>Custo</t>
  </si>
  <si>
    <t>(C) Total:</t>
  </si>
  <si>
    <r>
      <t>Custo Horário da Execução (A)+(B)+(C):</t>
    </r>
    <r>
      <rPr>
        <sz val="11"/>
        <color theme="1"/>
        <rFont val="Aptos Narrow"/>
        <family val="2"/>
        <scheme val="minor"/>
      </rPr>
      <t> </t>
    </r>
  </si>
  <si>
    <r>
      <t>(D) Produção da Equipe:</t>
    </r>
    <r>
      <rPr>
        <sz val="11"/>
        <color theme="1"/>
        <rFont val="Aptos Narrow"/>
        <family val="2"/>
        <scheme val="minor"/>
      </rPr>
      <t> </t>
    </r>
  </si>
  <si>
    <r>
      <t>(E) Custo Unitário da Execução [(A/D)+(B/D)+(C/D)]:</t>
    </r>
    <r>
      <rPr>
        <sz val="11"/>
        <color theme="1"/>
        <rFont val="Aptos Narrow"/>
        <family val="2"/>
        <scheme val="minor"/>
      </rPr>
      <t> </t>
    </r>
  </si>
  <si>
    <t>Material</t>
  </si>
  <si>
    <t>Custo Unitário</t>
  </si>
  <si>
    <t>(F) Total:</t>
  </si>
  <si>
    <t>Serviços</t>
  </si>
  <si>
    <t>(G) Total:</t>
  </si>
  <si>
    <t>Itens de transporte</t>
  </si>
  <si>
    <t>Fórmula</t>
  </si>
  <si>
    <t>X1</t>
  </si>
  <si>
    <t>X2</t>
  </si>
  <si>
    <t>X3</t>
  </si>
  <si>
    <t>Custo Unit.</t>
  </si>
  <si>
    <t>(H) Total:</t>
  </si>
  <si>
    <r>
      <t>Custo Direto Total (E)+(F)+(G)+(H):</t>
    </r>
    <r>
      <rPr>
        <sz val="11"/>
        <color theme="1"/>
        <rFont val="Aptos Narrow"/>
        <family val="2"/>
        <scheme val="minor"/>
      </rPr>
      <t> </t>
    </r>
  </si>
  <si>
    <r>
      <t>BDI:</t>
    </r>
    <r>
      <rPr>
        <sz val="11"/>
        <color theme="1"/>
        <rFont val="Aptos Narrow"/>
        <family val="2"/>
        <scheme val="minor"/>
      </rPr>
      <t> </t>
    </r>
  </si>
  <si>
    <r>
      <t>Preço Unitário Total:</t>
    </r>
    <r>
      <rPr>
        <sz val="11"/>
        <color theme="1"/>
        <rFont val="Aptos Narrow"/>
        <family val="2"/>
        <scheme val="minor"/>
      </rPr>
      <t> </t>
    </r>
  </si>
  <si>
    <t>010102 - Demolição manual de piso argamassa de alta resistência tipo granilite, exclusive camada de regularização, sem reaproveitamento</t>
  </si>
  <si>
    <t>GRANITEIRO/MARMORISTA (OFICIAL - SINDUSCON)</t>
  </si>
  <si>
    <t>010103 - Demolição manual de revestimento cerâmico/porcelanato (parede), exclusive emboço/reboco, sem reaproveitamento</t>
  </si>
  <si>
    <t>010104 - Demolição manual de alvenaria de bloco furado (cerâmico), sem reaproveitamento</t>
  </si>
  <si>
    <t>m3</t>
  </si>
  <si>
    <t>PEDREIRO (OFICIAL - SINDUSCON)</t>
  </si>
  <si>
    <t>010105 - Retirada manual de portas e janelas de madeira, inclusive batentes (marcos), sem reaproveitamento</t>
  </si>
  <si>
    <t>010106 - Retirada de esquadrias metálicas</t>
  </si>
  <si>
    <t>010107 - Retirada manual de grades, gradis, alambrados, cercas e portões metálicos, inclusive remoção de argamassa de chumbamento, acessórios de fixação e corte de soldas</t>
  </si>
  <si>
    <t>SERRALHEIRO (OFICIAL - SINDUSCON)</t>
  </si>
  <si>
    <t>010108 - Retirada de bancada em granito, inclusive remoção de rodabanca e cantoneiras de fixação, sem reaproveitamento</t>
  </si>
  <si>
    <t>010109 - Retirada de forro em PVC</t>
  </si>
  <si>
    <t>AJUDANTE (AJUDANTE PRATICO - SINDUSCON)</t>
  </si>
  <si>
    <t>CARPINTEIRO (OFICIAL - SINDUSCON)</t>
  </si>
  <si>
    <t>010110 - Lixamento manual de parede com pintura PVA para nivelamento e preparo da superfície para recebimento de nova camada de tinta</t>
  </si>
  <si>
    <t>PINTOR (OFICIAL - SINDUSCON)</t>
  </si>
  <si>
    <t>LIXA PARA MADEIRA/MASSA Nº 150</t>
  </si>
  <si>
    <t>UN</t>
  </si>
  <si>
    <t>010111 - Retirada manual de divisória de granito, inclusive remoção de calafetagem e demolição de argamassa de chumbamento, sem reaproveitamento</t>
  </si>
  <si>
    <t>010112 - Retirada de torneira, sem reaproveitamento</t>
  </si>
  <si>
    <t>und</t>
  </si>
  <si>
    <t>ENCANADOR (OFICIAL - SINDUSCON)</t>
  </si>
  <si>
    <t>010113 - Retirada de rodapé de granito</t>
  </si>
  <si>
    <t>m</t>
  </si>
  <si>
    <t>BASE LOCAL</t>
  </si>
  <si>
    <t>PRÓPRIA</t>
  </si>
  <si>
    <t>SERVENTE (AUXILIAR DE OBRAS - SINDUSCON) - fonte : (LABOR)</t>
  </si>
  <si>
    <t>010114 - Demolição manual de piso, soleira, peitoris e escadas em mármore ou granito, exclusive regularização, sem reaproveitamento</t>
  </si>
  <si>
    <t>010115 - Retirada de bancadas, bancos, tampos e prateleiras em granito</t>
  </si>
  <si>
    <t>Retirada de bancada em granito, inclusive remoção de rodabanca e cantoneiras de fixação, sem reaproveitamento - fonte : (LABOR - 2024)</t>
  </si>
  <si>
    <t>'010225</t>
  </si>
  <si>
    <t>010116 - Apicoamento manual de superfície revestida com argamassa</t>
  </si>
  <si>
    <t>010117 - Demolição manual de concreto simples, sem reaproveitamento</t>
  </si>
  <si>
    <t>010201 - Locação de andaime metálico para fachada - tipo torre (aluguel mensal)</t>
  </si>
  <si>
    <t>ANDAIME MET TUBULAR FACHADA - LOCACAO (M/MÊS)</t>
  </si>
  <si>
    <t>M</t>
  </si>
  <si>
    <t>020101 - Escavação manual em material de 1a. categoria, até 1.50 m de profundidade</t>
  </si>
  <si>
    <t>020102 - Apiloamento do fundo de vala com maço de 30 a 60kg</t>
  </si>
  <si>
    <t>020201 - Reaterro apiloado de cavas de fundação, em camadas de 20 cm</t>
  </si>
  <si>
    <t>020301 - Índice de preço para remoção de entulho decorrente da execução de obras (Classe A CONAMA - NBR 10.004 - Classe II-B), incluindo aluguel da caçamba, carga, transporte e descarga em área licenciada</t>
  </si>
  <si>
    <t>REMOCAO RESIDUOS CLASSE A CONAMA (CACAMBA) CLASSE II B (NBR10004) INCLUSIVE DESTINACAO FINAL</t>
  </si>
  <si>
    <t>M3</t>
  </si>
  <si>
    <t>030101 - Verga/contraverga reta de concreto armado moldada in loco 10 x 5 cm, Fck = 15 MPa, inclusive forma, armação e desforma, comprimento inferior a 2.0 metros</t>
  </si>
  <si>
    <t>ESPACADOR EM PVC CIRCULAR COMP.: 30 MM</t>
  </si>
  <si>
    <t>DESMOLDANTE PARA FORMAS</t>
  </si>
  <si>
    <t>L</t>
  </si>
  <si>
    <t>Fornecimento, preparo e aplicação de concreto Fck=15 MPa (brita 1 e 2) - (5% de perdas já incluído no custo)</t>
  </si>
  <si>
    <t>'040320</t>
  </si>
  <si>
    <t>Fornecimento, dobragem e colocação em fôrma, de armadura CA-50 A média, diâmetro de 6.3 a 10.0 mm</t>
  </si>
  <si>
    <t>'040328</t>
  </si>
  <si>
    <t>kg</t>
  </si>
  <si>
    <t>Forma para vigas com tábuas e sarrafos, 5 reaproveitamentos</t>
  </si>
  <si>
    <t>'041155</t>
  </si>
  <si>
    <t>030201 - Alvenaria de vedação com blocos cerâmicos furados 9x19x19cm, assentados c/ argamassa de cimento, cal hidratada CH1 e areia no traço 1:0,5:8, preparo com betoneira, juntas 10mm e esp. das paredes s/revestimento, 9cm (bloco comprado na fábrica, posto obra)</t>
  </si>
  <si>
    <t>BLOCO CERÂMICO 08 FUROS 09X19X19CM - DA FABRICA</t>
  </si>
  <si>
    <t>Argamassa mista de cimento, cal hidratada e areia sem peneirar traço 1:0,5:8, preparo mecânico com betoneira 400 l</t>
  </si>
  <si>
    <t>'010694</t>
  </si>
  <si>
    <t>040101 - Marco em madeira de lei tipo Peroba, Ipê, Angelim Pedra ou equivalente, com 15 x 3cm de batente, nas dimensões: 0,80 x 2,10 m</t>
  </si>
  <si>
    <t>AREIA LAVADA MEDIA</t>
  </si>
  <si>
    <t>CAL HIDRATADO P/ ARGAMASSA CH III</t>
  </si>
  <si>
    <t>KG</t>
  </si>
  <si>
    <t>CIMENTO PORTLAND CP III - 40</t>
  </si>
  <si>
    <t>TACO P/ FIXACAO DE BATENTE/RODAPE 10X10X2,5 CM</t>
  </si>
  <si>
    <t>PARAFUSO PARA MADEIRA DE 80MM</t>
  </si>
  <si>
    <t>MARCO MAD LEI 15X3CM BAT 0.80X2.10M ANGELIM PEDRA</t>
  </si>
  <si>
    <t>040202 - Porta de madeira de lei angelim pedra ou equivalente, esp. 30 a 35 mm, maciça, tipo mexicana, c/ friso p/ verniz, padrão SEDU, com visor 1,00 x 0,15m e vidro 4mm, inclusive alizares, dobradiças e fechadura tipo alavanca em latão cromado LaFonte ou equiv., exclusive marco, dimensões: 0.80 x 2.10 m</t>
  </si>
  <si>
    <t>PREGO - PRECO MEDIO DAS BITOLAS</t>
  </si>
  <si>
    <t>PORTA MAD. MEXICANA ESP. 30 A 35MM (OITO PARTES HORIZONTAIS) C/VISOR P/ VERNIZ 0.80X2.10M</t>
  </si>
  <si>
    <t>Alizar de madeira de lei de 1ª (Peroba, Ipê, Angelim Pedra ou equivalente) de 5 x 2,5 cm</t>
  </si>
  <si>
    <t>'060115</t>
  </si>
  <si>
    <t>Fechadura com maçaneta tipo alavanca e chave tipo yale - IMAB, STAN, ALIANÇA ou equivalente</t>
  </si>
  <si>
    <t>'061102</t>
  </si>
  <si>
    <t>Dobradiça de latão cromado de 3 x 2.1/2?, inclusive parafusos - IMAB, STAN, ALIANÇA ou equivalente</t>
  </si>
  <si>
    <t>'061112</t>
  </si>
  <si>
    <t>040301 - Porta em madeira de lei tipo angelim pedra/equiv., esp. 35mm maciça c/ friso p/ verniz/pintura, padrão SEDU, s/ visor, incl. alizares, fech. inox Premium ext. ref. 2600/71 máq.40 Aliança/equiv., dim. 0.80x2.10 m, excl. marco</t>
  </si>
  <si>
    <t>FECHADURA INOX PREMIUM/EXTERNA REF. 2600/71 REF ALIANÇA MAQUINA 40 - fonte : (LABOR)</t>
  </si>
  <si>
    <t>Porta madeira de lei tipo angelim pedra ou equiv.,esp. 30 a 35 mm, sarrafeada com enchimento, c/ friso p/ verniz, padrão SEDU, sem visor, inclusive alizares, dobradiças e fechadura tipo ext. em latão cromado LaFonte ou equiv., excl. marco, dimensões: 0.80 x 2.10 m - fonte : (LABOR - 2024)</t>
  </si>
  <si>
    <t>'062603</t>
  </si>
  <si>
    <t>050101 - Grade de tela tipo mosquiteiro em nylon, fixada em cantoneira de alumínio linha 25</t>
  </si>
  <si>
    <t>Grade de tela tipo mosquiteiro em nylon, fixada em cantoneira de alumínio linha 25 - fonte : (LABOR - 2024)</t>
  </si>
  <si>
    <t>'071108</t>
  </si>
  <si>
    <t>050102 - Grade de ferro em barra chata, inclusive chumbamento</t>
  </si>
  <si>
    <t>INDICE DE FABRICAÇÃO</t>
  </si>
  <si>
    <t>"IF"</t>
  </si>
  <si>
    <t>X</t>
  </si>
  <si>
    <t>BARRA CHATA DE FERRO ASTM A-36 1/4" X 1" (Incidências: IF)</t>
  </si>
  <si>
    <t>BARRA CHATA DE FERRO ASTM A-36 1/4" X 1.1/4" (Incidências: IF)</t>
  </si>
  <si>
    <t>GALVANIZAÇÃO ELETROLITICA (Incidências: IF)</t>
  </si>
  <si>
    <t>050103 - Portão de ferro de abrir em barra chata, chapa e tubo, inclusive chumbamento</t>
  </si>
  <si>
    <t>BARRA CHATA DE FERRO ASTM A-36 3/16" X 1" (Incidências: IF)</t>
  </si>
  <si>
    <t>FECHADURA PARA PORTAO (Incidências: IF)</t>
  </si>
  <si>
    <t>CANTONEIRA ABAS IGUAIS DE FERRO ASTM A-36 - 3/16" X 1.1/4" X 1.1/4" (Incidências: IF)</t>
  </si>
  <si>
    <t>CHAPA DE ACO GALVANIZADA Nº 14 (ESP. 1,95MM) (Incidências: IF)</t>
  </si>
  <si>
    <t>M2</t>
  </si>
  <si>
    <t>TUBO ACO GALV 60,30 X 3,75MM (2") DIN 2440 - MEDIO (Incidências: IF)</t>
  </si>
  <si>
    <t>050104 - Porta de abrir em alumínio anodizado branco p/ tela mosquiteira em nylon, c/ uma folha, linha 25, completa, incl. puxador, caixilho, alizar, contramarco, tela e dobradiça c/ mola mod.225, ref. Imab ou equiv., dim.: 0.80x2.10 m</t>
  </si>
  <si>
    <t>DOBRADICA DE FERRO ZINCADO DE 3" X 2 1/2" - fonte : (LABOR)</t>
  </si>
  <si>
    <t>KIT PORTA MOSQUITEIRA DE ABRIR REFORCADA BRANCA 0,80 X 2,10 M - fonte : (BASE LOCAL)</t>
  </si>
  <si>
    <t>Porta de abrir tipo veneziana em alumínio anodizado, linha 25, completa, incl. puxador com tranca, caixilho, alizar e contramarco - fonte : (BASE LOCAL DO ORCAMENTO 1632401)</t>
  </si>
  <si>
    <t>'3F78.000005</t>
  </si>
  <si>
    <t>0.00</t>
  </si>
  <si>
    <t>050201 - Báscula para vidro em alumínio anodizado cor natural, linha 25, completa, com tranca, caixilho, alizar e contramarco, exclusive vidro</t>
  </si>
  <si>
    <t>BASCULA LINHA 25 ALUMINIO ANOD NATURAL</t>
  </si>
  <si>
    <t>050301 - Guichê passa-prato tipo guilhotina para vidro, em alumínio anodizado fosco, linha 25, completo, com tranca, caixilho, alizar e contramarco, exclusive vidro, dimensões 2.10x1.27 m (G2 - Cozinha)</t>
  </si>
  <si>
    <t>GUICHE PASSA PRATO PADRAO SEDU DET 19-R3 2018 ALUMI ANOD FOSCO EXCLUSIVE VIDRO - fonte : (LABOR)</t>
  </si>
  <si>
    <t>Janela tipo maxim-ar para vidro em alumínio anodizado natural, linha 25, completa, incl. puxador com tranca, caixilho, alizar e contramarco, exclusive vidro - fonte : (BASE LOCAL DO ORCAMENTO 1632401)</t>
  </si>
  <si>
    <t>'3F78.000006</t>
  </si>
  <si>
    <t>060101 - Vidro laminado transparente liso com 6 mm de espessura</t>
  </si>
  <si>
    <t>VIDRO LAMINADO TRANSP. ESP. 6MM COLOCADO - fonte : (LABOR)</t>
  </si>
  <si>
    <t>070101 - Forro PVC branco L = 20 cm, frisado, estruturado por perfis de aço galvanizado e tirantes rígidos fabricado de acordo com a NBR-14285, colocado</t>
  </si>
  <si>
    <t>FORRO PVC L=20CM COR BRANCO 7 A 8 MM COLOCADO COLOCADO -ESTRUTURADO POR PERFIS DE AÇO GALVANIZADO E TIRANTES RIGIDOS</t>
  </si>
  <si>
    <t>080101 - Chapisco de argamassa de cimento e areia média ou grossa lavada, no traço 1:3, espessura 5 mm</t>
  </si>
  <si>
    <t>080201 - Cerâmica 10 x 10 cm, branco brilhante ref Galeria Mesh BR telada, ELIANE, STRUFALDI, CERAL, empregando argamassa colante, inclusive rejuntamento junta plus cinza claro esp. 3 mm</t>
  </si>
  <si>
    <t>REJUNTE JUNTAPLUS FINA COR CINZA</t>
  </si>
  <si>
    <t>CIMENTO COLANTE INDUSTRIALIZADO AC I</t>
  </si>
  <si>
    <t>CERAMICA 10X10CM ELIANE BRANCO BRILHANTE GALERIA MESH (TELADA) OU EQUIVALENTE REF ELIANE CERAL, STRUFALD OU EQUIV</t>
  </si>
  <si>
    <t>080202 - Cerâmica retificada, acabamento brilhante, dim. 32x60cm, ref. TRADIZIONALLE BIANCO Biancogres/equiv. assentado com argamassa de cimento colante, inclusive rejuntamento com argamassapre-fabricada para rejunte</t>
  </si>
  <si>
    <t>REJUNTE PRE-FABRICADA</t>
  </si>
  <si>
    <t>CERAMICA RETIFICADA 32X60CM BRANCO BRILHANTE TRADIZIONALLE BIANCOGRES / WHITE ABSOLUTE LINHA A EMBRAMACO OU ARTICO INCESA</t>
  </si>
  <si>
    <t>080203 - Roda parede em granito cinza andorinha 7x2cm, com acabamento abaulado nos dois lados</t>
  </si>
  <si>
    <t>CIMENTO BRANCO NAO ESTRUTURAL</t>
  </si>
  <si>
    <t>RODA PAREDE GRAN CINZA AND 7X2CM ACAB 2 LADOS</t>
  </si>
  <si>
    <t>080301 - Emboço de argamassa de cimento, cal hidratada CH1 e areia média ou grossa lavada no traço 1:0.5:6, espessura 20 mm</t>
  </si>
  <si>
    <t>080302 - Reboco de argamassa de cimento, cal hidratada CH1 e areia média ou grossa lavada no traço 1:0.5:6, com impermeabilizante para revestimentos (caixas, fossas, filtros, cisternas, etc...)</t>
  </si>
  <si>
    <t>ADITIVO IMPERMEABILIZANTE PEGA NORMAL P/ ARGAMASSA E CONCRETO - SIKA 1, VEDACIT PRO OU EQUIVALENTE</t>
  </si>
  <si>
    <t>090101 - Regularização de base para revestimento cerâmico, com argamassa de cimento e areia no traço 1:5, espessura: 3 cm</t>
  </si>
  <si>
    <t>090102 - Regularização de base para revestimento de pisos cimentados, empregando argamassa de cimento e areia no traço 1:3 e espessura de 3 cm</t>
  </si>
  <si>
    <t>Regularização de base para revestimento de pisos c/ argamassa de alta resistência, empregando argamassa de cimento e areia no traço 1:3 e espessura de 3 cm - fonte : (LABOR - 2024)</t>
  </si>
  <si>
    <t>'130106</t>
  </si>
  <si>
    <t>090201 - Porcelanato esmaltado, acabamento acetinado, dim. 60x60cm, ref. de cor CIMENTO CINZA BOLD Portobello/equiv, utilizando dupla colagem de argamassa colante para porcelanato tipo ACIII e rejunte 3mm para porcelanato</t>
  </si>
  <si>
    <t>LADRILHISTA (OFICIAL - SINDUSCON)</t>
  </si>
  <si>
    <t>REJUNTE PORCELANATO QUARTZOLIT</t>
  </si>
  <si>
    <t>ARGAM COLANTE FLEXIVEL AC III P/ ASSENT. PORCELANATO E PEDRAS (GRANITO E MÁRMORE)</t>
  </si>
  <si>
    <t>PORCELANATO ACABAMENTO ACETINADO 60X60CM CIMENTO CINZA BOLD</t>
  </si>
  <si>
    <t>090202 - Piso de cimentado camurçado executado com argamassa de cimento e areia no traço 1:3, esp. 3.0cm</t>
  </si>
  <si>
    <t>SARRAFO DE MADEIRA DE LEI 8 X 2.5 CM (BRUTA)</t>
  </si>
  <si>
    <t>090203 - Piso argamassa alta resistência tipo granilite ou equiv de qualidade comprovada, esp de 10mm, com juntas plástica em quadros de 1m, na cor natural, com acabamento polido mecanizado, inclusive regularização e=3.0cm</t>
  </si>
  <si>
    <t>JUNTA DE DILATACAO PLASTICA</t>
  </si>
  <si>
    <t>AGREGADO DE ALTA RESISTENCIA PARA PISOS</t>
  </si>
  <si>
    <t>TIJOLO ESMERIL 76,2X76,2X50,8 MM</t>
  </si>
  <si>
    <t>MAQUINA ELETRICA P/ POLIMENTO PISO - REF TAB SINAPI</t>
  </si>
  <si>
    <t>Regularização de base para revestimento de pisos c/ argamassa de alta resistência, empregando argamassa de cimento e areia no traço 1:3 e espessura de 3 cm</t>
  </si>
  <si>
    <t>090301 - Soleira de granito esp. 2 cm e largura de 15 cm</t>
  </si>
  <si>
    <t>SOLEIRA GRANITO CINZA ANDORINHA ESP=2CM,L=15CM</t>
  </si>
  <si>
    <t>090302 - Peitoril de granito cinza polido, 15 cm, esp. 3cm</t>
  </si>
  <si>
    <t>PEITORIL GRANITO CINZA ANDORINHA LARG.15CM,ESP.3CM</t>
  </si>
  <si>
    <t>090303 - Rodapé de granito cinza esp. 2cm, h=7cm, assentado com argamassa de cimento, cal hidratada CH1 e areia no traço 1:0,5:8, incl. rejuntamento com cimento branco</t>
  </si>
  <si>
    <t>RODAPE GRANITO CINZA ANDORINHA ESP. 2CM H=7CM ACAB. RETO</t>
  </si>
  <si>
    <t>100101 - Tubo de PVC rígido soldável marrom, DN 25mm (3/4"), inclusive conexões</t>
  </si>
  <si>
    <t>TUBO DE PVC SOLDAVEL MARROM 25MM (AGUA FRIA) - TIGRE, AMANCO OU EQUIVALENTE</t>
  </si>
  <si>
    <t>LIXA D AGUA N. 100</t>
  </si>
  <si>
    <t>ADESIVO PARA TUBO DE PVC RIGIDO</t>
  </si>
  <si>
    <t>SOLUCAO LIMPADORA PARA PVC RIGIDO</t>
  </si>
  <si>
    <t>100201 - Tubo de PVC rígido soldável branco, para esgoto, série normal, diâmetro 40mm (1 1/2"), inclusive conexões</t>
  </si>
  <si>
    <t>TUBO DE ESGOTO PRIMARIO DE PVC BRANCO SERIE NORMAL(1.1/2") - 40MM - TIGRE, AMANCO OU EQUIVALENTE</t>
  </si>
  <si>
    <t>100202 - Tubo de PVC rígido soldável branco, para esgoto, série normal, diâmetro 50mm (2"), inclusive conexões</t>
  </si>
  <si>
    <t>TUBO DE ESGOTO PRIMARIO DE PVC BRANCO SERIE NORMAL (2") - 50MM - TIGRE, AMANCO OU EQUIVALENTE</t>
  </si>
  <si>
    <t>100203 - Tubo de PVC rígido soldável branco, para esgoto, série normal, diâmetro 75mm (3"), inclusive conexões</t>
  </si>
  <si>
    <t>TUBO DE ESGOTO PRIMARIO DE PVC BRANCO SERIE NORMAL (3") - 75MM - TIGRE, AMANCO OU EQUIVALENTE</t>
  </si>
  <si>
    <t>100204 - Tubo de PVC rígido soldável branco, para esgoto, série normal, diâmetro 100mm (4"), inclusive conexões</t>
  </si>
  <si>
    <t>TUBO DE ESGOTO PRIMARIO DE PVC BRANCO SERIE NORMAL (4") - 100MM - TIGRE, AMANCO OU EQUIVALENTE</t>
  </si>
  <si>
    <t>100301 - Caixa sifonada em PVC, diâm. 150mm, com grelha e porta grelha quadrados, em aço inox</t>
  </si>
  <si>
    <t>CX SIF MONTADA C/ GRELHA E PORTA GRELHA QUADRADO INOX 150X150X50MM</t>
  </si>
  <si>
    <t>100302 - Ralo sifonado em PVC 100x100mm, com grelha PVC</t>
  </si>
  <si>
    <t>RALO SIFONADO 10X10CM C/ GRELHA QUADRADA PVC</t>
  </si>
  <si>
    <t>100401 - Caixa de gordura em alv bloco conc 9x19x39cm, dim. 100x100cm e Hmáx=1m, c/ tampão/suporte F°F° Ø60cm (D400) c/ inscrição, lastro concr esp.10cm, revestida intern c/ chapisco e reboco impermeab, escav, reaterro e parede interna concr</t>
  </si>
  <si>
    <t>TAMPAO E SUPORTE DE FERRO FUNDIDO Ø 60CM CLASSE D400 PARA PV - fonte : (LABOR)</t>
  </si>
  <si>
    <t>Escavação mecânica em material de 1a. categoria - fonte : (LABOR - 2024)</t>
  </si>
  <si>
    <t>'030103</t>
  </si>
  <si>
    <t>Reaterro apiloado de cavas de fundação, em camadas de 20 cm - fonte : (LABOR - 2024)</t>
  </si>
  <si>
    <t>'030201</t>
  </si>
  <si>
    <t>Lastro de brita 3 e 4, apiloado manualmente - fonte : (LABOR - 2024)</t>
  </si>
  <si>
    <t>'030203</t>
  </si>
  <si>
    <t>Fôrma de tábua de madeira de 2.5 x 30.0 cm para fundações, levando-se em conta a utilização 5 vezes (incluido o material, corte, montagem, escoramento e desforma) - fonte : (LABOR - 2024)</t>
  </si>
  <si>
    <t>'040206</t>
  </si>
  <si>
    <t>Fornecimento, preparo e aplicação de concreto magro com consumo mínimo de cimento de 250 kg/m3 (brita 1 e 2) - (5% de perdas já incluído no custo) - fonte : (LABOR - 2024)</t>
  </si>
  <si>
    <t>'040231</t>
  </si>
  <si>
    <t>Fornecimento, preparo e aplicação de concreto Fck=20 MPa (brita 1 e 2) - (5% de perdas já incluído no custo) - fonte : (LABOR - 2024)</t>
  </si>
  <si>
    <t>'040235</t>
  </si>
  <si>
    <t>Alvenaria de vedação com blocos de concreto 9x19x39cm, c/ resistência mínimo a compressão de 3 MPa, assentados c/ argamassa de cimento, cal hidratada CH1 e areia no traço 1:0,5:8, preparo com betoneira, esp. juntas 10mm e esp. da parede s/ revestimento 9cm - fonte : (LABOR - 2024)</t>
  </si>
  <si>
    <t>'050601</t>
  </si>
  <si>
    <t>Chapisco de argamassa de cimento e areia média ou grossa lavada, no traço 1:3, espessura 5 mm - fonte : (LABOR - 2024)</t>
  </si>
  <si>
    <t>'120101</t>
  </si>
  <si>
    <t>Reboco de argamassa de cimento, cal hidratada CH1 e areia média ou grossa lavada no traço 1:0.5:6, com impermeabilizante para revestimentos (caixas, fossas, filtros, cisternas, etc...) - fonte : (LABOR - 2024)</t>
  </si>
  <si>
    <t>'120304</t>
  </si>
  <si>
    <t>Tubo de PVC rígido soldável branco, para esgoto, diâmetro 150mm (6") - fonte : (LABOR - 2024)</t>
  </si>
  <si>
    <t>'141905</t>
  </si>
  <si>
    <t>Pintura sobre paredes e forros, aplicação manual, com duas demãos de tinta látex acrílico premium, acabamento fosco, referência Suvinil, Coral e Metalatex, inclusive uma demão de liquido selador acrílico, referência Suvinil, Coral ou Metalatex - fonte : (LABOR - 2024)</t>
  </si>
  <si>
    <t>'190117</t>
  </si>
  <si>
    <t>Fornecimento, dobragem e colocação em fôrma, de armadura CA-50 A média, diâmetro de 6.3 a 10.0 mm - fonte : (BASE LOCAL DO ORCAMENTO 1632401)</t>
  </si>
  <si>
    <t>'3F78.000039</t>
  </si>
  <si>
    <t>100402 - Caixas de inspeção de alv. blocos concreto 9x19x39cm, dim.100x60cm e Hmáx = 1m, com tampa de conc. esp. 5cm, lastro de conc. esp. 10cm, revest intern. c/ chapisco e reboco impermeabilizado, incl. escavação, reaterro e enchimento</t>
  </si>
  <si>
    <t>ARMADOR (OFICIAL - SINDUSCON)</t>
  </si>
  <si>
    <t>BRITA 1</t>
  </si>
  <si>
    <t>BRITA 2</t>
  </si>
  <si>
    <t>SARRAFO DE MADEIRA PINUS 10 X 2.5CM</t>
  </si>
  <si>
    <t>TABUA DE MADEIRA PINUS 30 X 2.5 CM</t>
  </si>
  <si>
    <t>ACO CA-50 DE 8.0MM</t>
  </si>
  <si>
    <t>BLOCO DE CONCRETO 9 X 19 X 39CM - VEDACAO</t>
  </si>
  <si>
    <t>PREGO 18X27</t>
  </si>
  <si>
    <t>ARAME RECOZIDO N.18 BWG</t>
  </si>
  <si>
    <t>Betoneira capacidade nominal de 400 l, capacidade de mistura 280 l, motor elétrico trifásico potência de 2 cv, sem carregador - chp diurno</t>
  </si>
  <si>
    <t>'330103</t>
  </si>
  <si>
    <t>chp</t>
  </si>
  <si>
    <t>100501 - Registro de gaveta com canopla cromada diam. 25mm (1"), marcas de referência Fabrimar, Deca ou Docol</t>
  </si>
  <si>
    <t>REGISTRO DE GAVETA CROMADO 1" COM CANOPLA</t>
  </si>
  <si>
    <t>FITA DE VEDACAO 18MM X 50M</t>
  </si>
  <si>
    <t>100601 - Adaptador de PVC soldável para registro, diâmetro 25mm x 3/4"</t>
  </si>
  <si>
    <t>Adaptador de PVC soldável com anel para caixa d'água, DN 25mm - fonte : (LABOR - 2024)</t>
  </si>
  <si>
    <t>'141528</t>
  </si>
  <si>
    <t>100701 - Abraçadeira tipo "U" diâmetro 25 mm (3/4"), para fixação de tubos, inclusive parafusos e buchas para fixação, exclusive tubos</t>
  </si>
  <si>
    <t>PARAFUSO COM BUCHA S-10 - fonte : (LABOR)</t>
  </si>
  <si>
    <t>ABRACADEIRA EM ACO GALV. P/ AMARRACAO DE ELETRODUTOS, TIPO "U" SIMPLES - 3/4" - fonte : (LABOR)</t>
  </si>
  <si>
    <t>Abraçadeira tipo U para eletroduto de 1/2" a 1" - fonte : (BASE LOCAL DO ORCAMENTO 1632401)</t>
  </si>
  <si>
    <t>'3F78.000007</t>
  </si>
  <si>
    <t>100801 - Abertura e fechamento de rasgos em alvenaria, para passagem de tubulações, diâm. 1/2" a 1"</t>
  </si>
  <si>
    <t>100901 - Junção de redução PVC série normal, para esgoto no diâmetro de 75x50mm</t>
  </si>
  <si>
    <t>AJUDANTE (AJUDANTE PRATICO - SINDUSCON) - fonte : (LABOR)</t>
  </si>
  <si>
    <t>ENCANADOR (OFICIAL - SINDUSCON) - fonte : (LABOR)</t>
  </si>
  <si>
    <t>ANEL BORRACHA PARA TUBO ESGOTO PREDIAL, DN 50 MM (NBR 5688) - fonte : (SINAPI)</t>
  </si>
  <si>
    <t>ANEL BORRACHA PARA TUBO ESGOTO PREDIAL, DN 75 MM (NBR 5688) - fonte : (SINAPI)</t>
  </si>
  <si>
    <t>JUNCAO DE REDUCAO INVERTIDA, PVC SOLDAVEL, 75 X 50 MM, SERIE NORMAL PARA ESGOTO PREDIAL - fonte : (SINAPI)</t>
  </si>
  <si>
    <t>LUBRIFICANTE PARA TUBO DE PVC E FERRO FUNDIDO - fonte : (LABOR)</t>
  </si>
  <si>
    <t>110101 - Instalação de gás em tubo galv. NBR 5590-classe pesada 20mm (3/4"), inclusive conexões</t>
  </si>
  <si>
    <t>TUBO DE ACO CARBONO SCHEDULE 40 Ø 3/4" - PRETO SEM COSTURA</t>
  </si>
  <si>
    <t>110102 - Pintura de superfície metálica com uma demão de primer Epoxi e duas demãos de tinta à base de Epoxi</t>
  </si>
  <si>
    <t>TINTA EPOXI CATALISAVEL PARA ACABAMENTO</t>
  </si>
  <si>
    <t>SOLVENTE PARA TINTA A BASE DE EPOXI</t>
  </si>
  <si>
    <t>PRIMER A BASE DE EPOXI</t>
  </si>
  <si>
    <t>TRINCHA 2"</t>
  </si>
  <si>
    <t>110103 - Válvula de esfera NPT para gás, diâmetro 3/4", inclusive plug para vedação</t>
  </si>
  <si>
    <t>PLUG OU BUJAO DE FERRO GALVANIZADO, DE 3/4" - fonte : (SINAPI)</t>
  </si>
  <si>
    <t>VÁLVULA ESFERA NPT CLASSE 300 Ø 3/4" - fonte : (LABOR)</t>
  </si>
  <si>
    <t>Válvula de retenção de pé com crivo, diam. 20mm (3/4") - fonte : (BASE LOCAL DO ORCAMENTO 1632401)</t>
  </si>
  <si>
    <t>'3F78.000008</t>
  </si>
  <si>
    <t>110104 - Caixa de distribuição em alvenaria de bloco de concreto 14x19x39cm, dim. 115x90x50cm, com regulador RF (2º estágio) para baixa pressão (2,8 Kpa), inclusive conexões e porta de abrir tipo veneziana em alumínio, dim. 60x60cm</t>
  </si>
  <si>
    <t>COTOVELO 90 GRAUS DE FERRO GALVANIZADO, COM ROSCA BSP, DE 3/4" - fonte : (SINAPI)</t>
  </si>
  <si>
    <t>PORCA ZINCADA, SEXTAVADA, DIAMETRO 3/8" - fonte : (SINAPI)</t>
  </si>
  <si>
    <t>TE DE COBRE SEM ANEL DE SOLDA, BOLSA X BOLSA X BOLSA, 22 MM - fonte : (SINAPI)</t>
  </si>
  <si>
    <t>PLACA DE SINALIZACAO EM CHAPA DE ACO NUM 16 COM PINTURA REFLETIVA - fonte : (SINAPI)</t>
  </si>
  <si>
    <t>TUBO DE COBRE FLEXIVEL, D = 3/8", E = 0,79 MM, PARA AR-CONDICIONADO/ INSTALACOES GAS RESIDENCIAIS E COMERCIAIS - fonte : (SINAPI)</t>
  </si>
  <si>
    <t>CONECTOR BRONZE/LATAO SEM ANEL DE SOLDA, BOLSA X ROSCA F, 22 MM X 3/4" - fonte : (SINAPI)</t>
  </si>
  <si>
    <t>NIPLE SEXTAVADO EM ACO CARBONO, COM ROSCA BSP, PRESSAO 3.000 LBS, DN 3/4" - fonte : (SINAPI)</t>
  </si>
  <si>
    <t>REGULADOR DE PRESSÃO 2º ESTAGIO P/ GAS - fonte : (LABOR)</t>
  </si>
  <si>
    <t>TUBO DE COBRE CLASSE A - 22MM (3/4") - fonte : (LABOR)</t>
  </si>
  <si>
    <t>NIPLE LATAO 1/2" NPT (E) X 3/8" SAE (PARA GÁS) - SICAP OU EQUIVALENTE - fonte : (LABOR)</t>
  </si>
  <si>
    <t>Alvenaria de vedação com blocos de concreto 14x19x39cm, c/ resistência mínimo a compressão de 3 MPa, assentados c/ argamassa de cimento, cal hidratada CH1 e areia no traço 1:0,5:8, preparo com betoneira, esp. juntas 10mm e esp. da parede s/ revestimento 14cm - fonte : (LABOR - 2024)</t>
  </si>
  <si>
    <t>'050602</t>
  </si>
  <si>
    <t>Porta de abrir tipo veneziana em alumínio anodizado, linha 25, completa, incl. puxador com tranca, caixilho, alizar e contramarco - fonte : (LABOR - 2024)</t>
  </si>
  <si>
    <t>'071704</t>
  </si>
  <si>
    <t>Reboco tipo paulista de argamassa de cimento, cal hidratada CH1 e areia média ou grossa lavada no traço 1:0.5:6, espessura 25 mm - fonte : (LABOR - 2024)</t>
  </si>
  <si>
    <t>'120303</t>
  </si>
  <si>
    <t>Válvula de Retenção Vertical em bronze, classe 125 diâmetro 3/4" (20mm) - fonte : (LABOR - 2024)</t>
  </si>
  <si>
    <t>'170370</t>
  </si>
  <si>
    <t>Pintura em paredes e forros, aplicação manual, com três demão de tinta látex acrílico premium, referência Coral e Metalatex, inclusive uma demão de liquido selador acrílico, referência Suvinil, Coral ou Metalatex ou equivalente - fonte : (LABOR - 2024)</t>
  </si>
  <si>
    <t>'190106</t>
  </si>
  <si>
    <t>Registro de gaveta bruto, diâmetro 20mm (3/4") - fonte : (BASE LOCAL DO ORCAMENTO 1632401)</t>
  </si>
  <si>
    <t>'3F78.000009</t>
  </si>
  <si>
    <t>Tubo de aço carbono galvanizado, com costura, classe leve, diâmetro 20mm (3/4") - fonte : (BASE LOCAL DO ORCAMENTO 1632401)</t>
  </si>
  <si>
    <t>'3F78.000010</t>
  </si>
  <si>
    <t>Registro de gaveta bruto ABNT diâmetro 3/4" (20mm) ? Docol, Deca ou equivalente - fonte : (BASE LOCAL DO ORCAMENTO 1632401)</t>
  </si>
  <si>
    <t>'3F78.000011</t>
  </si>
  <si>
    <t>110105 - Execução de teste de estanqueidade (teste de vazão) das instalações de Gás GLP, incluindo emissão de Anotação de Responsabilidade Técnica e laudo</t>
  </si>
  <si>
    <t>TESTE DE ESTANQUEIDADE REDE DE GAS EM INSTALAÇÃO DE TUBO GALVANIZADO, INCLUINDO ART E LAUDO - CONFORME ABNT NBR 15526 - fonte : (LABOR)</t>
  </si>
  <si>
    <t>110106 - Envelopamento de concreto simples com consumo mínimo de cimento de 250kg/m3, inclusive escavação para profundidade mínima do eletroduto de 50 cm, de 25 x 25 cm, para 1 eletroduto</t>
  </si>
  <si>
    <t>110201 - Coifa em chapa inox 304, nº22 (0.8mm), completa inclusive exaustor de 1/2 hp de potência, conforme detalhe em projeto</t>
  </si>
  <si>
    <t>Coifa em chapa inox 304, nº22 (0.8mm), completa inclusive exaustor de 1/2 hp de potência, conforme detalhe em projeto - fonte : (LABOR - 2024)</t>
  </si>
  <si>
    <t>'180811</t>
  </si>
  <si>
    <t>110202 - Duto exaustor em aço inox 304 N.22, acabamento natural, diâmetro de 30 cm</t>
  </si>
  <si>
    <t>MONTADOR (SINTRACONST) - fonte : (LABOR)</t>
  </si>
  <si>
    <t>CHAPA ACO INOX 304 Nº 22 (1/32" - 0,79MM) ACABAMENTO NATURAL - fonte : (LABOR) (Incidências: IF)</t>
  </si>
  <si>
    <t>110203 - Fornecimento e instalação de exaustor axial Ø40cm, 1700 RPM, 4500 m3/h, 127/220V</t>
  </si>
  <si>
    <t>ELETRICISTA (OFICIAL - SINDUSCON) - fonte : (LABOR)</t>
  </si>
  <si>
    <t>EXAUSTOR AXIAL Ø 40CM 1700RPM 4500 M3/H 127/220V - fonte : (LABOR)</t>
  </si>
  <si>
    <t>120101 - Lavatório de louça branca com coluna, padrão popular Izy ? Deca, Celite ou equivalente, inclusive sifão em PVC rígido 1? x1/2?, válvula em PVC 1?, engate flexível em PVC 1/2" x 30cm e parafusos para fixação, exclusive torneira</t>
  </si>
  <si>
    <t>CONJUNTO PARAFUSO ACO INOX 304 ROSCA SOBERBA 7,2MM PARA FIXACAO DE BACIA/MICTORIOS</t>
  </si>
  <si>
    <t>VALVULA DE PVC 1" PARA LAVATORIO C/ UNHO</t>
  </si>
  <si>
    <t>SIFAO DE PVC RIGIDO TIPO COPO 1" X 1 1/2"</t>
  </si>
  <si>
    <t>LAVATORIO BRANCO COM COLUNA BRANCO PADRAO POPULAR</t>
  </si>
  <si>
    <t>ENGATE FLEXIVEL EM PVC 1/2" X 30CM</t>
  </si>
  <si>
    <t>120201 - Bancada em granito cinza andorinha L=0,60m, esp.2cm apoiada sobre cantoneiras 1.1/2"x1.1/2"x3/16"c/revest. antiferruginoso e pintura epoxi,incl. rodabanca h=10cm e acab. Boleado</t>
  </si>
  <si>
    <t>PEDREIRO (OFICIAL - SINDUSCON) - fonte : (LABOR)</t>
  </si>
  <si>
    <t>RODAPE OU RODABANCADA EM GRANITO, POLIDO, TIPO ANDORINHA/ QUARTZ/ CASTELO/ CORUMBA OU OUTROS EQUIVALENTES DA REGIAO, H= 10 CM, E= *2,0* CM - fonte : (SINAPI)</t>
  </si>
  <si>
    <t>CHUMBADOR TIPO UR 3/8" - M10 - fonte : (LABOR)</t>
  </si>
  <si>
    <t>GRANITO CINZA ANDORINHA POLIDO ESP. 2CM P/ BANCAD - fonte : (LABOR)</t>
  </si>
  <si>
    <t>ACABAMENTO BOLEADO PARA GRANITO/MARMORE - fonte : (LABOR)</t>
  </si>
  <si>
    <t>Assentamento de rodapé de mármore ou granito com aresta boleada, assentado com argamassa de cimento, cal hidratada CH1 e areia no traço 1:0,5:8, incl. rejuntamento c/ cimento branco, dim. 10x1.5cm, EXCLUSIVE fornecimento de rodapé - fonte : (LABOR - 2024)</t>
  </si>
  <si>
    <t>'130318</t>
  </si>
  <si>
    <t>Pintura de superfície metálica com uma demão de primer Epoxi e duas demãos de tinta à base de Epoxi - fonte : (LABOR - 2024)</t>
  </si>
  <si>
    <t>'190418</t>
  </si>
  <si>
    <t>Cantoneira de ferro galvanizado 1 1/2" x 1 1/2" x 3/16" - fonte : (BASE LOCAL DO ORCAMENTO 1632401)</t>
  </si>
  <si>
    <t>'3F78.000016</t>
  </si>
  <si>
    <t>120202 - Bancada e tanque para panelões em granito cinza andorinha, esp. 2cm, dim. 0.80x1.10m, base de concreto e apoio em alvenaria, frontão h=10cm, incl. válvula e sifão, exclusive torneira, conf. det. projeto</t>
  </si>
  <si>
    <t>PONTALETE DE MADEIRA BRUTA DE 3ª 8.0 X 8.0 CM</t>
  </si>
  <si>
    <t>CHAPA COMPENSADA RESINADA ESP. 12MM</t>
  </si>
  <si>
    <t>AZULEJO BRANCO 15X15CM</t>
  </si>
  <si>
    <t>GRANITO CINZA ANDORINHA POLIDO ESP. 2CM P/ BANCAD</t>
  </si>
  <si>
    <t>CANTONEIRA DE ALUMINIO SEXTAVADA P/ ACABAMENTO</t>
  </si>
  <si>
    <t>VALVULA DE ESCOAMENTO P/ PIA OU TANQUE 1.1/4" CROMADA</t>
  </si>
  <si>
    <t>SIFAO TIPO GARRAFA METAL CROMADO P/ LAVATORIO 1" X 1 1/2"</t>
  </si>
  <si>
    <t>120203 - Bancada inferior em granito cinza andorinha esp.2cm, apoiada em cant. 1.1/2x1.1/2x3/16" c/ trat. antiferrug. e pint esmalte sint, acab reto, rodabanca h=10cm, frontão 8x2cm, dim.: 2,10x0,60m</t>
  </si>
  <si>
    <t>ACABAMENTO ABAULADO (MEIO BOLEADO OU MEIA CANA) PARA GRANITO/MARMORE - fonte : (LABOR)</t>
  </si>
  <si>
    <t>FRONTÃO GRANITO CINZA ANDORINHA 8 X 2CM - fonte : (LABOR)</t>
  </si>
  <si>
    <t>Bancada de granito com espessura de 2 cm - fonte : (LABOR - 2024)</t>
  </si>
  <si>
    <t>'170220</t>
  </si>
  <si>
    <t>Pintura sobre metal, aplicação manual, com duas demãos de tinta esmalte sintético, referência Suvinil, Coral ou Metalatex, inclusive uma demão de fundo anticorrosivo - fonte : (LABOR - 2024)</t>
  </si>
  <si>
    <t>'190417</t>
  </si>
  <si>
    <t>'3F78.000020</t>
  </si>
  <si>
    <t>120204 - Bancada superior em granito cinza polido espessura 2 cm, acabamento abaulado nas duas faces, dim. 2.10x0.40m</t>
  </si>
  <si>
    <t>120301 - Torneira para lavatório, de mesa, com ciclo fixo, antivandalismo, arejador e acabamento cromado, marcas de referência Fabrimar, Deca, Docol ou equivalente</t>
  </si>
  <si>
    <t>TORNEIRA DE MESA P/ LAVATORIO PRESSMATIC COMPACT - CICLO FIXO - 1/2" - REF.: 00632906 - DOCOL OU EQUIVALENTE - fonte : (LABOR)</t>
  </si>
  <si>
    <t>Torneira para lavatório de parede sistema antivandalismo Biopress 1182-AV-BIO-140 ? Fabrimar ou equivalente - fonte : (BASE LOCAL DO ORCAMENTO 1632401)</t>
  </si>
  <si>
    <t>'3F78.000012</t>
  </si>
  <si>
    <t>120302 - Torneira de parede, p/ cozinha, com saída para filtro, com bica giratória, inclusive filtro, referências: Lorenzetti 1144-C52, Forusi 2172, Fani 1868-C50, Oliveira Metais 2167-C50, ou equivalente técnico</t>
  </si>
  <si>
    <t>TORNEIRA PAREDE C/ FILTRO CARVAO ATIVADO BICA MOVEL C/ AREJ - REF. TORNEIRA PARA PAREDE LORENZETI - 1144-C52; FORUSI - 2172; FANI - 1868-C50; OLIVEIRA METAIS - 2167-C50 - fonte : (LABOR)</t>
  </si>
  <si>
    <t>Torneira de parede articulável acabamento cromado, marcas de ref. Fabrimar, Deca, Docol ou equivalente - fonte : (BASE LOCAL DO ORCAMENTO 1632401)</t>
  </si>
  <si>
    <t>'3F78.000013</t>
  </si>
  <si>
    <t>120303 - Torneira de parede para tanque longa 3/4" 1158 Primor - Docol ou equivalente</t>
  </si>
  <si>
    <t>TORNEIRA LONGA DE PAREDE PARA TANQUE 3/4" (20MM) - REF. 1158-PRIMOR - DOCOL OU EQUIVALENTE</t>
  </si>
  <si>
    <t>120304 - Torneira para uso geral 1130 Trio - Docol ou equivalente</t>
  </si>
  <si>
    <t>TORNEIRA PRESSÃO CROMADA USO GERAL 3/4"</t>
  </si>
  <si>
    <t>120401 - Porta sabonete líquido ABS, com reservatório, dimensões 29x12x11 cm, com fechadura e chave de plástico</t>
  </si>
  <si>
    <t>PORTA SABONETE LIQU ABS - BRANCO C/ RESERVATORIO - fonte : (LABOR)</t>
  </si>
  <si>
    <t>Porta sabonete líquido cor branco gelo, marca de referência Prolim, fixado com parafusos e buchas - fonte : (BASE LOCAL DO ORCAMENTO 1632401)</t>
  </si>
  <si>
    <t>'3F78.000014</t>
  </si>
  <si>
    <t>120402 - Porta papel toalha ABS ou equivalente, interfolhado 2 ou 3 dobras, dimensões 37x28x12 cm, com fechadura e chave de plástico</t>
  </si>
  <si>
    <t>PORTA PAPEL TOALHA ABS, INTERFOLHADO 2 OU 3 DOBRAS - fonte : (LABOR)</t>
  </si>
  <si>
    <t>Porta toalha de papel em inox ref. JSN ou equivalente - fonte : (BASE LOCAL DO ORCAMENTO 1632401)</t>
  </si>
  <si>
    <t>'3F78.000015</t>
  </si>
  <si>
    <t>120403 - Cuba em aço inox nº 02(dim.560x340x180)mm, marcas de referência Franke, Strake, tramontina, inclusive válvula de metal 31/2" e sifão cromado 1 x 1/2", excl. torneira</t>
  </si>
  <si>
    <t>Cuba em aço inox nº 02(dim.560x340x150)mm, marcas de referência Franke, Strake, tramontina, inclusive válvula de metal 31/2" e sifão cromado 1 x 1/2", excl. torneira - fonte : (LABOR - 2024)</t>
  </si>
  <si>
    <t>'170530</t>
  </si>
  <si>
    <t>120404 - Cuba p/ panelões de aço inox 80x60x40 cm, marcas de referência Fisher, Metalpress ou Mekal, inclusive válvula metal 1 1/4" e sifão cromado 1 x 1 1/2", excl. torneira</t>
  </si>
  <si>
    <t>MASSA PLASTICA</t>
  </si>
  <si>
    <t>CUBA EM ACO INOX P/ PANELOES, AISI 304 CH 22</t>
  </si>
  <si>
    <t>120405 - Tanque simples de aço inox Fischer, mod. TQ1-S AISI 304, ou equivalente nas marcas Metalpress ou Mekal, inclusive válvula de metal 1 1/4" e sifão cromado 2", excl. torneira</t>
  </si>
  <si>
    <t>SIFAO CROMADO 2"</t>
  </si>
  <si>
    <t>TANQUE SIMPLES 45 LTS ACO INOX, AISI 304 - TS Nº 1</t>
  </si>
  <si>
    <t>130101 - Emassamento de paredes e forros, com duas demãos de massa corrida, referência Suvinil, Coral, Metalatex ou equivalente, inclusive uma demão de liquido selador PVA, referência Suvinil, Coral ou Metalatex ou equivalente</t>
  </si>
  <si>
    <t>MASSA A BASE DE PVA - SUVINIL, CORAL OU EQUIVALENTE</t>
  </si>
  <si>
    <t>Preparo em paredes e forros, aplicação manual, com uma demão de líquido selador PVA, referência Suvinil, Coral ou Metalatex ou equivalente</t>
  </si>
  <si>
    <t>'190121</t>
  </si>
  <si>
    <t>130102 - Pintura em paredes e forros, aplicação manual, com três demãos de tinta látex premium, referência Suvinil, Coral e Metalatex, inclusive uma demão de liquido selador PVA, referência Suvinil, Coral ou Metalatex ou equivalente</t>
  </si>
  <si>
    <t>TINTA LATEX PVA - LINHA PREMIUM - SUVINIL, CORAL OU EQUIVALENTE</t>
  </si>
  <si>
    <t>130103 - Emassamento de paredes e forros, com duas demãos de massa acrílica premium, referência Suvinil, Coral ou Sherwin Williams ou equivalente, inclusive uma demão de liquido selador acrílico, referência Suvinil, Coral ou Metalatex ou equivalente</t>
  </si>
  <si>
    <t>MASSA ACRILICA A BASE D'AGUA - SUVINIL, CORAL OU EQUIVALENTE</t>
  </si>
  <si>
    <t>Preparo em paredes e forros, aplicação manual, com uma demão de líquido selador acrílico, referência Suvinil, Coral ou Metalatex ou equivalente</t>
  </si>
  <si>
    <t>'190114</t>
  </si>
  <si>
    <t>130104 - Pintura em paredes e forros, aplicação manual, com três demão de tinta látex acrílico premium, referência Coral e Metalatex, inclusive uma demão de liquido selador acrílico, referência Suvinil, Coral ou Metalatex ou equivalente</t>
  </si>
  <si>
    <t>TINTA LATEX ACRILICA FOSCA - LINHA PREMIUM</t>
  </si>
  <si>
    <t>130201 - Emassamento de esquadrias e elementos de madeira, com duas demãos de massa à base água, referência Suvinil, Coral, Sherwin Williams ou equivalente, inclusive uma demão de fundo nivelador alquídico branco, referência Suvinil, Coral ou Metalatex ou equivalente</t>
  </si>
  <si>
    <t>LIXA DE MADEIRA GRAO 220 - NORTON OU EQUIVALENTE</t>
  </si>
  <si>
    <t>MASSA PARA MADEIRA A BASE D'AGUA SUVINIL/CORAL/EQUIVALENTE</t>
  </si>
  <si>
    <t>Pintura fundo nivelador alquídico branco, aplicada a rolo, pincel ou trincha, em madeira, a uma demão, referência Suvinil, Coral ou equivalente</t>
  </si>
  <si>
    <t>'190307</t>
  </si>
  <si>
    <t>130202 - Pintura de esquadrias e elementos de madeira, aplicação manual, com duas demãos de tinta esmalte sintético referência Suvinil, Coral ou Metalatex, inclusive fundo branco nivelador, referência Suvinil, Coral e Metalatex ou equivalente</t>
  </si>
  <si>
    <t>ESMALTE SINTETICO BRANCO FOSCO - LINHA PREMIUM</t>
  </si>
  <si>
    <t>AGUARRAS MINERAL - SUVINIL, CORAL OU EQUIVALENTE</t>
  </si>
  <si>
    <t>130203 - Pintura de esquadrias e elementos de madeira, aplicação manual, com três demão de verniz brilhante incolor, linha Premium Copal, referência Suvinil, Eucatex, Montana ou equivalente</t>
  </si>
  <si>
    <t>VERNIZ COPAL INCOLOR BRILHANTE PREMIUM, SUVINIL, EUCATEX, MONTANA OU EQUIVALENTE</t>
  </si>
  <si>
    <t>130204 - Lixamento manual de madeira para aplicação de fundo ou pintura</t>
  </si>
  <si>
    <t>130301 - Pintura sobre metal, aplicação manual, com duas demãos de tinta esmalte sintético, referência Suvinil, Coral ou Metalatex, inclusive uma demão de fundo anticorrosivo</t>
  </si>
  <si>
    <t>LIXA EM FOLHA D'ÁGUA GRANA Nº 240 - NORTON OU EQUIVALENTE</t>
  </si>
  <si>
    <t>Fundo anticorrosivo zarcao, uma demao</t>
  </si>
  <si>
    <t>'190426</t>
  </si>
  <si>
    <t>140101 - Limpeza geral da obra (edificação)</t>
  </si>
  <si>
    <t>Limpeza de piso cerâmico ou porcelanato com vassoura a seco</t>
  </si>
  <si>
    <t>'200409</t>
  </si>
  <si>
    <t>Limpeza de piso e revestimento cerâmico, utilizando detergente neutro e escovação manual</t>
  </si>
  <si>
    <t>'200410</t>
  </si>
  <si>
    <t>Limpeza de revestimento cerâmico em parede utilizando detergente neutro e escovação manual</t>
  </si>
  <si>
    <t>'200412</t>
  </si>
  <si>
    <t>Limpeza de superfície com jato de alta pressão</t>
  </si>
  <si>
    <t>'200413</t>
  </si>
  <si>
    <t>150101 - Prateleiras em granito cinza andorinha, esp. 2 cm, L=50 cm, incl. apoio em cantoneira de ferro 1.1/2"x1.1/2"x3/16" c/ pint. epoxi e fundo anticorrosivo, chumbada em alvenaria, conforme detalhe em projeto</t>
  </si>
  <si>
    <t>Prateleiras em granito cinza andorinha, esp. 2cm - fonte : (LABOR - 2024)</t>
  </si>
  <si>
    <t>'210210</t>
  </si>
  <si>
    <t>'3F78.000017</t>
  </si>
  <si>
    <t>150102 - Execução de base em alvenaria e acabamento em granito cinza andorinha, esp. 2 cm, L=50 cm, assentada com argamassa de cimento colante pré-fabricada, inclusive rejuntamento</t>
  </si>
  <si>
    <t>Alvenaria de vedação com blocos cerâmicos furados 9x19x19cm, assentados c/ argamassa de cimento, cal hidratada CH1 e areia no traço 1:0,5:8, preparo com betoneira, juntas 10mm e esp. das paredes s/revestimento, 9cm (bloco comprado na fábrica, posto obra) - fonte : (LABOR - 2024)</t>
  </si>
  <si>
    <t>'050606</t>
  </si>
  <si>
    <t>Piso em placas de granito, esp. 3 cm, assentados e rejuntados com argamassa pré-fabricada - fonte : (BASE LOCAL DO ORCAMENTO 1632401)</t>
  </si>
  <si>
    <t>'3F78.000018</t>
  </si>
  <si>
    <t>150201 - Armário p/ panelões em alvenaria de blocos cerâmicos 10x20x20 cm, revestida c/ cerâmica retificada 32x60cm, TRADIZIONALLE BIANCO nas laterais e granito cinza andorinha esp.:2cm na frente, c/ H=2m e L=2.11m, excl. prateleiras</t>
  </si>
  <si>
    <t>RODAPE GRANITO CINZA ANDORINHA POLIDO 10X2CM ACABAMENTO BOLEADO - fonte : (LABOR)</t>
  </si>
  <si>
    <t>Cerâmica retificada, acabamento brilhante, dim. 32x60cm, ref. TRADIZIONALLE BIANCO Biancogres/equiv. assentado com argamassa de cimento colante, inclusive rejuntamento com argamassapre-fabricada para rejunte - fonte : (LABOR - 2024)</t>
  </si>
  <si>
    <t>'120241</t>
  </si>
  <si>
    <t>Emboço de argamassa de cimento, cal hidratada CH1 e areia média ou grossa lavada no traço 1:0.5:6, espessura 20 mm - fonte : (LABOR - 2024)</t>
  </si>
  <si>
    <t>'120301</t>
  </si>
  <si>
    <t>150202 - Acabamento frontal e superior em granito cinza andorinha, esp. 2cm, para armário de panelões, comprimento total de 6.06 m, largura 17 cm, acabamento abaulado dos dois lados</t>
  </si>
  <si>
    <t>PECA DE GRANITO CINZA ANDORINHA POLIDO L=17CM, ESP=2CM COM ACABAMENTO ABAULADO 2 LADOS - fonte : (LABOR)</t>
  </si>
  <si>
    <t>150203 - Acabamento superior e das laterais dos guichês, em granito cinza andorinha polido, largura de 17 cm e espessura de 2 cm</t>
  </si>
  <si>
    <t>CIMENTO COLANTE INDUSTRIALIZADO AC I - fonte : (LABOR)</t>
  </si>
  <si>
    <t>REJUNTE PRE-FABRICADA - fonte : (LABOR)</t>
  </si>
  <si>
    <t>Peitoril de granito cinza polido, 15 cm, esp. 3cm - fonte : (BASE LOCAL DO ORCAMENTO 1632401)</t>
  </si>
  <si>
    <t>'3F78.000019</t>
  </si>
  <si>
    <t>160101 - Retirada de quadro de distribuição inclusive disjuntores, para até 12 disjuntores</t>
  </si>
  <si>
    <t>ELETRICISTA (OFICIAL - SINDUSCON)</t>
  </si>
  <si>
    <t>160102 - Retirada de eletrodutos aparentes diâmetro de até Ø1"</t>
  </si>
  <si>
    <t>Eletroduto aparente de PVC rígido roscável diâmetro 1", inclusive abraçadeira de fixação - fonte : (BASE LOCAL DO ORCAMENTO 1632401)</t>
  </si>
  <si>
    <t>'3F78.000021</t>
  </si>
  <si>
    <t>160103 - Retirada de aparelhos elétricos (luminárias, ventiladores de teto, interruptores, tomadas)</t>
  </si>
  <si>
    <t>Retirada manual de interruptores e tomadas, sem reaproveitamento - fonte : (LABOR - 2024)</t>
  </si>
  <si>
    <t>'010240</t>
  </si>
  <si>
    <t>160201 - Abertura e fechamento de rasgos em alvenaria, para passagem de eletrodutos diâm. 1/2" a 1"</t>
  </si>
  <si>
    <t>160202 - Furo em alvenaria para diâmetros maiores que 40 mm e menores ou iguais a 75 mm</t>
  </si>
  <si>
    <t>160301 - Eletrodutos de PVC rígido roscável, anti-chama, cor preta fabr. de acordo com a EB-744 da classe B, NBR-6150 da ABNT, c/ extremidades, luva, curva, bucha e arruela, diâm. 3/4" (25mm), incl conexões, marc TIGRE, DAISA, KANAFLEX</t>
  </si>
  <si>
    <t>Eletroduto de PVC rígido roscável, diâmetro 3/4", inclusive conexões - fonte : (LABOR - 2024)</t>
  </si>
  <si>
    <t>'151126</t>
  </si>
  <si>
    <t>160302 - Eletrodutos de PVC rígido roscável, anti-chama, cor preta fabr. de acordo com a EB-744 da classe B, NBR-6150 da ABNT, c/ extremidades, luva, curva, bucha e arruela, diâm. 1" (32mm), incl conexões, marc TIGRE, DAISA, KANAFLEX</t>
  </si>
  <si>
    <t>Eletroduto de PVC rígido roscável, diâmetro 1", inclusive conexões - fonte : (LABOR - 2024)</t>
  </si>
  <si>
    <t>'151127</t>
  </si>
  <si>
    <t>160303 - Eletrodutos de PVC rígido roscável, anti-chama, cor preta fabr. de acordo com a EB-744 da classe B, NBR-6150 da ABNT, c/ extremidades, luva, curva, bucha e arruela, diâm. 2" (60mm), incl conexões, marc TIGRE, DAISA, KANAFLEX</t>
  </si>
  <si>
    <t>Eletroduto de PVC rígido roscável, diâmetro 2", inclusive conexões - fonte : (LABOR - 2024)</t>
  </si>
  <si>
    <t>'151130</t>
  </si>
  <si>
    <t>160304 - Abraçadeira para eletroduto de 3/4", inclusive bucha e parafuso</t>
  </si>
  <si>
    <t>Abraçadeira para eletroduto de 3/4" - fonte : (LABOR - 2024)</t>
  </si>
  <si>
    <t>'150904</t>
  </si>
  <si>
    <t>160305 - Abraçadeira para eletroduto de 1", inclusive bucha e parafuso</t>
  </si>
  <si>
    <t>BUCHA PLASTICA COM PARAFUSO - 6MM - fonte : (LABOR)</t>
  </si>
  <si>
    <t>ABRACADEIRA TIPO COPO 1" C/ PARAFUSO/BUCHA - fonte : (LABOR)</t>
  </si>
  <si>
    <t>160401 - Perfilado perfurado em chapa de aço, dimensões 38 mm x 38 mm inclusive suportes para fixação, marcas de referência MOPA, CEMAR, ANDALUZ</t>
  </si>
  <si>
    <t>JUNCAO INTERNA "I" PERFILADO 38X38MM - CH 22 GALV. - fonte : (LABOR)</t>
  </si>
  <si>
    <t>PERFILADO PERFURADO 38X38MM EM CHAPA 22 PRÉ-ZINCADA A FOGO - fonte : (LABOR)</t>
  </si>
  <si>
    <t>GANCHO LONGO P/PERFILADO 38/38 - fonte : (LABOR)</t>
  </si>
  <si>
    <t>Junção simples para eletrocalha metálica 200x100mm, galvanizada, ref. Mega MG 2760 ou equivalente - fonte : (BASE LOCAL DO ORCAMENTO 1632401)</t>
  </si>
  <si>
    <t>'3F78.000022</t>
  </si>
  <si>
    <t>Perfilado liso em chapa de aço, dimensões 38x38 mm - fonte : (BASE LOCAL DO ORCAMENTO 1632401)</t>
  </si>
  <si>
    <t>'3F78.000023</t>
  </si>
  <si>
    <t>Suporte de fixação de eletrocalha de 200x100mm, no teto, através de gancho vertical (1 und), porca sextavada e arruela 1/4" (4 und), vergalhão rosca total 1/4" (h=60cm), cantoneira ZZ (1 und) e parafuso e bucha S8 (2 und) - fonte : (BASE LOCAL DO ORCAMENTO 1632401)</t>
  </si>
  <si>
    <t>'3F78.000024</t>
  </si>
  <si>
    <t>160402 - Saída horizontal para eletroduto de 3/4"</t>
  </si>
  <si>
    <t>SAIDA HORIZONTAL PARA ELETRODUTO Ø 3/4" (ELETROCALHA)</t>
  </si>
  <si>
    <t>160501 - Caixa de ligação de alumínio silício, tipo CONDULETES, saída E, entrada rosqueada BSP, inclusive tampa, diâmetro 1", ref. Weltzel, Tramontina ou equivalente</t>
  </si>
  <si>
    <t>CONDULETE ALUMINIO SILICO, SAIDA E, ENTRADA ROSCA BSP 1" C/ VEDACAO E TAMPA</t>
  </si>
  <si>
    <t>160502 - Caixa de ligação de alumínio silício, tipo CONDULETES, saída C, entrada rosqueada BSP, inclusive tampa, diâmetro 1", ref. Weltzel, Tramontina ou equivalente</t>
  </si>
  <si>
    <t>CONDULETE ALUMINIO SILICO, SAIDA C, ENTRADA ROSCA BSP 1" C/ VEDACAO E TAMPA</t>
  </si>
  <si>
    <t>160503 - Caixa de ligação de alumínio silício, tipo CONDULETES, saída LR, entrada rosqueada BSP, inclusive tampa, diâmetro 1", ref. Weltzel, Tramontina ou equivalente</t>
  </si>
  <si>
    <t>CONDULETE ALUMINIO SILICO, SAIDA LR, ENTRADA ROSCA BSP 1" C/ VEDACAO E TAMPA</t>
  </si>
  <si>
    <t>160504 - Caixa de ligação de alumínio silício, tipo CONDULETES, saída LL, entrada rosqueada BSP, inclusive tampa, diâmetro 1", ref. Weltzel, Tramontina ou equivalente</t>
  </si>
  <si>
    <t>CONDULETE ALUMINIO SILICO, SAIDA LL, ENTRADA ROSCA BSP 1" C/ VEDACAO E TAMPA</t>
  </si>
  <si>
    <t>160505 - Caixa de ligação de alumínio silício, tipo CONDULETES, saída T, entrada rosqueada BSP, inclusive tampa, diâmetro 1", ref. Weltzel, Tramontina ou equivalente</t>
  </si>
  <si>
    <t>CONDULETE ALUMINIO SILICO, SAIDA T, ENTRADA ROSCA BSP 1" C/ VEDACAO E TAMPA</t>
  </si>
  <si>
    <t>160506 - Caixa de ligação de alumínio silício, tipo CONDULETES, saída LL, entrada rosqueada BSP, inclusive tampa, diâmetro 3/4", ref. Weltzel, Tramontina ou equivalente</t>
  </si>
  <si>
    <t>CONDULETE ALUMINIO SILICO, SAIDA LL, ENTRADA ROSCA BSP 3/4" C/ VEDACAO E TAMPA</t>
  </si>
  <si>
    <t>160507 - Caixa de ligação de alumínio silício, tipo CONDULETES, saída LB, entrada rosqueada BSP, inclusive tampa, diâmetro 3/4", ref. Weltzel, Tramontina ou equivalente</t>
  </si>
  <si>
    <t>CONDULETE ALUMINIO SILICO, SAIDA LB, ENTRADA ROSCA BSP 3/4" C/ VEDACAO E TAMPA</t>
  </si>
  <si>
    <t>160508 - Caixa de ligação de alumínio silício, tipo CONDULETES, saída T, entrada rosqueada BSP, inclusive tampa, diâmetro 3/4", ref. Weltzel, Tramontina ou equivalente</t>
  </si>
  <si>
    <t>CONDULETE ALUMINIO SILICO, SAIDA T, ENTRADA ROSCA BSP 3/4" C/ VEDACAO E TAMPA</t>
  </si>
  <si>
    <t>160509 - Caixa de ligação de alumínio silício, tipo CONDULETES, saída X, entrada rosqueada BSP, inclusive tampa, diâmetro 3/4", ref. Weltzel, Tramontina ou equivalente</t>
  </si>
  <si>
    <t>CONDULETE ALUMINIO SILICO, SAIDA X, ENTRADA ROSCA BSP 3/4" C/ VEDACAO E TAMPA</t>
  </si>
  <si>
    <t>160510 - Caixa de embutir marca de referência Tigreflex, 4x2"</t>
  </si>
  <si>
    <t>CAIXA PVC 4 X 2" - IP40 - TIGRE OU EQUIVALENTE</t>
  </si>
  <si>
    <t>160601 - Quadro de fab. esp. 80x60x25cm em chapa de aço de 1,5mm (16 MSG), IP-54, Imáx. barram. principal 100A, Imáx. barram. secundário 63A, capacidade p/ 28 polos DIN, barram. trif., barras de N+T, com porta, placa de acrílico, e trinco</t>
  </si>
  <si>
    <t>ELETROTECNICO MONTADOR - SINTRACONST - fonte : (LABOR)</t>
  </si>
  <si>
    <t>INDICE DE MONTAGEM</t>
  </si>
  <si>
    <t>"IM"</t>
  </si>
  <si>
    <t>REBITE ACO INOX Ø4,8MM X 10MM - fonte : (LABOR) (Incidências: IM)</t>
  </si>
  <si>
    <t>TRILHO METALICO PADRAO DIN 35MM - fonte : (LABOR) (Incidências: IM)</t>
  </si>
  <si>
    <t>CONJ PARAFUSO, PORCA E ARRUELA LATAO 1/4 X 1" - fonte : (LABOR) (Incidências: IM)</t>
  </si>
  <si>
    <t>BARRA DE COBRE ELETROLITICO 1/2"X3/16" (140A) - fonte : (LABOR) (Incidências: IM)</t>
  </si>
  <si>
    <t>CANALETA PVC CINZA 50X80MM ABERTA COM TAMPA - fonte : (LABOR) (Incidências: IM)</t>
  </si>
  <si>
    <t>ISOLADOR BUJAO H=45MM ROSCA M6 Ø 1/4" 1000V - PARA MONTAGEM DE BARRAMENTO - fonte : (LABOR) (Incidências: IM)</t>
  </si>
  <si>
    <t>CHAPA EM ACRILICO TRANSPARENTE 4MM - fonte : (LABOR) (Incidências: IM)</t>
  </si>
  <si>
    <t>QUADRO DE COMANDO 800X600X250MM, CHAPA 16, IP 54, EM CHAPA DE AÇO TRATADA A BASE DE FOSFATO DE FERRO E PINTURA A PÓ. CAIXA E PORTA NA COR BEGE RAL 7032. PLACA DE MONTAGEM NA COR LARANJA RAL 2004 - REF: CEMAR 9 011 27, ANDALUZ AN 8060-25, BENINI QC 339 OU EQUIVALENTE - fonte : (LABOR) (Incidências: IM)</t>
  </si>
  <si>
    <t>BARRAMENTO VOLT ATÉ 100A 3F 28 POLOS DIN - fonte : (LABOR) (Incidências: IM)</t>
  </si>
  <si>
    <t>Quadro distrib. energia, embutido ou semi embutido, capac. p/ 56 disj. DIN, c/barram trif. 225A barra. neutro e terra, fab. em chapa de aço 12 USG com porta, espelho, trinco com fechad ch - fonte : (BASE LOCAL DO ORCAMENTO 1632401)</t>
  </si>
  <si>
    <t>'3F78.000025</t>
  </si>
  <si>
    <t>160701 - Mini-Disjuntor monopolar 16A, curva C, 5kA, 127/220Vca, referência Siemens, GE, Schneider ou equivalente</t>
  </si>
  <si>
    <t>MINI DISJUNTOR MONOPOLAR 16A CURVA C 5KA 220/127V</t>
  </si>
  <si>
    <t>160702 - Mini-Disjuntor monopolar 40A, curva C, 5kA, 127/220Vca, referência Siemens, GE, Schneider ou equivalente</t>
  </si>
  <si>
    <t>MINI DISJUNTOR MONOPOLAR 40A CURVA C 5KA 220/127V</t>
  </si>
  <si>
    <t>160703 - Mini-Disjuntor bipolar 16A, curva C, 5kA, 127/220Vca, referência Siemens, GE, Schneider ou equivalente</t>
  </si>
  <si>
    <t>MINI DISJUNTOR BIPOLAR 16A CURVA C 5KA 220/127V</t>
  </si>
  <si>
    <t>160704 - Mini-Disjuntor bipolar 25A, curva C, 5kA, 127/220Vca, referência Siemens, GE, Schneider ou equivalente</t>
  </si>
  <si>
    <t>MINI DISJUNTOR BIPOLAR 25A CURVA C 5KA 220/127V</t>
  </si>
  <si>
    <t>160705 - Interruptor diferencial residual bipolar, corrente nominal 40A, sensibilidade 30mA, 240VCA, Ref. Siemens, GE, Schneider ou equivalente</t>
  </si>
  <si>
    <t>Interruptor Diferencial Bipolar DR 40A, 30mA ? 6kA, referência Siemens, Schneider, WEG ou equivalente - fonte : (LABOR - 2024)</t>
  </si>
  <si>
    <t>'151357</t>
  </si>
  <si>
    <t>160706 - Dispositivo de proteção contra surto (DPS) monopolar tipo II, tensão nominal 175VCA, corrente de surto máxima 20KA, marcas CLAMPER, SIEMENS, ELETROMAR</t>
  </si>
  <si>
    <t>DISPOSITIVO "DPS" PROTETOR DE SURTO MONOPOLAR 20KA / 175/275VCA - CLASSE II/III - fonte : (LABOR)</t>
  </si>
  <si>
    <t>Mini-Disjuntor monopolar 16A, curva C, 5kA, 127/220Vca, referência Siemens, GE, Schneider ou equivalente - fonte : (BASE LOCAL DO ORCAMENTO 1632401)</t>
  </si>
  <si>
    <t>'3F78.000026</t>
  </si>
  <si>
    <t>160801 - Cabo flexível, com isol. de 750 V e seção de 2,5 mm², com características de não propagação e auto extinção do fogo, com baixa emissão de fumaça e cobertura de composto não halogenado 70º C, ref.: Induscabos, Sil, Corfio ou equiv</t>
  </si>
  <si>
    <t>CABO FLEXIVEL 70ºC TEMPERA MOLE ANTICHAMA 450/750V - 2,5 MM2 - NBR NM 280, CLASSE 5 - fonte : (LABOR)</t>
  </si>
  <si>
    <t>Cabo de cobre termoplástico (PVC) flexível isolado 0,60/1kV, antichama, HEPR 90ºC ? 2,5mm2 - fonte : (BASE LOCAL DO ORCAMENTO 1632401)</t>
  </si>
  <si>
    <t>'3F78.000027</t>
  </si>
  <si>
    <t>160802 - Cabo flexível, com isol. de 750 V e seção de 6,0 mm², com características de não propagação e auto extinção do fogo, com baixa emissão de fumaça e cobertura de composto não halogenado 70º C, ref.: Induscabos, Sil, Corfio ou equiv</t>
  </si>
  <si>
    <t>CABO FLEXIVEL 70ºC TEMPERA MOLE ANTICHAMA 450/750V - 6 MM2 - NBR NM 280, CLASSE 5 - fonte : (LABOR)</t>
  </si>
  <si>
    <t>Cabo de cobre termoplástico (PVC) flexível isolado 0,60/1kV, antichama, HEPR 90ºC ? 6,0mm2 - fonte : (BASE LOCAL DO ORCAMENTO 1632401)</t>
  </si>
  <si>
    <t>'3F78.000028</t>
  </si>
  <si>
    <t>160901 - Anilhas de plastico para identificação de cabos com seção entre 2.5 e 6.0 mm²</t>
  </si>
  <si>
    <t>ANILHAS IDENT CABOS (MARCADOR MILLENIUM) MHG 2/5 - HELLERMANN TYTON - fonte : (LABOR)</t>
  </si>
  <si>
    <t>160902 - Terminal agulha 2,5 mm2</t>
  </si>
  <si>
    <t>TERMINAL COMPRESSAO TIPO AGULHA OU PINO 2,5MM2 - fonte : (LABOR)</t>
  </si>
  <si>
    <t>Terminal em bronze a pressão para ligação de cabo a barra até 4.0mm2 - fonte : (BASE LOCAL DO ORCAMENTO 1632401)</t>
  </si>
  <si>
    <t>'3F78.000029</t>
  </si>
  <si>
    <t>160903 - Terminal agulha 4,0 mm2</t>
  </si>
  <si>
    <t>TERMINAL COMPRESSAO TIPO AGULHA OU PINO #4MM2 - fonte : (LABOR)</t>
  </si>
  <si>
    <t>'3F78.000030</t>
  </si>
  <si>
    <t>160904 - Terminal agulha 6,0 mm2</t>
  </si>
  <si>
    <t>TERMINAL COMPRESSAO TIPO AGULHA OU PINO #6MM2 - fonte : (LABOR)</t>
  </si>
  <si>
    <t>Terminal em bronze a pressão para ligação de cabo a barra de 6.0 mm2 - fonte : (BASE LOCAL DO ORCAMENTO 1632401)</t>
  </si>
  <si>
    <t>'3F78.000031</t>
  </si>
  <si>
    <t>160905 - Terminal olhal 2,5 mm2</t>
  </si>
  <si>
    <t>TERMINAL A COMPRESSAO EM COBRE ESTANHADO PARA CABO 2,5 MM2, 1 FURO E 1 COMPRESSAO, PARA PARAFUSO DE FIXACAO M5 - fonte : (SINAPI)</t>
  </si>
  <si>
    <t>'3F78.000032</t>
  </si>
  <si>
    <t>160906 - Terminal olhal 4,0 mm2</t>
  </si>
  <si>
    <t>TERMINAL A COMPRESSAO EM COBRE ESTANHADO PARA CABO 4 MM2, 1 FURO E 1 COMPRESSAO, PARA PARAFUSO DE FIXACAO M5 - fonte : (SINAPI)</t>
  </si>
  <si>
    <t>'3F78.000033</t>
  </si>
  <si>
    <t>160907 - Terminal olhal 6,0 mm2</t>
  </si>
  <si>
    <t>TERMINAL A COMPRESSAO EM COBRE ESTANHADO PARA CABO 6 MM2, 1 FURO E 1 COMPRESSAO, PARA PARAFUSO DE FIXACAO M6 - fonte : (SINAPI)</t>
  </si>
  <si>
    <t>'3F78.000034</t>
  </si>
  <si>
    <t>160908 - Terminal olhal 16,0 mm2</t>
  </si>
  <si>
    <t>TERMINAL A COMPRESSAO EM COBRE ESTANHADO PARA CABO 16 MM2, 1 FURO E 1 COMPRESSAO, PARA PARAFUSO DE FIXACAO M6 - fonte : (SINAPI)</t>
  </si>
  <si>
    <t>erminal em bronze a pressão para ligação de cabo a barra de 16.0 mm2 - fonte : (BASE LOCAL DO ORCAMENTO 1632401)</t>
  </si>
  <si>
    <t>'3F78.000035</t>
  </si>
  <si>
    <t>160909 - Abraçadeira de nylon para prender cabos, diâm. máx. de amarração 100 mm, marcas de referência HELLERMANN, FRONTEC, SCHNEIDER ELETRIC</t>
  </si>
  <si>
    <t>ABRACADEIRA DE NYLON INSULOK REF. T-120 R - DIAMETRO MAXIMO DE AMARRACAO 100MM - LARG. 7,6 MM E COMP. 390 MM - fonte : (LABOR)</t>
  </si>
  <si>
    <t>170101 - Luminaria sobrepor compl., corpo ch. aço pintada branca, refletor e aletas parabólicas alum. alta pureza e refletância inclusive 2 lâmpadas LED T8 9 W/127 V, soquete antivibratório, ref. CAA02-S216TL Lumicenter ou equivalente.</t>
  </si>
  <si>
    <t>GANCHO CURTO PARA LUMINARIA EM PERFILADO 38X38MM - fonte : (LABOR)</t>
  </si>
  <si>
    <t>SOQUETE ANTI-VIBRATORIO P/LAMP FLUOR/LED PANAM/SIMILAR - fonte : (LABOR)</t>
  </si>
  <si>
    <t>Luminaria sobrepor compl., corpo ch. aço pintada branca, refletor, aletas parabólicas alum.alta pureza e refletância inclusive 2 lâmpadas LED T8 9/10W temp. de cor 5000k c/ 60cm - Ref. CS216AL-N - AMES, 1261 - LUMAVI OU EQUIVALENTE - fonte : (LABOR - 2024)</t>
  </si>
  <si>
    <t>'181001</t>
  </si>
  <si>
    <t>170102 - Luminaria sobrepor compl., corpo ch. aço pintada branca, refletor e aletas parabólicas alum. alta pureza e refletância inclusive 2 lâmpadas LED T8 18 W/127 V, soquete antivibratório, ref. Lumicenter ou equiv.</t>
  </si>
  <si>
    <t>LUMINÁRIA SOBREPOR, CORPO CH. AÇO BRANCA, S/ ALETAS; REFLETOR ALUM P/ 2 LAMP 18/20W; SEM LAMPADA; COMP APROX 120CM - REF. LUMAVI ? 4240; G-LIGHT - SLIMT8-LED-2X20-65-3C; AMS ? CS232RF; CLARON SO0050000R OU EQUIV - fonte : (LABOR)</t>
  </si>
  <si>
    <t>Luminaria sobrepor compl., corpo ch. aço pintada branca, refletor aletas parabólicas alum.alta pureza e refletância inclusive 2 lâmpadas LED T8 20W temp. de cor 5000k bivolt c/ 1,20m - Ref. CS232AL-N - AMES, 2447 - LUMAVI OU EQUIVALENTE - fonte : (BASE LOCAL DO ORCAMENTO 1632401)</t>
  </si>
  <si>
    <t>'3F78.000036</t>
  </si>
  <si>
    <t>170103 - Luminária hermética p/ 2 lâmp. LED tubulares 18W 1200mm (PHILIPS, OSRAM, SYLVANIA ou equiv), c/ temperatura de cor&gt;6500K, mod. CHT01-S232IP66 ou AVANT HUMMER IP66-T8-2x32W, marcas de ref. AVANT, LUMICENTER, PHILIPS ou equivalente</t>
  </si>
  <si>
    <t>LUMINARIA HERMETICA SOBREPOR IP66 REF. CHT01-S232 - LUMICENTER OU EQUIVALENTE - EXCLUSIVE LAMPADAS - fonte : (LABOR)</t>
  </si>
  <si>
    <t>LAMPADA LED TUBULAR T8 18W 1200MM BRANCO FRIO, BASE G13, BIVOLT - CERTIFICADA INMETRO - fonte : (LABOR)</t>
  </si>
  <si>
    <t>Luminária p/ duas lâmpadas fluorescentes 40W, completa, c/ reator duplo-127V partida rápida e alto fator de potência, soquete antivibratório e lâmpada fluorescente 40W-127V - fonte : (BASE LOCAL DO ORCAMENTO 1632401)</t>
  </si>
  <si>
    <t>'3F78.000037</t>
  </si>
  <si>
    <t>170104 - Luminária hermética p/ 2 lâmpadas LED tubulares 9W 600mm (PHILIPS, OSRAM, SYLVANIA ou equiv), c/ temperatura de cor&gt;6500K, mod. CHT01-S216IP66 ou AVANT HUMMER IP66-T8-2x16W, marcas de ref. AVANT, LUMICENTER, PHILIPS ou equivalente</t>
  </si>
  <si>
    <t>LAMPADA LED TUBULAR T8 9W 600MM BRANCO FRIO, BASE G13, BIVOLT - CERTIFICADA INMETRO - fonte : (LABOR)</t>
  </si>
  <si>
    <t>LUMINARIA HERMETICA SOBREPOR IP66 REF. CHT01-S216 - LUMICENTER OU EQUIVALENTE - EXCLUSIVE LAMPADAS - fonte : (LABOR)</t>
  </si>
  <si>
    <t>Luminária p/ duas lâmpadas fluorescentes 20W, completa, c/ reator duplo-127V partida rápida e alto fator de potência, soquete antivibratório e lâmpada fluorescente 20W-127V - fonte : (BASE LOCAL DO ORCAMENTO 1632401)</t>
  </si>
  <si>
    <t>'3F78.000038</t>
  </si>
  <si>
    <t>170201 - Interruptor de uma tecla simples 10A/250V, com placa 4x2"</t>
  </si>
  <si>
    <t>INTERRUPTOR (MODULO) 1 TECLA SIMPLES 10A/250V S/ ESPELHO</t>
  </si>
  <si>
    <t>ESPELHO 4X2", LINHA BRANCA COM SUPORTE PARA ENCAIXE</t>
  </si>
  <si>
    <t>170202 - Interruptor de duas teclas simples 10A/250V, com placa 4x2"</t>
  </si>
  <si>
    <t>170203 - Tomada padrão brasileiro linha branca, NBR 14136 (1 módulos) - 2 polos + terra 10A/250V, inclusive suporte e placa 4x2"</t>
  </si>
  <si>
    <t>TOMADA (MODULO) PAD BRAS 2 P+T 10A/250V NBR 14136 S/ ESPELH</t>
  </si>
  <si>
    <t>170204 - Tomada padrão brasileiro linha branca, NBR 14136 (1 módulos) - 2 polos + terra 20A/250V, inclusive suporte e placa 4x2"</t>
  </si>
  <si>
    <t>TOMADA (MODULO) PAD BRAS 2 P+T 20A/250V NBR 14136 S/ ESPELH</t>
  </si>
  <si>
    <t>170205 - Tomada padrão brasileiro linha branca, NBR 14136 (2 módulos) - 2 polos + terra 20A/250V, inclusive suporte e placa 4x2"</t>
  </si>
  <si>
    <t>170206 - Fornecimento e instalação de exaustor axial Ø40cm, 1700 RPM, 4500 m3/h, 127/220V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</si>
</sst>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CFC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horizontal="right" vertical="top" wrapText="1"/>
    </xf>
    <xf numFmtId="0" fontId="16" fillId="33" borderId="10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right" wrapText="1"/>
    </xf>
    <xf numFmtId="0" fontId="16" fillId="33" borderId="11" xfId="0" applyFont="1" applyFill="1" applyBorder="1" applyAlignment="1">
      <alignment wrapText="1"/>
    </xf>
    <xf numFmtId="0" fontId="16" fillId="33" borderId="12" xfId="0" applyFont="1" applyFill="1" applyBorder="1" applyAlignment="1">
      <alignment wrapText="1"/>
    </xf>
    <xf numFmtId="0" fontId="16" fillId="33" borderId="13" xfId="0" applyFont="1" applyFill="1" applyBorder="1" applyAlignment="1">
      <alignment wrapText="1"/>
    </xf>
    <xf numFmtId="0" fontId="16" fillId="33" borderId="11" xfId="0" applyFont="1" applyFill="1" applyBorder="1" applyAlignment="1">
      <alignment horizontal="right" wrapText="1"/>
    </xf>
    <xf numFmtId="0" fontId="16" fillId="33" borderId="13" xfId="0" applyFont="1" applyFill="1" applyBorder="1" applyAlignment="1">
      <alignment horizontal="right" wrapText="1"/>
    </xf>
    <xf numFmtId="0" fontId="16" fillId="0" borderId="11" xfId="0" applyFont="1" applyBorder="1" applyAlignment="1">
      <alignment horizontal="right" wrapText="1"/>
    </xf>
    <xf numFmtId="0" fontId="16" fillId="0" borderId="12" xfId="0" applyFont="1" applyBorder="1" applyAlignment="1">
      <alignment horizontal="right" wrapText="1"/>
    </xf>
    <xf numFmtId="0" fontId="16" fillId="0" borderId="13" xfId="0" applyFont="1" applyBorder="1" applyAlignment="1">
      <alignment horizontal="right"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righ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1" xfId="0" applyBorder="1" applyAlignment="1">
      <alignment horizontal="right" vertical="top" wrapText="1"/>
    </xf>
    <xf numFmtId="0" fontId="0" fillId="0" borderId="13" xfId="0" applyBorder="1" applyAlignment="1">
      <alignment horizontal="right" vertical="top" wrapText="1"/>
    </xf>
    <xf numFmtId="0" fontId="16" fillId="33" borderId="12" xfId="0" applyFont="1" applyFill="1" applyBorder="1" applyAlignment="1">
      <alignment horizontal="right" wrapText="1"/>
    </xf>
    <xf numFmtId="0" fontId="16" fillId="0" borderId="0" xfId="0" applyFont="1" applyAlignment="1">
      <alignment horizontal="right" wrapText="1"/>
    </xf>
    <xf numFmtId="4" fontId="16" fillId="0" borderId="0" xfId="0" applyNumberFormat="1" applyFont="1" applyAlignment="1">
      <alignment horizontal="right" wrapText="1"/>
    </xf>
    <xf numFmtId="4" fontId="0" fillId="0" borderId="11" xfId="0" applyNumberFormat="1" applyBorder="1" applyAlignment="1">
      <alignment horizontal="right" vertical="top" wrapText="1"/>
    </xf>
    <xf numFmtId="4" fontId="0" fillId="0" borderId="13" xfId="0" applyNumberFormat="1" applyBorder="1" applyAlignment="1">
      <alignment horizontal="right" vertical="top" wrapText="1"/>
    </xf>
    <xf numFmtId="4" fontId="16" fillId="0" borderId="11" xfId="0" applyNumberFormat="1" applyFont="1" applyBorder="1" applyAlignment="1">
      <alignment horizontal="right" wrapText="1"/>
    </xf>
    <xf numFmtId="4" fontId="16" fillId="0" borderId="13" xfId="0" applyNumberFormat="1" applyFont="1" applyBorder="1" applyAlignment="1">
      <alignment horizontal="right" wrapText="1"/>
    </xf>
    <xf numFmtId="0" fontId="0" fillId="0" borderId="12" xfId="0" applyBorder="1" applyAlignment="1">
      <alignment horizontal="right" vertical="top" wrapText="1"/>
    </xf>
    <xf numFmtId="4" fontId="0" fillId="0" borderId="10" xfId="0" applyNumberFormat="1" applyBorder="1" applyAlignment="1">
      <alignment horizontal="right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328A-4D7C-4513-BB55-E062AFA99C50}">
  <dimension ref="A1:L5150"/>
  <sheetViews>
    <sheetView showGridLines="0" tabSelected="1" workbookViewId="0">
      <selection activeCell="B9" sqref="B9:L9"/>
    </sheetView>
  </sheetViews>
  <sheetFormatPr defaultRowHeight="15" x14ac:dyDescent="0.25"/>
  <cols>
    <col min="1" max="1" width="17.85546875" customWidth="1"/>
    <col min="2" max="3" width="30" customWidth="1"/>
    <col min="4" max="4" width="17.42578125" customWidth="1"/>
    <col min="5" max="5" width="11.7109375" customWidth="1"/>
    <col min="6" max="6" width="19.7109375" customWidth="1"/>
    <col min="7" max="7" width="20.140625" customWidth="1"/>
    <col min="8" max="8" width="22.28515625" customWidth="1"/>
    <col min="9" max="9" width="18.140625" customWidth="1"/>
    <col min="10" max="10" width="18.42578125" customWidth="1"/>
    <col min="11" max="11" width="9.7109375" bestFit="1" customWidth="1"/>
    <col min="12" max="12" width="14.140625" bestFit="1" customWidth="1"/>
  </cols>
  <sheetData>
    <row r="1" spans="1:12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 customHeigh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" customHeight="1" x14ac:dyDescent="0.2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 customHeight="1" x14ac:dyDescent="0.25">
      <c r="A7" s="1" t="s">
        <v>5</v>
      </c>
      <c r="B7" s="1"/>
      <c r="C7" s="1"/>
      <c r="D7" s="1"/>
      <c r="E7" s="1" t="s">
        <v>6</v>
      </c>
      <c r="F7" s="1"/>
      <c r="G7" s="1"/>
      <c r="H7" s="1"/>
      <c r="I7" s="1"/>
      <c r="J7" s="1" t="s">
        <v>7</v>
      </c>
      <c r="K7" s="1"/>
      <c r="L7" s="1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customHeight="1" x14ac:dyDescent="0.25">
      <c r="A9" s="3" t="s">
        <v>8</v>
      </c>
      <c r="B9" s="6" t="s">
        <v>9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15" customHeight="1" x14ac:dyDescent="0.25">
      <c r="A10" s="3" t="s">
        <v>10</v>
      </c>
      <c r="B10" s="6" t="s">
        <v>11</v>
      </c>
      <c r="C10" s="6"/>
      <c r="D10" s="6"/>
      <c r="E10" s="6"/>
      <c r="F10" s="6"/>
      <c r="G10" s="6"/>
      <c r="H10" s="6"/>
      <c r="I10" s="6"/>
      <c r="J10" s="6"/>
      <c r="K10" s="3" t="s">
        <v>12</v>
      </c>
      <c r="L10" s="4" t="s">
        <v>13</v>
      </c>
    </row>
    <row r="11" spans="1:12" ht="15" customHeight="1" x14ac:dyDescent="0.25">
      <c r="A11" s="3" t="s">
        <v>14</v>
      </c>
      <c r="B11" s="6" t="s">
        <v>15</v>
      </c>
      <c r="C11" s="6"/>
      <c r="D11" s="7" t="s">
        <v>16</v>
      </c>
      <c r="E11" s="7"/>
      <c r="F11" s="6" t="str">
        <f>"010202"</f>
        <v>010202</v>
      </c>
      <c r="G11" s="6"/>
      <c r="H11" s="3" t="s">
        <v>17</v>
      </c>
      <c r="I11" s="6" t="s">
        <v>18</v>
      </c>
      <c r="J11" s="6"/>
      <c r="K11" s="3" t="s">
        <v>19</v>
      </c>
      <c r="L11" s="5">
        <v>2</v>
      </c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" customHeight="1" x14ac:dyDescent="0.25">
      <c r="A13" s="10" t="s">
        <v>20</v>
      </c>
      <c r="B13" s="11"/>
      <c r="C13" s="12"/>
      <c r="D13" s="8" t="s">
        <v>21</v>
      </c>
      <c r="E13" s="8" t="s">
        <v>22</v>
      </c>
      <c r="F13" s="9" t="s">
        <v>23</v>
      </c>
      <c r="G13" s="9" t="s">
        <v>24</v>
      </c>
      <c r="H13" s="9" t="s">
        <v>25</v>
      </c>
      <c r="I13" s="9" t="s">
        <v>26</v>
      </c>
      <c r="J13" s="9" t="s">
        <v>27</v>
      </c>
      <c r="K13" s="13" t="s">
        <v>28</v>
      </c>
      <c r="L13" s="14"/>
    </row>
    <row r="14" spans="1:12" ht="15" customHeight="1" x14ac:dyDescent="0.25">
      <c r="A14" s="15" t="s">
        <v>29</v>
      </c>
      <c r="B14" s="16"/>
      <c r="C14" s="16"/>
      <c r="D14" s="16"/>
      <c r="E14" s="16"/>
      <c r="F14" s="16"/>
      <c r="G14" s="16"/>
      <c r="H14" s="16"/>
      <c r="I14" s="16"/>
      <c r="J14" s="17"/>
      <c r="K14" s="15">
        <v>0</v>
      </c>
      <c r="L14" s="17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5" customHeight="1" x14ac:dyDescent="0.25">
      <c r="A16" s="10" t="s">
        <v>30</v>
      </c>
      <c r="B16" s="11"/>
      <c r="C16" s="12"/>
      <c r="D16" s="8" t="s">
        <v>21</v>
      </c>
      <c r="E16" s="8" t="s">
        <v>22</v>
      </c>
      <c r="F16" s="9" t="s">
        <v>31</v>
      </c>
      <c r="G16" s="9" t="s">
        <v>32</v>
      </c>
      <c r="H16" s="9" t="s">
        <v>33</v>
      </c>
      <c r="I16" s="13" t="s">
        <v>34</v>
      </c>
      <c r="J16" s="14"/>
      <c r="K16" s="13" t="s">
        <v>28</v>
      </c>
      <c r="L16" s="14"/>
    </row>
    <row r="17" spans="1:12" ht="15" customHeight="1" x14ac:dyDescent="0.25">
      <c r="A17" s="21" t="s">
        <v>35</v>
      </c>
      <c r="B17" s="22"/>
      <c r="C17" s="23"/>
      <c r="D17" s="19" t="str">
        <f>"010106"</f>
        <v>010106</v>
      </c>
      <c r="E17" s="19" t="s">
        <v>36</v>
      </c>
      <c r="F17" s="20">
        <v>10.119999999999999</v>
      </c>
      <c r="G17" s="20">
        <v>157.27000000000001</v>
      </c>
      <c r="H17" s="20">
        <v>26.03</v>
      </c>
      <c r="I17" s="24">
        <v>0.23</v>
      </c>
      <c r="J17" s="25"/>
      <c r="K17" s="24">
        <v>5.98</v>
      </c>
      <c r="L17" s="25"/>
    </row>
    <row r="18" spans="1:12" ht="15" customHeight="1" x14ac:dyDescent="0.25">
      <c r="A18" s="21" t="s">
        <v>37</v>
      </c>
      <c r="B18" s="22"/>
      <c r="C18" s="23"/>
      <c r="D18" s="19" t="str">
        <f>"010146"</f>
        <v>010146</v>
      </c>
      <c r="E18" s="19" t="s">
        <v>36</v>
      </c>
      <c r="F18" s="20">
        <v>7.65</v>
      </c>
      <c r="G18" s="20">
        <v>157.27000000000001</v>
      </c>
      <c r="H18" s="20">
        <v>19.68</v>
      </c>
      <c r="I18" s="24">
        <v>0.77</v>
      </c>
      <c r="J18" s="25"/>
      <c r="K18" s="24">
        <v>15.15</v>
      </c>
      <c r="L18" s="25"/>
    </row>
    <row r="19" spans="1:12" ht="15" customHeight="1" x14ac:dyDescent="0.25">
      <c r="A19" s="15" t="s">
        <v>38</v>
      </c>
      <c r="B19" s="16"/>
      <c r="C19" s="16"/>
      <c r="D19" s="16"/>
      <c r="E19" s="16"/>
      <c r="F19" s="16"/>
      <c r="G19" s="16"/>
      <c r="H19" s="16"/>
      <c r="I19" s="16"/>
      <c r="J19" s="17"/>
      <c r="K19" s="15">
        <v>21.13</v>
      </c>
      <c r="L19" s="17"/>
    </row>
    <row r="20" spans="1:12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5" customHeight="1" x14ac:dyDescent="0.25">
      <c r="A21" s="10" t="s">
        <v>39</v>
      </c>
      <c r="B21" s="11"/>
      <c r="C21" s="12"/>
      <c r="D21" s="8" t="s">
        <v>21</v>
      </c>
      <c r="E21" s="13" t="s">
        <v>40</v>
      </c>
      <c r="F21" s="14"/>
      <c r="G21" s="8" t="s">
        <v>41</v>
      </c>
      <c r="H21" s="8" t="s">
        <v>42</v>
      </c>
      <c r="I21" s="8" t="s">
        <v>43</v>
      </c>
      <c r="J21" s="13" t="s">
        <v>44</v>
      </c>
      <c r="K21" s="26"/>
      <c r="L21" s="14"/>
    </row>
    <row r="22" spans="1:12" ht="15" customHeight="1" x14ac:dyDescent="0.25">
      <c r="A22" s="15" t="s">
        <v>45</v>
      </c>
      <c r="B22" s="16"/>
      <c r="C22" s="16"/>
      <c r="D22" s="16"/>
      <c r="E22" s="16"/>
      <c r="F22" s="16"/>
      <c r="G22" s="16"/>
      <c r="H22" s="16"/>
      <c r="I22" s="16"/>
      <c r="J22" s="17"/>
      <c r="K22" s="15">
        <v>0</v>
      </c>
      <c r="L22" s="17"/>
    </row>
    <row r="23" spans="1:12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15" customHeight="1" x14ac:dyDescent="0.25">
      <c r="A24" s="27" t="s">
        <v>46</v>
      </c>
      <c r="B24" s="27"/>
      <c r="C24" s="27"/>
      <c r="D24" s="27"/>
      <c r="E24" s="27"/>
      <c r="F24" s="27"/>
      <c r="G24" s="27"/>
      <c r="H24" s="27"/>
      <c r="I24" s="27"/>
      <c r="J24" s="27"/>
      <c r="K24" s="27">
        <v>21.13</v>
      </c>
      <c r="L24" s="27"/>
    </row>
    <row r="25" spans="1:12" ht="15" customHeight="1" x14ac:dyDescent="0.25">
      <c r="A25" s="27" t="s">
        <v>47</v>
      </c>
      <c r="B25" s="27"/>
      <c r="C25" s="27"/>
      <c r="D25" s="27"/>
      <c r="E25" s="27"/>
      <c r="F25" s="27"/>
      <c r="G25" s="27"/>
      <c r="H25" s="27"/>
      <c r="I25" s="27"/>
      <c r="J25" s="27"/>
      <c r="K25" s="27">
        <v>1</v>
      </c>
      <c r="L25" s="27"/>
    </row>
    <row r="26" spans="1:12" ht="15" customHeight="1" x14ac:dyDescent="0.25">
      <c r="A26" s="27" t="s">
        <v>48</v>
      </c>
      <c r="B26" s="27"/>
      <c r="C26" s="27"/>
      <c r="D26" s="27"/>
      <c r="E26" s="27"/>
      <c r="F26" s="27"/>
      <c r="G26" s="27"/>
      <c r="H26" s="27"/>
      <c r="I26" s="27"/>
      <c r="J26" s="27"/>
      <c r="K26" s="27">
        <v>21.13</v>
      </c>
      <c r="L26" s="27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" customHeight="1" x14ac:dyDescent="0.25">
      <c r="A28" s="10" t="s">
        <v>49</v>
      </c>
      <c r="B28" s="11"/>
      <c r="C28" s="11"/>
      <c r="D28" s="11"/>
      <c r="E28" s="12"/>
      <c r="F28" s="8" t="s">
        <v>21</v>
      </c>
      <c r="G28" s="8" t="s">
        <v>22</v>
      </c>
      <c r="H28" s="9" t="s">
        <v>44</v>
      </c>
      <c r="I28" s="13" t="s">
        <v>34</v>
      </c>
      <c r="J28" s="14"/>
      <c r="K28" s="13" t="s">
        <v>50</v>
      </c>
      <c r="L28" s="14"/>
    </row>
    <row r="29" spans="1:12" ht="15" customHeight="1" x14ac:dyDescent="0.25">
      <c r="A29" s="15" t="s">
        <v>51</v>
      </c>
      <c r="B29" s="16"/>
      <c r="C29" s="16"/>
      <c r="D29" s="16"/>
      <c r="E29" s="16"/>
      <c r="F29" s="16"/>
      <c r="G29" s="16"/>
      <c r="H29" s="16"/>
      <c r="I29" s="16"/>
      <c r="J29" s="17"/>
      <c r="K29" s="15">
        <v>0</v>
      </c>
      <c r="L29" s="17"/>
    </row>
    <row r="30" spans="1:12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15" customHeight="1" x14ac:dyDescent="0.25">
      <c r="A31" s="10" t="s">
        <v>52</v>
      </c>
      <c r="B31" s="11"/>
      <c r="C31" s="11"/>
      <c r="D31" s="11"/>
      <c r="E31" s="12"/>
      <c r="F31" s="8" t="s">
        <v>21</v>
      </c>
      <c r="G31" s="8" t="s">
        <v>22</v>
      </c>
      <c r="H31" s="9" t="s">
        <v>44</v>
      </c>
      <c r="I31" s="13" t="s">
        <v>34</v>
      </c>
      <c r="J31" s="14"/>
      <c r="K31" s="13" t="s">
        <v>50</v>
      </c>
      <c r="L31" s="14"/>
    </row>
    <row r="32" spans="1:12" ht="15" customHeight="1" x14ac:dyDescent="0.25">
      <c r="A32" s="15" t="s">
        <v>53</v>
      </c>
      <c r="B32" s="16"/>
      <c r="C32" s="16"/>
      <c r="D32" s="16"/>
      <c r="E32" s="16"/>
      <c r="F32" s="16"/>
      <c r="G32" s="16"/>
      <c r="H32" s="16"/>
      <c r="I32" s="16"/>
      <c r="J32" s="17"/>
      <c r="K32" s="15">
        <v>0</v>
      </c>
      <c r="L32" s="17"/>
    </row>
    <row r="33" spans="1:12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5" customHeight="1" x14ac:dyDescent="0.25">
      <c r="A34" s="10" t="s">
        <v>54</v>
      </c>
      <c r="B34" s="11"/>
      <c r="C34" s="12"/>
      <c r="D34" s="8" t="s">
        <v>21</v>
      </c>
      <c r="E34" s="8" t="s">
        <v>22</v>
      </c>
      <c r="F34" s="9" t="s">
        <v>55</v>
      </c>
      <c r="G34" s="8" t="s">
        <v>56</v>
      </c>
      <c r="H34" s="8" t="s">
        <v>57</v>
      </c>
      <c r="I34" s="8" t="s">
        <v>58</v>
      </c>
      <c r="J34" s="9" t="s">
        <v>59</v>
      </c>
      <c r="K34" s="9" t="s">
        <v>34</v>
      </c>
      <c r="L34" s="9" t="s">
        <v>50</v>
      </c>
    </row>
    <row r="35" spans="1:12" ht="15" customHeight="1" x14ac:dyDescent="0.25">
      <c r="A35" s="15" t="s">
        <v>60</v>
      </c>
      <c r="B35" s="16"/>
      <c r="C35" s="16"/>
      <c r="D35" s="16"/>
      <c r="E35" s="16"/>
      <c r="F35" s="16"/>
      <c r="G35" s="16"/>
      <c r="H35" s="16"/>
      <c r="I35" s="16"/>
      <c r="J35" s="17"/>
      <c r="K35" s="15">
        <v>0</v>
      </c>
      <c r="L35" s="17"/>
    </row>
    <row r="36" spans="1:12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ht="15" customHeight="1" x14ac:dyDescent="0.25">
      <c r="A37" s="27" t="s">
        <v>61</v>
      </c>
      <c r="B37" s="27"/>
      <c r="C37" s="27"/>
      <c r="D37" s="27"/>
      <c r="E37" s="27"/>
      <c r="F37" s="27"/>
      <c r="G37" s="27"/>
      <c r="H37" s="27"/>
      <c r="I37" s="27"/>
      <c r="J37" s="27"/>
      <c r="K37" s="27">
        <v>21.13</v>
      </c>
      <c r="L37" s="27"/>
    </row>
    <row r="38" spans="1:12" ht="15" customHeight="1" x14ac:dyDescent="0.25">
      <c r="A38" s="27" t="s">
        <v>62</v>
      </c>
      <c r="B38" s="27"/>
      <c r="C38" s="27"/>
      <c r="D38" s="27"/>
      <c r="E38" s="27"/>
      <c r="F38" s="27"/>
      <c r="G38" s="27"/>
      <c r="H38" s="27"/>
      <c r="I38" s="27"/>
      <c r="J38" s="27"/>
      <c r="K38" s="27">
        <v>7.03</v>
      </c>
      <c r="L38" s="27"/>
    </row>
    <row r="39" spans="1:12" ht="15" customHeight="1" x14ac:dyDescent="0.25">
      <c r="A39" s="27" t="s">
        <v>63</v>
      </c>
      <c r="B39" s="27"/>
      <c r="C39" s="27"/>
      <c r="D39" s="27"/>
      <c r="E39" s="27"/>
      <c r="F39" s="27"/>
      <c r="G39" s="27"/>
      <c r="H39" s="27"/>
      <c r="I39" s="27"/>
      <c r="J39" s="27"/>
      <c r="K39" s="27">
        <v>28.16</v>
      </c>
      <c r="L39" s="27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" customHeight="1" x14ac:dyDescent="0.25">
      <c r="A41" s="3" t="s">
        <v>8</v>
      </c>
      <c r="B41" s="6" t="s">
        <v>9</v>
      </c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ht="15" customHeight="1" x14ac:dyDescent="0.25">
      <c r="A42" s="3" t="s">
        <v>10</v>
      </c>
      <c r="B42" s="6" t="s">
        <v>64</v>
      </c>
      <c r="C42" s="6"/>
      <c r="D42" s="6"/>
      <c r="E42" s="6"/>
      <c r="F42" s="6"/>
      <c r="G42" s="6"/>
      <c r="H42" s="6"/>
      <c r="I42" s="6"/>
      <c r="J42" s="6"/>
      <c r="K42" s="3" t="s">
        <v>12</v>
      </c>
      <c r="L42" s="4" t="s">
        <v>13</v>
      </c>
    </row>
    <row r="43" spans="1:12" ht="15" customHeight="1" x14ac:dyDescent="0.25">
      <c r="A43" s="3" t="s">
        <v>14</v>
      </c>
      <c r="B43" s="6" t="s">
        <v>15</v>
      </c>
      <c r="C43" s="6"/>
      <c r="D43" s="7" t="s">
        <v>16</v>
      </c>
      <c r="E43" s="7"/>
      <c r="F43" s="6" t="str">
        <f>"010264"</f>
        <v>010264</v>
      </c>
      <c r="G43" s="6"/>
      <c r="H43" s="3" t="s">
        <v>17</v>
      </c>
      <c r="I43" s="6" t="s">
        <v>18</v>
      </c>
      <c r="J43" s="6"/>
      <c r="K43" s="3" t="s">
        <v>19</v>
      </c>
      <c r="L43" s="5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" customHeight="1" x14ac:dyDescent="0.25">
      <c r="A45" s="10" t="s">
        <v>20</v>
      </c>
      <c r="B45" s="11"/>
      <c r="C45" s="12"/>
      <c r="D45" s="8" t="s">
        <v>21</v>
      </c>
      <c r="E45" s="8" t="s">
        <v>22</v>
      </c>
      <c r="F45" s="9" t="s">
        <v>23</v>
      </c>
      <c r="G45" s="9" t="s">
        <v>24</v>
      </c>
      <c r="H45" s="9" t="s">
        <v>25</v>
      </c>
      <c r="I45" s="9" t="s">
        <v>26</v>
      </c>
      <c r="J45" s="9" t="s">
        <v>27</v>
      </c>
      <c r="K45" s="13" t="s">
        <v>28</v>
      </c>
      <c r="L45" s="14"/>
    </row>
    <row r="46" spans="1:12" ht="15" customHeight="1" x14ac:dyDescent="0.25">
      <c r="A46" s="15" t="s">
        <v>29</v>
      </c>
      <c r="B46" s="16"/>
      <c r="C46" s="16"/>
      <c r="D46" s="16"/>
      <c r="E46" s="16"/>
      <c r="F46" s="16"/>
      <c r="G46" s="16"/>
      <c r="H46" s="16"/>
      <c r="I46" s="16"/>
      <c r="J46" s="17"/>
      <c r="K46" s="15">
        <v>0</v>
      </c>
      <c r="L46" s="17"/>
    </row>
    <row r="47" spans="1:12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ht="15" customHeight="1" x14ac:dyDescent="0.25">
      <c r="A48" s="10" t="s">
        <v>30</v>
      </c>
      <c r="B48" s="11"/>
      <c r="C48" s="12"/>
      <c r="D48" s="8" t="s">
        <v>21</v>
      </c>
      <c r="E48" s="8" t="s">
        <v>22</v>
      </c>
      <c r="F48" s="9" t="s">
        <v>31</v>
      </c>
      <c r="G48" s="9" t="s">
        <v>32</v>
      </c>
      <c r="H48" s="9" t="s">
        <v>33</v>
      </c>
      <c r="I48" s="13" t="s">
        <v>34</v>
      </c>
      <c r="J48" s="14"/>
      <c r="K48" s="13" t="s">
        <v>28</v>
      </c>
      <c r="L48" s="14"/>
    </row>
    <row r="49" spans="1:12" ht="15" customHeight="1" x14ac:dyDescent="0.25">
      <c r="A49" s="21" t="s">
        <v>65</v>
      </c>
      <c r="B49" s="22"/>
      <c r="C49" s="23"/>
      <c r="D49" s="19" t="str">
        <f>"010124"</f>
        <v>010124</v>
      </c>
      <c r="E49" s="19" t="s">
        <v>36</v>
      </c>
      <c r="F49" s="20">
        <v>10.119999999999999</v>
      </c>
      <c r="G49" s="20">
        <v>157.27000000000001</v>
      </c>
      <c r="H49" s="20">
        <v>26.03</v>
      </c>
      <c r="I49" s="24">
        <v>0.5</v>
      </c>
      <c r="J49" s="25"/>
      <c r="K49" s="24">
        <v>13.01</v>
      </c>
      <c r="L49" s="25"/>
    </row>
    <row r="50" spans="1:12" ht="15" customHeight="1" x14ac:dyDescent="0.25">
      <c r="A50" s="21" t="s">
        <v>37</v>
      </c>
      <c r="B50" s="22"/>
      <c r="C50" s="23"/>
      <c r="D50" s="19" t="str">
        <f>"010146"</f>
        <v>010146</v>
      </c>
      <c r="E50" s="19" t="s">
        <v>36</v>
      </c>
      <c r="F50" s="20">
        <v>7.65</v>
      </c>
      <c r="G50" s="20">
        <v>157.27000000000001</v>
      </c>
      <c r="H50" s="20">
        <v>19.68</v>
      </c>
      <c r="I50" s="24">
        <v>1</v>
      </c>
      <c r="J50" s="25"/>
      <c r="K50" s="24">
        <v>19.68</v>
      </c>
      <c r="L50" s="25"/>
    </row>
    <row r="51" spans="1:12" ht="15" customHeight="1" x14ac:dyDescent="0.25">
      <c r="A51" s="15" t="s">
        <v>38</v>
      </c>
      <c r="B51" s="16"/>
      <c r="C51" s="16"/>
      <c r="D51" s="16"/>
      <c r="E51" s="16"/>
      <c r="F51" s="16"/>
      <c r="G51" s="16"/>
      <c r="H51" s="16"/>
      <c r="I51" s="16"/>
      <c r="J51" s="17"/>
      <c r="K51" s="15">
        <v>32.69</v>
      </c>
      <c r="L51" s="17"/>
    </row>
    <row r="52" spans="1:12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15" customHeight="1" x14ac:dyDescent="0.25">
      <c r="A53" s="10" t="s">
        <v>39</v>
      </c>
      <c r="B53" s="11"/>
      <c r="C53" s="12"/>
      <c r="D53" s="8" t="s">
        <v>21</v>
      </c>
      <c r="E53" s="13" t="s">
        <v>40</v>
      </c>
      <c r="F53" s="14"/>
      <c r="G53" s="8" t="s">
        <v>41</v>
      </c>
      <c r="H53" s="8" t="s">
        <v>42</v>
      </c>
      <c r="I53" s="8" t="s">
        <v>43</v>
      </c>
      <c r="J53" s="13" t="s">
        <v>44</v>
      </c>
      <c r="K53" s="26"/>
      <c r="L53" s="14"/>
    </row>
    <row r="54" spans="1:12" ht="15" customHeight="1" x14ac:dyDescent="0.25">
      <c r="A54" s="15" t="s">
        <v>45</v>
      </c>
      <c r="B54" s="16"/>
      <c r="C54" s="16"/>
      <c r="D54" s="16"/>
      <c r="E54" s="16"/>
      <c r="F54" s="16"/>
      <c r="G54" s="16"/>
      <c r="H54" s="16"/>
      <c r="I54" s="16"/>
      <c r="J54" s="17"/>
      <c r="K54" s="15">
        <v>0</v>
      </c>
      <c r="L54" s="17"/>
    </row>
    <row r="55" spans="1:12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ht="15" customHeight="1" x14ac:dyDescent="0.25">
      <c r="A56" s="27" t="s">
        <v>46</v>
      </c>
      <c r="B56" s="27"/>
      <c r="C56" s="27"/>
      <c r="D56" s="27"/>
      <c r="E56" s="27"/>
      <c r="F56" s="27"/>
      <c r="G56" s="27"/>
      <c r="H56" s="27"/>
      <c r="I56" s="27"/>
      <c r="J56" s="27"/>
      <c r="K56" s="27">
        <v>32.69</v>
      </c>
      <c r="L56" s="27"/>
    </row>
    <row r="57" spans="1:12" ht="15" customHeight="1" x14ac:dyDescent="0.25">
      <c r="A57" s="27" t="s">
        <v>47</v>
      </c>
      <c r="B57" s="27"/>
      <c r="C57" s="27"/>
      <c r="D57" s="27"/>
      <c r="E57" s="27"/>
      <c r="F57" s="27"/>
      <c r="G57" s="27"/>
      <c r="H57" s="27"/>
      <c r="I57" s="27"/>
      <c r="J57" s="27"/>
      <c r="K57" s="27">
        <v>1</v>
      </c>
      <c r="L57" s="27"/>
    </row>
    <row r="58" spans="1:12" ht="15" customHeight="1" x14ac:dyDescent="0.25">
      <c r="A58" s="27" t="s">
        <v>48</v>
      </c>
      <c r="B58" s="27"/>
      <c r="C58" s="27"/>
      <c r="D58" s="27"/>
      <c r="E58" s="27"/>
      <c r="F58" s="27"/>
      <c r="G58" s="27"/>
      <c r="H58" s="27"/>
      <c r="I58" s="27"/>
      <c r="J58" s="27"/>
      <c r="K58" s="27">
        <v>32.69</v>
      </c>
      <c r="L58" s="27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" customHeight="1" x14ac:dyDescent="0.25">
      <c r="A60" s="10" t="s">
        <v>49</v>
      </c>
      <c r="B60" s="11"/>
      <c r="C60" s="11"/>
      <c r="D60" s="11"/>
      <c r="E60" s="12"/>
      <c r="F60" s="8" t="s">
        <v>21</v>
      </c>
      <c r="G60" s="8" t="s">
        <v>22</v>
      </c>
      <c r="H60" s="9" t="s">
        <v>44</v>
      </c>
      <c r="I60" s="13" t="s">
        <v>34</v>
      </c>
      <c r="J60" s="14"/>
      <c r="K60" s="13" t="s">
        <v>50</v>
      </c>
      <c r="L60" s="14"/>
    </row>
    <row r="61" spans="1:12" ht="15" customHeight="1" x14ac:dyDescent="0.25">
      <c r="A61" s="15" t="s">
        <v>51</v>
      </c>
      <c r="B61" s="16"/>
      <c r="C61" s="16"/>
      <c r="D61" s="16"/>
      <c r="E61" s="16"/>
      <c r="F61" s="16"/>
      <c r="G61" s="16"/>
      <c r="H61" s="16"/>
      <c r="I61" s="16"/>
      <c r="J61" s="17"/>
      <c r="K61" s="15">
        <v>0</v>
      </c>
      <c r="L61" s="17"/>
    </row>
    <row r="62" spans="1:12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ht="15" customHeight="1" x14ac:dyDescent="0.25">
      <c r="A63" s="10" t="s">
        <v>52</v>
      </c>
      <c r="B63" s="11"/>
      <c r="C63" s="11"/>
      <c r="D63" s="11"/>
      <c r="E63" s="12"/>
      <c r="F63" s="8" t="s">
        <v>21</v>
      </c>
      <c r="G63" s="8" t="s">
        <v>22</v>
      </c>
      <c r="H63" s="9" t="s">
        <v>44</v>
      </c>
      <c r="I63" s="13" t="s">
        <v>34</v>
      </c>
      <c r="J63" s="14"/>
      <c r="K63" s="13" t="s">
        <v>50</v>
      </c>
      <c r="L63" s="14"/>
    </row>
    <row r="64" spans="1:12" ht="15" customHeight="1" x14ac:dyDescent="0.25">
      <c r="A64" s="15" t="s">
        <v>53</v>
      </c>
      <c r="B64" s="16"/>
      <c r="C64" s="16"/>
      <c r="D64" s="16"/>
      <c r="E64" s="16"/>
      <c r="F64" s="16"/>
      <c r="G64" s="16"/>
      <c r="H64" s="16"/>
      <c r="I64" s="16"/>
      <c r="J64" s="17"/>
      <c r="K64" s="15">
        <v>0</v>
      </c>
      <c r="L64" s="17"/>
    </row>
    <row r="65" spans="1:12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ht="15" customHeight="1" x14ac:dyDescent="0.25">
      <c r="A66" s="10" t="s">
        <v>54</v>
      </c>
      <c r="B66" s="11"/>
      <c r="C66" s="12"/>
      <c r="D66" s="8" t="s">
        <v>21</v>
      </c>
      <c r="E66" s="8" t="s">
        <v>22</v>
      </c>
      <c r="F66" s="9" t="s">
        <v>55</v>
      </c>
      <c r="G66" s="8" t="s">
        <v>56</v>
      </c>
      <c r="H66" s="8" t="s">
        <v>57</v>
      </c>
      <c r="I66" s="8" t="s">
        <v>58</v>
      </c>
      <c r="J66" s="9" t="s">
        <v>59</v>
      </c>
      <c r="K66" s="9" t="s">
        <v>34</v>
      </c>
      <c r="L66" s="9" t="s">
        <v>50</v>
      </c>
    </row>
    <row r="67" spans="1:12" ht="15" customHeight="1" x14ac:dyDescent="0.25">
      <c r="A67" s="15" t="s">
        <v>60</v>
      </c>
      <c r="B67" s="16"/>
      <c r="C67" s="16"/>
      <c r="D67" s="16"/>
      <c r="E67" s="16"/>
      <c r="F67" s="16"/>
      <c r="G67" s="16"/>
      <c r="H67" s="16"/>
      <c r="I67" s="16"/>
      <c r="J67" s="17"/>
      <c r="K67" s="15">
        <v>0</v>
      </c>
      <c r="L67" s="17"/>
    </row>
    <row r="68" spans="1:12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ht="15" customHeight="1" x14ac:dyDescent="0.25">
      <c r="A69" s="27" t="s">
        <v>61</v>
      </c>
      <c r="B69" s="27"/>
      <c r="C69" s="27"/>
      <c r="D69" s="27"/>
      <c r="E69" s="27"/>
      <c r="F69" s="27"/>
      <c r="G69" s="27"/>
      <c r="H69" s="27"/>
      <c r="I69" s="27"/>
      <c r="J69" s="27"/>
      <c r="K69" s="27">
        <v>32.69</v>
      </c>
      <c r="L69" s="27"/>
    </row>
    <row r="70" spans="1:12" ht="15" customHeight="1" x14ac:dyDescent="0.25">
      <c r="A70" s="27" t="s">
        <v>62</v>
      </c>
      <c r="B70" s="27"/>
      <c r="C70" s="27"/>
      <c r="D70" s="27"/>
      <c r="E70" s="27"/>
      <c r="F70" s="27"/>
      <c r="G70" s="27"/>
      <c r="H70" s="27"/>
      <c r="I70" s="27"/>
      <c r="J70" s="27"/>
      <c r="K70" s="27">
        <v>10.87</v>
      </c>
      <c r="L70" s="27"/>
    </row>
    <row r="71" spans="1:12" ht="15" customHeight="1" x14ac:dyDescent="0.25">
      <c r="A71" s="27" t="s">
        <v>63</v>
      </c>
      <c r="B71" s="27"/>
      <c r="C71" s="27"/>
      <c r="D71" s="27"/>
      <c r="E71" s="27"/>
      <c r="F71" s="27"/>
      <c r="G71" s="27"/>
      <c r="H71" s="27"/>
      <c r="I71" s="27"/>
      <c r="J71" s="27"/>
      <c r="K71" s="27">
        <v>43.56</v>
      </c>
      <c r="L71" s="27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" customHeight="1" x14ac:dyDescent="0.25">
      <c r="A73" s="3" t="s">
        <v>8</v>
      </c>
      <c r="B73" s="6" t="s">
        <v>9</v>
      </c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ht="15" customHeight="1" x14ac:dyDescent="0.25">
      <c r="A74" s="3" t="s">
        <v>10</v>
      </c>
      <c r="B74" s="6" t="s">
        <v>66</v>
      </c>
      <c r="C74" s="6"/>
      <c r="D74" s="6"/>
      <c r="E74" s="6"/>
      <c r="F74" s="6"/>
      <c r="G74" s="6"/>
      <c r="H74" s="6"/>
      <c r="I74" s="6"/>
      <c r="J74" s="6"/>
      <c r="K74" s="3" t="s">
        <v>12</v>
      </c>
      <c r="L74" s="4" t="s">
        <v>13</v>
      </c>
    </row>
    <row r="75" spans="1:12" ht="15" customHeight="1" x14ac:dyDescent="0.25">
      <c r="A75" s="3" t="s">
        <v>14</v>
      </c>
      <c r="B75" s="6" t="s">
        <v>15</v>
      </c>
      <c r="C75" s="6"/>
      <c r="D75" s="7" t="s">
        <v>16</v>
      </c>
      <c r="E75" s="7"/>
      <c r="F75" s="6" t="str">
        <f>"010206"</f>
        <v>010206</v>
      </c>
      <c r="G75" s="6"/>
      <c r="H75" s="3" t="s">
        <v>17</v>
      </c>
      <c r="I75" s="6" t="s">
        <v>18</v>
      </c>
      <c r="J75" s="6"/>
      <c r="K75" s="3" t="s">
        <v>19</v>
      </c>
      <c r="L75" s="5">
        <v>2</v>
      </c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" customHeight="1" x14ac:dyDescent="0.25">
      <c r="A77" s="10" t="s">
        <v>20</v>
      </c>
      <c r="B77" s="11"/>
      <c r="C77" s="12"/>
      <c r="D77" s="8" t="s">
        <v>21</v>
      </c>
      <c r="E77" s="8" t="s">
        <v>22</v>
      </c>
      <c r="F77" s="9" t="s">
        <v>23</v>
      </c>
      <c r="G77" s="9" t="s">
        <v>24</v>
      </c>
      <c r="H77" s="9" t="s">
        <v>25</v>
      </c>
      <c r="I77" s="9" t="s">
        <v>26</v>
      </c>
      <c r="J77" s="9" t="s">
        <v>27</v>
      </c>
      <c r="K77" s="13" t="s">
        <v>28</v>
      </c>
      <c r="L77" s="14"/>
    </row>
    <row r="78" spans="1:12" ht="15" customHeight="1" x14ac:dyDescent="0.25">
      <c r="A78" s="15" t="s">
        <v>29</v>
      </c>
      <c r="B78" s="16"/>
      <c r="C78" s="16"/>
      <c r="D78" s="16"/>
      <c r="E78" s="16"/>
      <c r="F78" s="16"/>
      <c r="G78" s="16"/>
      <c r="H78" s="16"/>
      <c r="I78" s="16"/>
      <c r="J78" s="17"/>
      <c r="K78" s="15">
        <v>0</v>
      </c>
      <c r="L78" s="17"/>
    </row>
    <row r="79" spans="1:12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ht="15" customHeight="1" x14ac:dyDescent="0.25">
      <c r="A80" s="10" t="s">
        <v>30</v>
      </c>
      <c r="B80" s="11"/>
      <c r="C80" s="12"/>
      <c r="D80" s="8" t="s">
        <v>21</v>
      </c>
      <c r="E80" s="8" t="s">
        <v>22</v>
      </c>
      <c r="F80" s="9" t="s">
        <v>31</v>
      </c>
      <c r="G80" s="9" t="s">
        <v>32</v>
      </c>
      <c r="H80" s="9" t="s">
        <v>33</v>
      </c>
      <c r="I80" s="13" t="s">
        <v>34</v>
      </c>
      <c r="J80" s="14"/>
      <c r="K80" s="13" t="s">
        <v>28</v>
      </c>
      <c r="L80" s="14"/>
    </row>
    <row r="81" spans="1:12" ht="15" customHeight="1" x14ac:dyDescent="0.25">
      <c r="A81" s="21" t="s">
        <v>35</v>
      </c>
      <c r="B81" s="22"/>
      <c r="C81" s="23"/>
      <c r="D81" s="19" t="str">
        <f>"010106"</f>
        <v>010106</v>
      </c>
      <c r="E81" s="19" t="s">
        <v>36</v>
      </c>
      <c r="F81" s="20">
        <v>10.119999999999999</v>
      </c>
      <c r="G81" s="20">
        <v>157.27000000000001</v>
      </c>
      <c r="H81" s="20">
        <v>26.03</v>
      </c>
      <c r="I81" s="24">
        <v>0.3</v>
      </c>
      <c r="J81" s="25"/>
      <c r="K81" s="24">
        <v>7.8</v>
      </c>
      <c r="L81" s="25"/>
    </row>
    <row r="82" spans="1:12" ht="15" customHeight="1" x14ac:dyDescent="0.25">
      <c r="A82" s="21" t="s">
        <v>37</v>
      </c>
      <c r="B82" s="22"/>
      <c r="C82" s="23"/>
      <c r="D82" s="19" t="str">
        <f>"010146"</f>
        <v>010146</v>
      </c>
      <c r="E82" s="19" t="s">
        <v>36</v>
      </c>
      <c r="F82" s="20">
        <v>7.65</v>
      </c>
      <c r="G82" s="20">
        <v>157.27000000000001</v>
      </c>
      <c r="H82" s="20">
        <v>19.68</v>
      </c>
      <c r="I82" s="24">
        <v>0.8</v>
      </c>
      <c r="J82" s="25"/>
      <c r="K82" s="24">
        <v>15.74</v>
      </c>
      <c r="L82" s="25"/>
    </row>
    <row r="83" spans="1:12" ht="15" customHeight="1" x14ac:dyDescent="0.25">
      <c r="A83" s="15" t="s">
        <v>38</v>
      </c>
      <c r="B83" s="16"/>
      <c r="C83" s="16"/>
      <c r="D83" s="16"/>
      <c r="E83" s="16"/>
      <c r="F83" s="16"/>
      <c r="G83" s="16"/>
      <c r="H83" s="16"/>
      <c r="I83" s="16"/>
      <c r="J83" s="17"/>
      <c r="K83" s="15">
        <v>23.54</v>
      </c>
      <c r="L83" s="17"/>
    </row>
    <row r="84" spans="1:12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ht="15" customHeight="1" x14ac:dyDescent="0.25">
      <c r="A85" s="10" t="s">
        <v>39</v>
      </c>
      <c r="B85" s="11"/>
      <c r="C85" s="12"/>
      <c r="D85" s="8" t="s">
        <v>21</v>
      </c>
      <c r="E85" s="13" t="s">
        <v>40</v>
      </c>
      <c r="F85" s="14"/>
      <c r="G85" s="8" t="s">
        <v>41</v>
      </c>
      <c r="H85" s="8" t="s">
        <v>42</v>
      </c>
      <c r="I85" s="8" t="s">
        <v>43</v>
      </c>
      <c r="J85" s="13" t="s">
        <v>44</v>
      </c>
      <c r="K85" s="26"/>
      <c r="L85" s="14"/>
    </row>
    <row r="86" spans="1:12" ht="15" customHeight="1" x14ac:dyDescent="0.25">
      <c r="A86" s="15" t="s">
        <v>45</v>
      </c>
      <c r="B86" s="16"/>
      <c r="C86" s="16"/>
      <c r="D86" s="16"/>
      <c r="E86" s="16"/>
      <c r="F86" s="16"/>
      <c r="G86" s="16"/>
      <c r="H86" s="16"/>
      <c r="I86" s="16"/>
      <c r="J86" s="17"/>
      <c r="K86" s="15">
        <v>0</v>
      </c>
      <c r="L86" s="17"/>
    </row>
    <row r="87" spans="1:12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ht="15" customHeight="1" x14ac:dyDescent="0.25">
      <c r="A88" s="27" t="s">
        <v>46</v>
      </c>
      <c r="B88" s="27"/>
      <c r="C88" s="27"/>
      <c r="D88" s="27"/>
      <c r="E88" s="27"/>
      <c r="F88" s="27"/>
      <c r="G88" s="27"/>
      <c r="H88" s="27"/>
      <c r="I88" s="27"/>
      <c r="J88" s="27"/>
      <c r="K88" s="27">
        <v>23.54</v>
      </c>
      <c r="L88" s="27"/>
    </row>
    <row r="89" spans="1:12" ht="15" customHeight="1" x14ac:dyDescent="0.25">
      <c r="A89" s="27" t="s">
        <v>47</v>
      </c>
      <c r="B89" s="27"/>
      <c r="C89" s="27"/>
      <c r="D89" s="27"/>
      <c r="E89" s="27"/>
      <c r="F89" s="27"/>
      <c r="G89" s="27"/>
      <c r="H89" s="27"/>
      <c r="I89" s="27"/>
      <c r="J89" s="27"/>
      <c r="K89" s="27">
        <v>1</v>
      </c>
      <c r="L89" s="27"/>
    </row>
    <row r="90" spans="1:12" ht="15" customHeight="1" x14ac:dyDescent="0.25">
      <c r="A90" s="27" t="s">
        <v>48</v>
      </c>
      <c r="B90" s="27"/>
      <c r="C90" s="27"/>
      <c r="D90" s="27"/>
      <c r="E90" s="27"/>
      <c r="F90" s="27"/>
      <c r="G90" s="27"/>
      <c r="H90" s="27"/>
      <c r="I90" s="27"/>
      <c r="J90" s="27"/>
      <c r="K90" s="27">
        <v>23.54</v>
      </c>
      <c r="L90" s="27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" customHeight="1" x14ac:dyDescent="0.25">
      <c r="A92" s="10" t="s">
        <v>49</v>
      </c>
      <c r="B92" s="11"/>
      <c r="C92" s="11"/>
      <c r="D92" s="11"/>
      <c r="E92" s="12"/>
      <c r="F92" s="8" t="s">
        <v>21</v>
      </c>
      <c r="G92" s="8" t="s">
        <v>22</v>
      </c>
      <c r="H92" s="9" t="s">
        <v>44</v>
      </c>
      <c r="I92" s="13" t="s">
        <v>34</v>
      </c>
      <c r="J92" s="14"/>
      <c r="K92" s="13" t="s">
        <v>50</v>
      </c>
      <c r="L92" s="14"/>
    </row>
    <row r="93" spans="1:12" ht="15" customHeight="1" x14ac:dyDescent="0.25">
      <c r="A93" s="15" t="s">
        <v>51</v>
      </c>
      <c r="B93" s="16"/>
      <c r="C93" s="16"/>
      <c r="D93" s="16"/>
      <c r="E93" s="16"/>
      <c r="F93" s="16"/>
      <c r="G93" s="16"/>
      <c r="H93" s="16"/>
      <c r="I93" s="16"/>
      <c r="J93" s="17"/>
      <c r="K93" s="15">
        <v>0</v>
      </c>
      <c r="L93" s="17"/>
    </row>
    <row r="94" spans="1:12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ht="15" customHeight="1" x14ac:dyDescent="0.25">
      <c r="A95" s="10" t="s">
        <v>52</v>
      </c>
      <c r="B95" s="11"/>
      <c r="C95" s="11"/>
      <c r="D95" s="11"/>
      <c r="E95" s="12"/>
      <c r="F95" s="8" t="s">
        <v>21</v>
      </c>
      <c r="G95" s="8" t="s">
        <v>22</v>
      </c>
      <c r="H95" s="9" t="s">
        <v>44</v>
      </c>
      <c r="I95" s="13" t="s">
        <v>34</v>
      </c>
      <c r="J95" s="14"/>
      <c r="K95" s="13" t="s">
        <v>50</v>
      </c>
      <c r="L95" s="14"/>
    </row>
    <row r="96" spans="1:12" ht="15" customHeight="1" x14ac:dyDescent="0.25">
      <c r="A96" s="15" t="s">
        <v>53</v>
      </c>
      <c r="B96" s="16"/>
      <c r="C96" s="16"/>
      <c r="D96" s="16"/>
      <c r="E96" s="16"/>
      <c r="F96" s="16"/>
      <c r="G96" s="16"/>
      <c r="H96" s="16"/>
      <c r="I96" s="16"/>
      <c r="J96" s="17"/>
      <c r="K96" s="15">
        <v>0</v>
      </c>
      <c r="L96" s="17"/>
    </row>
    <row r="97" spans="1:12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ht="15" customHeight="1" x14ac:dyDescent="0.25">
      <c r="A98" s="10" t="s">
        <v>54</v>
      </c>
      <c r="B98" s="11"/>
      <c r="C98" s="12"/>
      <c r="D98" s="8" t="s">
        <v>21</v>
      </c>
      <c r="E98" s="8" t="s">
        <v>22</v>
      </c>
      <c r="F98" s="9" t="s">
        <v>55</v>
      </c>
      <c r="G98" s="8" t="s">
        <v>56</v>
      </c>
      <c r="H98" s="8" t="s">
        <v>57</v>
      </c>
      <c r="I98" s="8" t="s">
        <v>58</v>
      </c>
      <c r="J98" s="9" t="s">
        <v>59</v>
      </c>
      <c r="K98" s="9" t="s">
        <v>34</v>
      </c>
      <c r="L98" s="9" t="s">
        <v>50</v>
      </c>
    </row>
    <row r="99" spans="1:12" ht="15" customHeight="1" x14ac:dyDescent="0.25">
      <c r="A99" s="15" t="s">
        <v>60</v>
      </c>
      <c r="B99" s="16"/>
      <c r="C99" s="16"/>
      <c r="D99" s="16"/>
      <c r="E99" s="16"/>
      <c r="F99" s="16"/>
      <c r="G99" s="16"/>
      <c r="H99" s="16"/>
      <c r="I99" s="16"/>
      <c r="J99" s="17"/>
      <c r="K99" s="15">
        <v>0</v>
      </c>
      <c r="L99" s="17"/>
    </row>
    <row r="100" spans="1:12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ht="15" customHeight="1" x14ac:dyDescent="0.25">
      <c r="A101" s="27" t="s">
        <v>61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>
        <v>23.54</v>
      </c>
      <c r="L101" s="27"/>
    </row>
    <row r="102" spans="1:12" ht="15" customHeight="1" x14ac:dyDescent="0.25">
      <c r="A102" s="27" t="s">
        <v>62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>
        <v>7.83</v>
      </c>
      <c r="L102" s="27"/>
    </row>
    <row r="103" spans="1:12" ht="15" customHeight="1" x14ac:dyDescent="0.25">
      <c r="A103" s="27" t="s">
        <v>63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>
        <v>31.37</v>
      </c>
      <c r="L103" s="27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" customHeight="1" x14ac:dyDescent="0.25">
      <c r="A105" s="3" t="s">
        <v>8</v>
      </c>
      <c r="B105" s="6" t="s">
        <v>9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ht="15" customHeight="1" x14ac:dyDescent="0.25">
      <c r="A106" s="3" t="s">
        <v>10</v>
      </c>
      <c r="B106" s="6" t="s">
        <v>67</v>
      </c>
      <c r="C106" s="6"/>
      <c r="D106" s="6"/>
      <c r="E106" s="6"/>
      <c r="F106" s="6"/>
      <c r="G106" s="6"/>
      <c r="H106" s="6"/>
      <c r="I106" s="6"/>
      <c r="J106" s="6"/>
      <c r="K106" s="3" t="s">
        <v>12</v>
      </c>
      <c r="L106" s="4" t="s">
        <v>68</v>
      </c>
    </row>
    <row r="107" spans="1:12" ht="15" customHeight="1" x14ac:dyDescent="0.25">
      <c r="A107" s="3" t="s">
        <v>14</v>
      </c>
      <c r="B107" s="6" t="s">
        <v>15</v>
      </c>
      <c r="C107" s="6"/>
      <c r="D107" s="7" t="s">
        <v>16</v>
      </c>
      <c r="E107" s="7"/>
      <c r="F107" s="6" t="str">
        <f>"010209"</f>
        <v>010209</v>
      </c>
      <c r="G107" s="6"/>
      <c r="H107" s="3" t="s">
        <v>17</v>
      </c>
      <c r="I107" s="6" t="s">
        <v>18</v>
      </c>
      <c r="J107" s="6"/>
      <c r="K107" s="3" t="s">
        <v>19</v>
      </c>
      <c r="L107" s="5">
        <v>2</v>
      </c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" customHeight="1" x14ac:dyDescent="0.25">
      <c r="A109" s="10" t="s">
        <v>20</v>
      </c>
      <c r="B109" s="11"/>
      <c r="C109" s="12"/>
      <c r="D109" s="8" t="s">
        <v>21</v>
      </c>
      <c r="E109" s="8" t="s">
        <v>22</v>
      </c>
      <c r="F109" s="9" t="s">
        <v>23</v>
      </c>
      <c r="G109" s="9" t="s">
        <v>24</v>
      </c>
      <c r="H109" s="9" t="s">
        <v>25</v>
      </c>
      <c r="I109" s="9" t="s">
        <v>26</v>
      </c>
      <c r="J109" s="9" t="s">
        <v>27</v>
      </c>
      <c r="K109" s="13" t="s">
        <v>28</v>
      </c>
      <c r="L109" s="14"/>
    </row>
    <row r="110" spans="1:12" ht="15" customHeight="1" x14ac:dyDescent="0.25">
      <c r="A110" s="15" t="s">
        <v>29</v>
      </c>
      <c r="B110" s="16"/>
      <c r="C110" s="16"/>
      <c r="D110" s="16"/>
      <c r="E110" s="16"/>
      <c r="F110" s="16"/>
      <c r="G110" s="16"/>
      <c r="H110" s="16"/>
      <c r="I110" s="16"/>
      <c r="J110" s="17"/>
      <c r="K110" s="15">
        <v>0</v>
      </c>
      <c r="L110" s="17"/>
    </row>
    <row r="111" spans="1:1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ht="15" customHeight="1" x14ac:dyDescent="0.25">
      <c r="A112" s="10" t="s">
        <v>30</v>
      </c>
      <c r="B112" s="11"/>
      <c r="C112" s="12"/>
      <c r="D112" s="8" t="s">
        <v>21</v>
      </c>
      <c r="E112" s="8" t="s">
        <v>22</v>
      </c>
      <c r="F112" s="9" t="s">
        <v>31</v>
      </c>
      <c r="G112" s="9" t="s">
        <v>32</v>
      </c>
      <c r="H112" s="9" t="s">
        <v>33</v>
      </c>
      <c r="I112" s="13" t="s">
        <v>34</v>
      </c>
      <c r="J112" s="14"/>
      <c r="K112" s="13" t="s">
        <v>28</v>
      </c>
      <c r="L112" s="14"/>
    </row>
    <row r="113" spans="1:12" ht="15" customHeight="1" x14ac:dyDescent="0.25">
      <c r="A113" s="21" t="s">
        <v>69</v>
      </c>
      <c r="B113" s="22"/>
      <c r="C113" s="23"/>
      <c r="D113" s="19" t="str">
        <f>"010139"</f>
        <v>010139</v>
      </c>
      <c r="E113" s="19" t="s">
        <v>36</v>
      </c>
      <c r="F113" s="20">
        <v>10.119999999999999</v>
      </c>
      <c r="G113" s="20">
        <v>157.27000000000001</v>
      </c>
      <c r="H113" s="20">
        <v>26.03</v>
      </c>
      <c r="I113" s="24">
        <v>0.4</v>
      </c>
      <c r="J113" s="25"/>
      <c r="K113" s="24">
        <v>10.41</v>
      </c>
      <c r="L113" s="25"/>
    </row>
    <row r="114" spans="1:12" ht="15" customHeight="1" x14ac:dyDescent="0.25">
      <c r="A114" s="21" t="s">
        <v>37</v>
      </c>
      <c r="B114" s="22"/>
      <c r="C114" s="23"/>
      <c r="D114" s="19" t="str">
        <f>"010146"</f>
        <v>010146</v>
      </c>
      <c r="E114" s="19" t="s">
        <v>36</v>
      </c>
      <c r="F114" s="20">
        <v>7.65</v>
      </c>
      <c r="G114" s="20">
        <v>157.27000000000001</v>
      </c>
      <c r="H114" s="20">
        <v>19.68</v>
      </c>
      <c r="I114" s="24">
        <v>2.5</v>
      </c>
      <c r="J114" s="25"/>
      <c r="K114" s="24">
        <v>49.2</v>
      </c>
      <c r="L114" s="25"/>
    </row>
    <row r="115" spans="1:12" ht="15" customHeight="1" x14ac:dyDescent="0.25">
      <c r="A115" s="15" t="s">
        <v>38</v>
      </c>
      <c r="B115" s="16"/>
      <c r="C115" s="16"/>
      <c r="D115" s="16"/>
      <c r="E115" s="16"/>
      <c r="F115" s="16"/>
      <c r="G115" s="16"/>
      <c r="H115" s="16"/>
      <c r="I115" s="16"/>
      <c r="J115" s="17"/>
      <c r="K115" s="15">
        <v>59.61</v>
      </c>
      <c r="L115" s="17"/>
    </row>
    <row r="116" spans="1:12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 ht="15" customHeight="1" x14ac:dyDescent="0.25">
      <c r="A117" s="10" t="s">
        <v>39</v>
      </c>
      <c r="B117" s="11"/>
      <c r="C117" s="12"/>
      <c r="D117" s="8" t="s">
        <v>21</v>
      </c>
      <c r="E117" s="13" t="s">
        <v>40</v>
      </c>
      <c r="F117" s="14"/>
      <c r="G117" s="8" t="s">
        <v>41</v>
      </c>
      <c r="H117" s="8" t="s">
        <v>42</v>
      </c>
      <c r="I117" s="8" t="s">
        <v>43</v>
      </c>
      <c r="J117" s="13" t="s">
        <v>44</v>
      </c>
      <c r="K117" s="26"/>
      <c r="L117" s="14"/>
    </row>
    <row r="118" spans="1:12" ht="15" customHeight="1" x14ac:dyDescent="0.25">
      <c r="A118" s="15" t="s">
        <v>45</v>
      </c>
      <c r="B118" s="16"/>
      <c r="C118" s="16"/>
      <c r="D118" s="16"/>
      <c r="E118" s="16"/>
      <c r="F118" s="16"/>
      <c r="G118" s="16"/>
      <c r="H118" s="16"/>
      <c r="I118" s="16"/>
      <c r="J118" s="17"/>
      <c r="K118" s="15">
        <v>0</v>
      </c>
      <c r="L118" s="17"/>
    </row>
    <row r="119" spans="1:12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spans="1:12" ht="15" customHeight="1" x14ac:dyDescent="0.25">
      <c r="A120" s="27" t="s">
        <v>46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>
        <v>59.61</v>
      </c>
      <c r="L120" s="27"/>
    </row>
    <row r="121" spans="1:12" ht="15" customHeight="1" x14ac:dyDescent="0.25">
      <c r="A121" s="27" t="s">
        <v>47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>
        <v>1</v>
      </c>
      <c r="L121" s="27"/>
    </row>
    <row r="122" spans="1:12" ht="15" customHeight="1" x14ac:dyDescent="0.25">
      <c r="A122" s="27" t="s">
        <v>48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>
        <v>59.61</v>
      </c>
      <c r="L122" s="27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" customHeight="1" x14ac:dyDescent="0.25">
      <c r="A124" s="10" t="s">
        <v>49</v>
      </c>
      <c r="B124" s="11"/>
      <c r="C124" s="11"/>
      <c r="D124" s="11"/>
      <c r="E124" s="12"/>
      <c r="F124" s="8" t="s">
        <v>21</v>
      </c>
      <c r="G124" s="8" t="s">
        <v>22</v>
      </c>
      <c r="H124" s="9" t="s">
        <v>44</v>
      </c>
      <c r="I124" s="13" t="s">
        <v>34</v>
      </c>
      <c r="J124" s="14"/>
      <c r="K124" s="13" t="s">
        <v>50</v>
      </c>
      <c r="L124" s="14"/>
    </row>
    <row r="125" spans="1:12" ht="15" customHeight="1" x14ac:dyDescent="0.25">
      <c r="A125" s="15" t="s">
        <v>51</v>
      </c>
      <c r="B125" s="16"/>
      <c r="C125" s="16"/>
      <c r="D125" s="16"/>
      <c r="E125" s="16"/>
      <c r="F125" s="16"/>
      <c r="G125" s="16"/>
      <c r="H125" s="16"/>
      <c r="I125" s="16"/>
      <c r="J125" s="17"/>
      <c r="K125" s="15">
        <v>0</v>
      </c>
      <c r="L125" s="17"/>
    </row>
    <row r="126" spans="1:12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 ht="15" customHeight="1" x14ac:dyDescent="0.25">
      <c r="A127" s="10" t="s">
        <v>52</v>
      </c>
      <c r="B127" s="11"/>
      <c r="C127" s="11"/>
      <c r="D127" s="11"/>
      <c r="E127" s="12"/>
      <c r="F127" s="8" t="s">
        <v>21</v>
      </c>
      <c r="G127" s="8" t="s">
        <v>22</v>
      </c>
      <c r="H127" s="9" t="s">
        <v>44</v>
      </c>
      <c r="I127" s="13" t="s">
        <v>34</v>
      </c>
      <c r="J127" s="14"/>
      <c r="K127" s="13" t="s">
        <v>50</v>
      </c>
      <c r="L127" s="14"/>
    </row>
    <row r="128" spans="1:12" ht="15" customHeight="1" x14ac:dyDescent="0.25">
      <c r="A128" s="15" t="s">
        <v>53</v>
      </c>
      <c r="B128" s="16"/>
      <c r="C128" s="16"/>
      <c r="D128" s="16"/>
      <c r="E128" s="16"/>
      <c r="F128" s="16"/>
      <c r="G128" s="16"/>
      <c r="H128" s="16"/>
      <c r="I128" s="16"/>
      <c r="J128" s="17"/>
      <c r="K128" s="15">
        <v>0</v>
      </c>
      <c r="L128" s="17"/>
    </row>
    <row r="129" spans="1:12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 ht="15" customHeight="1" x14ac:dyDescent="0.25">
      <c r="A130" s="10" t="s">
        <v>54</v>
      </c>
      <c r="B130" s="11"/>
      <c r="C130" s="12"/>
      <c r="D130" s="8" t="s">
        <v>21</v>
      </c>
      <c r="E130" s="8" t="s">
        <v>22</v>
      </c>
      <c r="F130" s="9" t="s">
        <v>55</v>
      </c>
      <c r="G130" s="8" t="s">
        <v>56</v>
      </c>
      <c r="H130" s="8" t="s">
        <v>57</v>
      </c>
      <c r="I130" s="8" t="s">
        <v>58</v>
      </c>
      <c r="J130" s="9" t="s">
        <v>59</v>
      </c>
      <c r="K130" s="9" t="s">
        <v>34</v>
      </c>
      <c r="L130" s="9" t="s">
        <v>50</v>
      </c>
    </row>
    <row r="131" spans="1:12" ht="15" customHeight="1" x14ac:dyDescent="0.25">
      <c r="A131" s="15" t="s">
        <v>60</v>
      </c>
      <c r="B131" s="16"/>
      <c r="C131" s="16"/>
      <c r="D131" s="16"/>
      <c r="E131" s="16"/>
      <c r="F131" s="16"/>
      <c r="G131" s="16"/>
      <c r="H131" s="16"/>
      <c r="I131" s="16"/>
      <c r="J131" s="17"/>
      <c r="K131" s="15">
        <v>0</v>
      </c>
      <c r="L131" s="17"/>
    </row>
    <row r="132" spans="1:12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 ht="15" customHeight="1" x14ac:dyDescent="0.25">
      <c r="A133" s="27" t="s">
        <v>61</v>
      </c>
      <c r="B133" s="27"/>
      <c r="C133" s="27"/>
      <c r="D133" s="27"/>
      <c r="E133" s="27"/>
      <c r="F133" s="27"/>
      <c r="G133" s="27"/>
      <c r="H133" s="27"/>
      <c r="I133" s="27"/>
      <c r="J133" s="27"/>
      <c r="K133" s="27">
        <v>59.61</v>
      </c>
      <c r="L133" s="27"/>
    </row>
    <row r="134" spans="1:12" ht="15" customHeight="1" x14ac:dyDescent="0.25">
      <c r="A134" s="27" t="s">
        <v>62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>
        <v>19.82</v>
      </c>
      <c r="L134" s="27"/>
    </row>
    <row r="135" spans="1:12" ht="15" customHeight="1" x14ac:dyDescent="0.25">
      <c r="A135" s="27" t="s">
        <v>63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>
        <v>79.430000000000007</v>
      </c>
      <c r="L135" s="27"/>
    </row>
    <row r="136" spans="1:1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" customHeight="1" x14ac:dyDescent="0.25">
      <c r="A137" s="3" t="s">
        <v>8</v>
      </c>
      <c r="B137" s="6" t="s">
        <v>9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ht="15" customHeight="1" x14ac:dyDescent="0.25">
      <c r="A138" s="3" t="s">
        <v>10</v>
      </c>
      <c r="B138" s="6" t="s">
        <v>70</v>
      </c>
      <c r="C138" s="6"/>
      <c r="D138" s="6"/>
      <c r="E138" s="6"/>
      <c r="F138" s="6"/>
      <c r="G138" s="6"/>
      <c r="H138" s="6"/>
      <c r="I138" s="6"/>
      <c r="J138" s="6"/>
      <c r="K138" s="3" t="s">
        <v>12</v>
      </c>
      <c r="L138" s="4" t="s">
        <v>13</v>
      </c>
    </row>
    <row r="139" spans="1:12" ht="15" customHeight="1" x14ac:dyDescent="0.25">
      <c r="A139" s="3" t="s">
        <v>14</v>
      </c>
      <c r="B139" s="6" t="s">
        <v>15</v>
      </c>
      <c r="C139" s="6"/>
      <c r="D139" s="7" t="s">
        <v>16</v>
      </c>
      <c r="E139" s="7"/>
      <c r="F139" s="6" t="str">
        <f>"010214"</f>
        <v>010214</v>
      </c>
      <c r="G139" s="6"/>
      <c r="H139" s="3" t="s">
        <v>17</v>
      </c>
      <c r="I139" s="6" t="s">
        <v>18</v>
      </c>
      <c r="J139" s="6"/>
      <c r="K139" s="3" t="s">
        <v>19</v>
      </c>
      <c r="L139" s="5">
        <v>2</v>
      </c>
    </row>
    <row r="140" spans="1:1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" customHeight="1" x14ac:dyDescent="0.25">
      <c r="A141" s="10" t="s">
        <v>20</v>
      </c>
      <c r="B141" s="11"/>
      <c r="C141" s="12"/>
      <c r="D141" s="8" t="s">
        <v>21</v>
      </c>
      <c r="E141" s="8" t="s">
        <v>22</v>
      </c>
      <c r="F141" s="9" t="s">
        <v>23</v>
      </c>
      <c r="G141" s="9" t="s">
        <v>24</v>
      </c>
      <c r="H141" s="9" t="s">
        <v>25</v>
      </c>
      <c r="I141" s="9" t="s">
        <v>26</v>
      </c>
      <c r="J141" s="9" t="s">
        <v>27</v>
      </c>
      <c r="K141" s="13" t="s">
        <v>28</v>
      </c>
      <c r="L141" s="14"/>
    </row>
    <row r="142" spans="1:12" ht="15" customHeight="1" x14ac:dyDescent="0.25">
      <c r="A142" s="15" t="s">
        <v>29</v>
      </c>
      <c r="B142" s="16"/>
      <c r="C142" s="16"/>
      <c r="D142" s="16"/>
      <c r="E142" s="16"/>
      <c r="F142" s="16"/>
      <c r="G142" s="16"/>
      <c r="H142" s="16"/>
      <c r="I142" s="16"/>
      <c r="J142" s="17"/>
      <c r="K142" s="15">
        <v>0</v>
      </c>
      <c r="L142" s="17"/>
    </row>
    <row r="143" spans="1:12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 spans="1:12" ht="15" customHeight="1" x14ac:dyDescent="0.25">
      <c r="A144" s="10" t="s">
        <v>30</v>
      </c>
      <c r="B144" s="11"/>
      <c r="C144" s="12"/>
      <c r="D144" s="8" t="s">
        <v>21</v>
      </c>
      <c r="E144" s="8" t="s">
        <v>22</v>
      </c>
      <c r="F144" s="9" t="s">
        <v>31</v>
      </c>
      <c r="G144" s="9" t="s">
        <v>32</v>
      </c>
      <c r="H144" s="9" t="s">
        <v>33</v>
      </c>
      <c r="I144" s="13" t="s">
        <v>34</v>
      </c>
      <c r="J144" s="14"/>
      <c r="K144" s="13" t="s">
        <v>28</v>
      </c>
      <c r="L144" s="14"/>
    </row>
    <row r="145" spans="1:12" ht="15" customHeight="1" x14ac:dyDescent="0.25">
      <c r="A145" s="21" t="s">
        <v>69</v>
      </c>
      <c r="B145" s="22"/>
      <c r="C145" s="23"/>
      <c r="D145" s="19" t="str">
        <f>"010139"</f>
        <v>010139</v>
      </c>
      <c r="E145" s="19" t="s">
        <v>36</v>
      </c>
      <c r="F145" s="20">
        <v>10.119999999999999</v>
      </c>
      <c r="G145" s="20">
        <v>157.27000000000001</v>
      </c>
      <c r="H145" s="20">
        <v>26.03</v>
      </c>
      <c r="I145" s="24">
        <v>0.3</v>
      </c>
      <c r="J145" s="25"/>
      <c r="K145" s="24">
        <v>7.8</v>
      </c>
      <c r="L145" s="25"/>
    </row>
    <row r="146" spans="1:12" ht="15" customHeight="1" x14ac:dyDescent="0.25">
      <c r="A146" s="21" t="s">
        <v>37</v>
      </c>
      <c r="B146" s="22"/>
      <c r="C146" s="23"/>
      <c r="D146" s="19" t="str">
        <f>"010146"</f>
        <v>010146</v>
      </c>
      <c r="E146" s="19" t="s">
        <v>36</v>
      </c>
      <c r="F146" s="20">
        <v>7.65</v>
      </c>
      <c r="G146" s="20">
        <v>157.27000000000001</v>
      </c>
      <c r="H146" s="20">
        <v>19.68</v>
      </c>
      <c r="I146" s="24">
        <v>0.8</v>
      </c>
      <c r="J146" s="25"/>
      <c r="K146" s="24">
        <v>15.74</v>
      </c>
      <c r="L146" s="25"/>
    </row>
    <row r="147" spans="1:12" ht="15" customHeight="1" x14ac:dyDescent="0.25">
      <c r="A147" s="15" t="s">
        <v>38</v>
      </c>
      <c r="B147" s="16"/>
      <c r="C147" s="16"/>
      <c r="D147" s="16"/>
      <c r="E147" s="16"/>
      <c r="F147" s="16"/>
      <c r="G147" s="16"/>
      <c r="H147" s="16"/>
      <c r="I147" s="16"/>
      <c r="J147" s="17"/>
      <c r="K147" s="15">
        <v>23.54</v>
      </c>
      <c r="L147" s="17"/>
    </row>
    <row r="148" spans="1:12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ht="15" customHeight="1" x14ac:dyDescent="0.25">
      <c r="A149" s="10" t="s">
        <v>39</v>
      </c>
      <c r="B149" s="11"/>
      <c r="C149" s="12"/>
      <c r="D149" s="8" t="s">
        <v>21</v>
      </c>
      <c r="E149" s="13" t="s">
        <v>40</v>
      </c>
      <c r="F149" s="14"/>
      <c r="G149" s="8" t="s">
        <v>41</v>
      </c>
      <c r="H149" s="8" t="s">
        <v>42</v>
      </c>
      <c r="I149" s="8" t="s">
        <v>43</v>
      </c>
      <c r="J149" s="13" t="s">
        <v>44</v>
      </c>
      <c r="K149" s="26"/>
      <c r="L149" s="14"/>
    </row>
    <row r="150" spans="1:12" ht="15" customHeight="1" x14ac:dyDescent="0.25">
      <c r="A150" s="15" t="s">
        <v>45</v>
      </c>
      <c r="B150" s="16"/>
      <c r="C150" s="16"/>
      <c r="D150" s="16"/>
      <c r="E150" s="16"/>
      <c r="F150" s="16"/>
      <c r="G150" s="16"/>
      <c r="H150" s="16"/>
      <c r="I150" s="16"/>
      <c r="J150" s="17"/>
      <c r="K150" s="15">
        <v>0</v>
      </c>
      <c r="L150" s="17"/>
    </row>
    <row r="151" spans="1:12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 ht="15" customHeight="1" x14ac:dyDescent="0.25">
      <c r="A152" s="27" t="s">
        <v>46</v>
      </c>
      <c r="B152" s="27"/>
      <c r="C152" s="27"/>
      <c r="D152" s="27"/>
      <c r="E152" s="27"/>
      <c r="F152" s="27"/>
      <c r="G152" s="27"/>
      <c r="H152" s="27"/>
      <c r="I152" s="27"/>
      <c r="J152" s="27"/>
      <c r="K152" s="27">
        <v>23.54</v>
      </c>
      <c r="L152" s="27"/>
    </row>
    <row r="153" spans="1:12" ht="15" customHeight="1" x14ac:dyDescent="0.25">
      <c r="A153" s="27" t="s">
        <v>47</v>
      </c>
      <c r="B153" s="27"/>
      <c r="C153" s="27"/>
      <c r="D153" s="27"/>
      <c r="E153" s="27"/>
      <c r="F153" s="27"/>
      <c r="G153" s="27"/>
      <c r="H153" s="27"/>
      <c r="I153" s="27"/>
      <c r="J153" s="27"/>
      <c r="K153" s="27">
        <v>1</v>
      </c>
      <c r="L153" s="27"/>
    </row>
    <row r="154" spans="1:12" ht="15" customHeight="1" x14ac:dyDescent="0.25">
      <c r="A154" s="27" t="s">
        <v>48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>
        <v>23.54</v>
      </c>
      <c r="L154" s="27"/>
    </row>
    <row r="155" spans="1:1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" customHeight="1" x14ac:dyDescent="0.25">
      <c r="A156" s="10" t="s">
        <v>49</v>
      </c>
      <c r="B156" s="11"/>
      <c r="C156" s="11"/>
      <c r="D156" s="11"/>
      <c r="E156" s="12"/>
      <c r="F156" s="8" t="s">
        <v>21</v>
      </c>
      <c r="G156" s="8" t="s">
        <v>22</v>
      </c>
      <c r="H156" s="9" t="s">
        <v>44</v>
      </c>
      <c r="I156" s="13" t="s">
        <v>34</v>
      </c>
      <c r="J156" s="14"/>
      <c r="K156" s="13" t="s">
        <v>50</v>
      </c>
      <c r="L156" s="14"/>
    </row>
    <row r="157" spans="1:12" ht="15" customHeight="1" x14ac:dyDescent="0.25">
      <c r="A157" s="15" t="s">
        <v>51</v>
      </c>
      <c r="B157" s="16"/>
      <c r="C157" s="16"/>
      <c r="D157" s="16"/>
      <c r="E157" s="16"/>
      <c r="F157" s="16"/>
      <c r="G157" s="16"/>
      <c r="H157" s="16"/>
      <c r="I157" s="16"/>
      <c r="J157" s="17"/>
      <c r="K157" s="15">
        <v>0</v>
      </c>
      <c r="L157" s="17"/>
    </row>
    <row r="158" spans="1:12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spans="1:12" ht="15" customHeight="1" x14ac:dyDescent="0.25">
      <c r="A159" s="10" t="s">
        <v>52</v>
      </c>
      <c r="B159" s="11"/>
      <c r="C159" s="11"/>
      <c r="D159" s="11"/>
      <c r="E159" s="12"/>
      <c r="F159" s="8" t="s">
        <v>21</v>
      </c>
      <c r="G159" s="8" t="s">
        <v>22</v>
      </c>
      <c r="H159" s="9" t="s">
        <v>44</v>
      </c>
      <c r="I159" s="13" t="s">
        <v>34</v>
      </c>
      <c r="J159" s="14"/>
      <c r="K159" s="13" t="s">
        <v>50</v>
      </c>
      <c r="L159" s="14"/>
    </row>
    <row r="160" spans="1:12" ht="15" customHeight="1" x14ac:dyDescent="0.25">
      <c r="A160" s="15" t="s">
        <v>53</v>
      </c>
      <c r="B160" s="16"/>
      <c r="C160" s="16"/>
      <c r="D160" s="16"/>
      <c r="E160" s="16"/>
      <c r="F160" s="16"/>
      <c r="G160" s="16"/>
      <c r="H160" s="16"/>
      <c r="I160" s="16"/>
      <c r="J160" s="17"/>
      <c r="K160" s="15">
        <v>0</v>
      </c>
      <c r="L160" s="17"/>
    </row>
    <row r="161" spans="1:12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 spans="1:12" ht="15" customHeight="1" x14ac:dyDescent="0.25">
      <c r="A162" s="10" t="s">
        <v>54</v>
      </c>
      <c r="B162" s="11"/>
      <c r="C162" s="12"/>
      <c r="D162" s="8" t="s">
        <v>21</v>
      </c>
      <c r="E162" s="8" t="s">
        <v>22</v>
      </c>
      <c r="F162" s="9" t="s">
        <v>55</v>
      </c>
      <c r="G162" s="8" t="s">
        <v>56</v>
      </c>
      <c r="H162" s="8" t="s">
        <v>57</v>
      </c>
      <c r="I162" s="8" t="s">
        <v>58</v>
      </c>
      <c r="J162" s="9" t="s">
        <v>59</v>
      </c>
      <c r="K162" s="9" t="s">
        <v>34</v>
      </c>
      <c r="L162" s="9" t="s">
        <v>50</v>
      </c>
    </row>
    <row r="163" spans="1:12" ht="15" customHeight="1" x14ac:dyDescent="0.25">
      <c r="A163" s="15" t="s">
        <v>60</v>
      </c>
      <c r="B163" s="16"/>
      <c r="C163" s="16"/>
      <c r="D163" s="16"/>
      <c r="E163" s="16"/>
      <c r="F163" s="16"/>
      <c r="G163" s="16"/>
      <c r="H163" s="16"/>
      <c r="I163" s="16"/>
      <c r="J163" s="17"/>
      <c r="K163" s="15">
        <v>0</v>
      </c>
      <c r="L163" s="17"/>
    </row>
    <row r="164" spans="1:12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spans="1:12" ht="15" customHeight="1" x14ac:dyDescent="0.25">
      <c r="A165" s="27" t="s">
        <v>61</v>
      </c>
      <c r="B165" s="27"/>
      <c r="C165" s="27"/>
      <c r="D165" s="27"/>
      <c r="E165" s="27"/>
      <c r="F165" s="27"/>
      <c r="G165" s="27"/>
      <c r="H165" s="27"/>
      <c r="I165" s="27"/>
      <c r="J165" s="27"/>
      <c r="K165" s="27">
        <v>23.54</v>
      </c>
      <c r="L165" s="27"/>
    </row>
    <row r="166" spans="1:12" ht="15" customHeight="1" x14ac:dyDescent="0.25">
      <c r="A166" s="27" t="s">
        <v>62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>
        <v>7.83</v>
      </c>
      <c r="L166" s="27"/>
    </row>
    <row r="167" spans="1:12" ht="15" customHeight="1" x14ac:dyDescent="0.25">
      <c r="A167" s="27" t="s">
        <v>63</v>
      </c>
      <c r="B167" s="27"/>
      <c r="C167" s="27"/>
      <c r="D167" s="27"/>
      <c r="E167" s="27"/>
      <c r="F167" s="27"/>
      <c r="G167" s="27"/>
      <c r="H167" s="27"/>
      <c r="I167" s="27"/>
      <c r="J167" s="27"/>
      <c r="K167" s="27">
        <v>31.37</v>
      </c>
      <c r="L167" s="27"/>
    </row>
    <row r="168" spans="1:1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" customHeight="1" x14ac:dyDescent="0.25">
      <c r="A169" s="3" t="s">
        <v>8</v>
      </c>
      <c r="B169" s="6" t="s">
        <v>9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ht="15" customHeight="1" x14ac:dyDescent="0.25">
      <c r="A170" s="3" t="s">
        <v>10</v>
      </c>
      <c r="B170" s="6" t="s">
        <v>71</v>
      </c>
      <c r="C170" s="6"/>
      <c r="D170" s="6"/>
      <c r="E170" s="6"/>
      <c r="F170" s="6"/>
      <c r="G170" s="6"/>
      <c r="H170" s="6"/>
      <c r="I170" s="6"/>
      <c r="J170" s="6"/>
      <c r="K170" s="3" t="s">
        <v>12</v>
      </c>
      <c r="L170" s="4" t="s">
        <v>13</v>
      </c>
    </row>
    <row r="171" spans="1:12" ht="15" customHeight="1" x14ac:dyDescent="0.25">
      <c r="A171" s="3" t="s">
        <v>14</v>
      </c>
      <c r="B171" s="6" t="s">
        <v>15</v>
      </c>
      <c r="C171" s="6"/>
      <c r="D171" s="7" t="s">
        <v>16</v>
      </c>
      <c r="E171" s="7"/>
      <c r="F171" s="6" t="str">
        <f>"010215"</f>
        <v>010215</v>
      </c>
      <c r="G171" s="6"/>
      <c r="H171" s="3" t="s">
        <v>17</v>
      </c>
      <c r="I171" s="6" t="s">
        <v>18</v>
      </c>
      <c r="J171" s="6"/>
      <c r="K171" s="3" t="s">
        <v>19</v>
      </c>
      <c r="L171" s="5">
        <v>1</v>
      </c>
    </row>
    <row r="172" spans="1:1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" customHeight="1" x14ac:dyDescent="0.25">
      <c r="A173" s="10" t="s">
        <v>20</v>
      </c>
      <c r="B173" s="11"/>
      <c r="C173" s="12"/>
      <c r="D173" s="8" t="s">
        <v>21</v>
      </c>
      <c r="E173" s="8" t="s">
        <v>22</v>
      </c>
      <c r="F173" s="9" t="s">
        <v>23</v>
      </c>
      <c r="G173" s="9" t="s">
        <v>24</v>
      </c>
      <c r="H173" s="9" t="s">
        <v>25</v>
      </c>
      <c r="I173" s="9" t="s">
        <v>26</v>
      </c>
      <c r="J173" s="9" t="s">
        <v>27</v>
      </c>
      <c r="K173" s="13" t="s">
        <v>28</v>
      </c>
      <c r="L173" s="14"/>
    </row>
    <row r="174" spans="1:12" ht="15" customHeight="1" x14ac:dyDescent="0.25">
      <c r="A174" s="15" t="s">
        <v>29</v>
      </c>
      <c r="B174" s="16"/>
      <c r="C174" s="16"/>
      <c r="D174" s="16"/>
      <c r="E174" s="16"/>
      <c r="F174" s="16"/>
      <c r="G174" s="16"/>
      <c r="H174" s="16"/>
      <c r="I174" s="16"/>
      <c r="J174" s="17"/>
      <c r="K174" s="15">
        <v>0</v>
      </c>
      <c r="L174" s="17"/>
    </row>
    <row r="175" spans="1:12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 spans="1:12" ht="15" customHeight="1" x14ac:dyDescent="0.25">
      <c r="A176" s="10" t="s">
        <v>30</v>
      </c>
      <c r="B176" s="11"/>
      <c r="C176" s="12"/>
      <c r="D176" s="8" t="s">
        <v>21</v>
      </c>
      <c r="E176" s="8" t="s">
        <v>22</v>
      </c>
      <c r="F176" s="9" t="s">
        <v>31</v>
      </c>
      <c r="G176" s="9" t="s">
        <v>32</v>
      </c>
      <c r="H176" s="9" t="s">
        <v>33</v>
      </c>
      <c r="I176" s="13" t="s">
        <v>34</v>
      </c>
      <c r="J176" s="14"/>
      <c r="K176" s="13" t="s">
        <v>28</v>
      </c>
      <c r="L176" s="14"/>
    </row>
    <row r="177" spans="1:12" ht="15" customHeight="1" x14ac:dyDescent="0.25">
      <c r="A177" s="21" t="s">
        <v>69</v>
      </c>
      <c r="B177" s="22"/>
      <c r="C177" s="23"/>
      <c r="D177" s="19" t="str">
        <f>"010139"</f>
        <v>010139</v>
      </c>
      <c r="E177" s="19" t="s">
        <v>36</v>
      </c>
      <c r="F177" s="20">
        <v>10.119999999999999</v>
      </c>
      <c r="G177" s="20">
        <v>157.27000000000001</v>
      </c>
      <c r="H177" s="20">
        <v>26.03</v>
      </c>
      <c r="I177" s="24">
        <v>0.05</v>
      </c>
      <c r="J177" s="25"/>
      <c r="K177" s="24">
        <v>1.3</v>
      </c>
      <c r="L177" s="25"/>
    </row>
    <row r="178" spans="1:12" ht="15" customHeight="1" x14ac:dyDescent="0.25">
      <c r="A178" s="21" t="s">
        <v>37</v>
      </c>
      <c r="B178" s="22"/>
      <c r="C178" s="23"/>
      <c r="D178" s="19" t="str">
        <f>"010146"</f>
        <v>010146</v>
      </c>
      <c r="E178" s="19" t="s">
        <v>36</v>
      </c>
      <c r="F178" s="20">
        <v>7.65</v>
      </c>
      <c r="G178" s="20">
        <v>157.27000000000001</v>
      </c>
      <c r="H178" s="20">
        <v>19.68</v>
      </c>
      <c r="I178" s="24">
        <v>0.5</v>
      </c>
      <c r="J178" s="25"/>
      <c r="K178" s="24">
        <v>9.84</v>
      </c>
      <c r="L178" s="25"/>
    </row>
    <row r="179" spans="1:12" ht="15" customHeight="1" x14ac:dyDescent="0.25">
      <c r="A179" s="15" t="s">
        <v>38</v>
      </c>
      <c r="B179" s="16"/>
      <c r="C179" s="16"/>
      <c r="D179" s="16"/>
      <c r="E179" s="16"/>
      <c r="F179" s="16"/>
      <c r="G179" s="16"/>
      <c r="H179" s="16"/>
      <c r="I179" s="16"/>
      <c r="J179" s="17"/>
      <c r="K179" s="15">
        <v>11.14</v>
      </c>
      <c r="L179" s="17"/>
    </row>
    <row r="180" spans="1:12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 spans="1:12" ht="15" customHeight="1" x14ac:dyDescent="0.25">
      <c r="A181" s="10" t="s">
        <v>39</v>
      </c>
      <c r="B181" s="11"/>
      <c r="C181" s="12"/>
      <c r="D181" s="8" t="s">
        <v>21</v>
      </c>
      <c r="E181" s="13" t="s">
        <v>40</v>
      </c>
      <c r="F181" s="14"/>
      <c r="G181" s="8" t="s">
        <v>41</v>
      </c>
      <c r="H181" s="8" t="s">
        <v>42</v>
      </c>
      <c r="I181" s="8" t="s">
        <v>43</v>
      </c>
      <c r="J181" s="13" t="s">
        <v>44</v>
      </c>
      <c r="K181" s="26"/>
      <c r="L181" s="14"/>
    </row>
    <row r="182" spans="1:12" ht="15" customHeight="1" x14ac:dyDescent="0.25">
      <c r="A182" s="15" t="s">
        <v>45</v>
      </c>
      <c r="B182" s="16"/>
      <c r="C182" s="16"/>
      <c r="D182" s="16"/>
      <c r="E182" s="16"/>
      <c r="F182" s="16"/>
      <c r="G182" s="16"/>
      <c r="H182" s="16"/>
      <c r="I182" s="16"/>
      <c r="J182" s="17"/>
      <c r="K182" s="15">
        <v>0</v>
      </c>
      <c r="L182" s="17"/>
    </row>
    <row r="183" spans="1:12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 spans="1:12" ht="15" customHeight="1" x14ac:dyDescent="0.25">
      <c r="A184" s="27" t="s">
        <v>46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>
        <v>11.14</v>
      </c>
      <c r="L184" s="27"/>
    </row>
    <row r="185" spans="1:12" ht="15" customHeight="1" x14ac:dyDescent="0.25">
      <c r="A185" s="27" t="s">
        <v>47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>
        <v>1</v>
      </c>
      <c r="L185" s="27"/>
    </row>
    <row r="186" spans="1:12" ht="15" customHeight="1" x14ac:dyDescent="0.25">
      <c r="A186" s="27" t="s">
        <v>48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>
        <v>11.14</v>
      </c>
      <c r="L186" s="27"/>
    </row>
    <row r="187" spans="1:1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" customHeight="1" x14ac:dyDescent="0.25">
      <c r="A188" s="10" t="s">
        <v>49</v>
      </c>
      <c r="B188" s="11"/>
      <c r="C188" s="11"/>
      <c r="D188" s="11"/>
      <c r="E188" s="12"/>
      <c r="F188" s="8" t="s">
        <v>21</v>
      </c>
      <c r="G188" s="8" t="s">
        <v>22</v>
      </c>
      <c r="H188" s="9" t="s">
        <v>44</v>
      </c>
      <c r="I188" s="13" t="s">
        <v>34</v>
      </c>
      <c r="J188" s="14"/>
      <c r="K188" s="13" t="s">
        <v>50</v>
      </c>
      <c r="L188" s="14"/>
    </row>
    <row r="189" spans="1:12" ht="15" customHeight="1" x14ac:dyDescent="0.25">
      <c r="A189" s="15" t="s">
        <v>51</v>
      </c>
      <c r="B189" s="16"/>
      <c r="C189" s="16"/>
      <c r="D189" s="16"/>
      <c r="E189" s="16"/>
      <c r="F189" s="16"/>
      <c r="G189" s="16"/>
      <c r="H189" s="16"/>
      <c r="I189" s="16"/>
      <c r="J189" s="17"/>
      <c r="K189" s="15">
        <v>0</v>
      </c>
      <c r="L189" s="17"/>
    </row>
    <row r="190" spans="1:12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 spans="1:12" ht="15" customHeight="1" x14ac:dyDescent="0.25">
      <c r="A191" s="10" t="s">
        <v>52</v>
      </c>
      <c r="B191" s="11"/>
      <c r="C191" s="11"/>
      <c r="D191" s="11"/>
      <c r="E191" s="12"/>
      <c r="F191" s="8" t="s">
        <v>21</v>
      </c>
      <c r="G191" s="8" t="s">
        <v>22</v>
      </c>
      <c r="H191" s="9" t="s">
        <v>44</v>
      </c>
      <c r="I191" s="13" t="s">
        <v>34</v>
      </c>
      <c r="J191" s="14"/>
      <c r="K191" s="13" t="s">
        <v>50</v>
      </c>
      <c r="L191" s="14"/>
    </row>
    <row r="192" spans="1:12" ht="15" customHeight="1" x14ac:dyDescent="0.25">
      <c r="A192" s="15" t="s">
        <v>53</v>
      </c>
      <c r="B192" s="16"/>
      <c r="C192" s="16"/>
      <c r="D192" s="16"/>
      <c r="E192" s="16"/>
      <c r="F192" s="16"/>
      <c r="G192" s="16"/>
      <c r="H192" s="16"/>
      <c r="I192" s="16"/>
      <c r="J192" s="17"/>
      <c r="K192" s="15">
        <v>0</v>
      </c>
      <c r="L192" s="17"/>
    </row>
    <row r="193" spans="1:12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 spans="1:12" ht="15" customHeight="1" x14ac:dyDescent="0.25">
      <c r="A194" s="10" t="s">
        <v>54</v>
      </c>
      <c r="B194" s="11"/>
      <c r="C194" s="12"/>
      <c r="D194" s="8" t="s">
        <v>21</v>
      </c>
      <c r="E194" s="8" t="s">
        <v>22</v>
      </c>
      <c r="F194" s="9" t="s">
        <v>55</v>
      </c>
      <c r="G194" s="8" t="s">
        <v>56</v>
      </c>
      <c r="H194" s="8" t="s">
        <v>57</v>
      </c>
      <c r="I194" s="8" t="s">
        <v>58</v>
      </c>
      <c r="J194" s="9" t="s">
        <v>59</v>
      </c>
      <c r="K194" s="9" t="s">
        <v>34</v>
      </c>
      <c r="L194" s="9" t="s">
        <v>50</v>
      </c>
    </row>
    <row r="195" spans="1:12" ht="15" customHeight="1" x14ac:dyDescent="0.25">
      <c r="A195" s="15" t="s">
        <v>60</v>
      </c>
      <c r="B195" s="16"/>
      <c r="C195" s="16"/>
      <c r="D195" s="16"/>
      <c r="E195" s="16"/>
      <c r="F195" s="16"/>
      <c r="G195" s="16"/>
      <c r="H195" s="16"/>
      <c r="I195" s="16"/>
      <c r="J195" s="17"/>
      <c r="K195" s="15">
        <v>0</v>
      </c>
      <c r="L195" s="17"/>
    </row>
    <row r="196" spans="1:12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 spans="1:12" ht="15" customHeight="1" x14ac:dyDescent="0.25">
      <c r="A197" s="27" t="s">
        <v>61</v>
      </c>
      <c r="B197" s="27"/>
      <c r="C197" s="27"/>
      <c r="D197" s="27"/>
      <c r="E197" s="27"/>
      <c r="F197" s="27"/>
      <c r="G197" s="27"/>
      <c r="H197" s="27"/>
      <c r="I197" s="27"/>
      <c r="J197" s="27"/>
      <c r="K197" s="27">
        <v>11.14</v>
      </c>
      <c r="L197" s="27"/>
    </row>
    <row r="198" spans="1:12" ht="15" customHeight="1" x14ac:dyDescent="0.25">
      <c r="A198" s="27" t="s">
        <v>62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>
        <v>3.7</v>
      </c>
      <c r="L198" s="27"/>
    </row>
    <row r="199" spans="1:12" ht="15" customHeight="1" x14ac:dyDescent="0.25">
      <c r="A199" s="27" t="s">
        <v>63</v>
      </c>
      <c r="B199" s="27"/>
      <c r="C199" s="27"/>
      <c r="D199" s="27"/>
      <c r="E199" s="27"/>
      <c r="F199" s="27"/>
      <c r="G199" s="27"/>
      <c r="H199" s="27"/>
      <c r="I199" s="27"/>
      <c r="J199" s="27"/>
      <c r="K199" s="27">
        <v>14.84</v>
      </c>
      <c r="L199" s="27"/>
    </row>
    <row r="200" spans="1:1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" customHeight="1" x14ac:dyDescent="0.25">
      <c r="A201" s="3" t="s">
        <v>8</v>
      </c>
      <c r="B201" s="6" t="s">
        <v>9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ht="15" customHeight="1" x14ac:dyDescent="0.25">
      <c r="A202" s="3" t="s">
        <v>10</v>
      </c>
      <c r="B202" s="6" t="s">
        <v>72</v>
      </c>
      <c r="C202" s="6"/>
      <c r="D202" s="6"/>
      <c r="E202" s="6"/>
      <c r="F202" s="6"/>
      <c r="G202" s="6"/>
      <c r="H202" s="6"/>
      <c r="I202" s="6"/>
      <c r="J202" s="6"/>
      <c r="K202" s="3" t="s">
        <v>12</v>
      </c>
      <c r="L202" s="4" t="s">
        <v>13</v>
      </c>
    </row>
    <row r="203" spans="1:12" ht="15" customHeight="1" x14ac:dyDescent="0.25">
      <c r="A203" s="3" t="s">
        <v>14</v>
      </c>
      <c r="B203" s="6" t="s">
        <v>15</v>
      </c>
      <c r="C203" s="6"/>
      <c r="D203" s="7" t="s">
        <v>16</v>
      </c>
      <c r="E203" s="7"/>
      <c r="F203" s="6" t="str">
        <f>"010224"</f>
        <v>010224</v>
      </c>
      <c r="G203" s="6"/>
      <c r="H203" s="3" t="s">
        <v>17</v>
      </c>
      <c r="I203" s="6" t="s">
        <v>18</v>
      </c>
      <c r="J203" s="6"/>
      <c r="K203" s="3" t="s">
        <v>19</v>
      </c>
      <c r="L203" s="5">
        <v>2</v>
      </c>
    </row>
    <row r="204" spans="1:1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" customHeight="1" x14ac:dyDescent="0.25">
      <c r="A205" s="10" t="s">
        <v>20</v>
      </c>
      <c r="B205" s="11"/>
      <c r="C205" s="12"/>
      <c r="D205" s="8" t="s">
        <v>21</v>
      </c>
      <c r="E205" s="8" t="s">
        <v>22</v>
      </c>
      <c r="F205" s="9" t="s">
        <v>23</v>
      </c>
      <c r="G205" s="9" t="s">
        <v>24</v>
      </c>
      <c r="H205" s="9" t="s">
        <v>25</v>
      </c>
      <c r="I205" s="9" t="s">
        <v>26</v>
      </c>
      <c r="J205" s="9" t="s">
        <v>27</v>
      </c>
      <c r="K205" s="13" t="s">
        <v>28</v>
      </c>
      <c r="L205" s="14"/>
    </row>
    <row r="206" spans="1:12" ht="15" customHeight="1" x14ac:dyDescent="0.25">
      <c r="A206" s="15" t="s">
        <v>29</v>
      </c>
      <c r="B206" s="16"/>
      <c r="C206" s="16"/>
      <c r="D206" s="16"/>
      <c r="E206" s="16"/>
      <c r="F206" s="16"/>
      <c r="G206" s="16"/>
      <c r="H206" s="16"/>
      <c r="I206" s="16"/>
      <c r="J206" s="17"/>
      <c r="K206" s="15">
        <v>0</v>
      </c>
      <c r="L206" s="17"/>
    </row>
    <row r="207" spans="1:12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 spans="1:12" ht="15" customHeight="1" x14ac:dyDescent="0.25">
      <c r="A208" s="10" t="s">
        <v>30</v>
      </c>
      <c r="B208" s="11"/>
      <c r="C208" s="12"/>
      <c r="D208" s="8" t="s">
        <v>21</v>
      </c>
      <c r="E208" s="8" t="s">
        <v>22</v>
      </c>
      <c r="F208" s="9" t="s">
        <v>31</v>
      </c>
      <c r="G208" s="9" t="s">
        <v>32</v>
      </c>
      <c r="H208" s="9" t="s">
        <v>33</v>
      </c>
      <c r="I208" s="13" t="s">
        <v>34</v>
      </c>
      <c r="J208" s="14"/>
      <c r="K208" s="13" t="s">
        <v>28</v>
      </c>
      <c r="L208" s="14"/>
    </row>
    <row r="209" spans="1:12" ht="15" customHeight="1" x14ac:dyDescent="0.25">
      <c r="A209" s="21" t="s">
        <v>73</v>
      </c>
      <c r="B209" s="22"/>
      <c r="C209" s="23"/>
      <c r="D209" s="19" t="str">
        <f>"010144"</f>
        <v>010144</v>
      </c>
      <c r="E209" s="19" t="s">
        <v>36</v>
      </c>
      <c r="F209" s="20">
        <v>10.119999999999999</v>
      </c>
      <c r="G209" s="20">
        <v>157.27000000000001</v>
      </c>
      <c r="H209" s="20">
        <v>26.03</v>
      </c>
      <c r="I209" s="24">
        <v>0.3</v>
      </c>
      <c r="J209" s="25"/>
      <c r="K209" s="24">
        <v>7.8</v>
      </c>
      <c r="L209" s="25"/>
    </row>
    <row r="210" spans="1:12" ht="15" customHeight="1" x14ac:dyDescent="0.25">
      <c r="A210" s="21" t="s">
        <v>37</v>
      </c>
      <c r="B210" s="22"/>
      <c r="C210" s="23"/>
      <c r="D210" s="19" t="str">
        <f>"010146"</f>
        <v>010146</v>
      </c>
      <c r="E210" s="19" t="s">
        <v>36</v>
      </c>
      <c r="F210" s="20">
        <v>7.65</v>
      </c>
      <c r="G210" s="20">
        <v>157.27000000000001</v>
      </c>
      <c r="H210" s="20">
        <v>19.68</v>
      </c>
      <c r="I210" s="24">
        <v>0.3</v>
      </c>
      <c r="J210" s="25"/>
      <c r="K210" s="24">
        <v>5.9</v>
      </c>
      <c r="L210" s="25"/>
    </row>
    <row r="211" spans="1:12" ht="15" customHeight="1" x14ac:dyDescent="0.25">
      <c r="A211" s="15" t="s">
        <v>38</v>
      </c>
      <c r="B211" s="16"/>
      <c r="C211" s="16"/>
      <c r="D211" s="16"/>
      <c r="E211" s="16"/>
      <c r="F211" s="16"/>
      <c r="G211" s="16"/>
      <c r="H211" s="16"/>
      <c r="I211" s="16"/>
      <c r="J211" s="17"/>
      <c r="K211" s="15">
        <v>13.7</v>
      </c>
      <c r="L211" s="17"/>
    </row>
    <row r="212" spans="1:12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 spans="1:12" ht="15" customHeight="1" x14ac:dyDescent="0.25">
      <c r="A213" s="10" t="s">
        <v>39</v>
      </c>
      <c r="B213" s="11"/>
      <c r="C213" s="12"/>
      <c r="D213" s="8" t="s">
        <v>21</v>
      </c>
      <c r="E213" s="13" t="s">
        <v>40</v>
      </c>
      <c r="F213" s="14"/>
      <c r="G213" s="8" t="s">
        <v>41</v>
      </c>
      <c r="H213" s="8" t="s">
        <v>42</v>
      </c>
      <c r="I213" s="8" t="s">
        <v>43</v>
      </c>
      <c r="J213" s="13" t="s">
        <v>44</v>
      </c>
      <c r="K213" s="26"/>
      <c r="L213" s="14"/>
    </row>
    <row r="214" spans="1:12" ht="15" customHeight="1" x14ac:dyDescent="0.25">
      <c r="A214" s="15" t="s">
        <v>45</v>
      </c>
      <c r="B214" s="16"/>
      <c r="C214" s="16"/>
      <c r="D214" s="16"/>
      <c r="E214" s="16"/>
      <c r="F214" s="16"/>
      <c r="G214" s="16"/>
      <c r="H214" s="16"/>
      <c r="I214" s="16"/>
      <c r="J214" s="17"/>
      <c r="K214" s="15">
        <v>0</v>
      </c>
      <c r="L214" s="17"/>
    </row>
    <row r="215" spans="1:12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 spans="1:12" ht="15" customHeight="1" x14ac:dyDescent="0.25">
      <c r="A216" s="27" t="s">
        <v>46</v>
      </c>
      <c r="B216" s="27"/>
      <c r="C216" s="27"/>
      <c r="D216" s="27"/>
      <c r="E216" s="27"/>
      <c r="F216" s="27"/>
      <c r="G216" s="27"/>
      <c r="H216" s="27"/>
      <c r="I216" s="27"/>
      <c r="J216" s="27"/>
      <c r="K216" s="27">
        <v>13.7</v>
      </c>
      <c r="L216" s="27"/>
    </row>
    <row r="217" spans="1:12" ht="15" customHeight="1" x14ac:dyDescent="0.25">
      <c r="A217" s="27" t="s">
        <v>47</v>
      </c>
      <c r="B217" s="27"/>
      <c r="C217" s="27"/>
      <c r="D217" s="27"/>
      <c r="E217" s="27"/>
      <c r="F217" s="27"/>
      <c r="G217" s="27"/>
      <c r="H217" s="27"/>
      <c r="I217" s="27"/>
      <c r="J217" s="27"/>
      <c r="K217" s="27">
        <v>1</v>
      </c>
      <c r="L217" s="27"/>
    </row>
    <row r="218" spans="1:12" ht="15" customHeight="1" x14ac:dyDescent="0.25">
      <c r="A218" s="27" t="s">
        <v>48</v>
      </c>
      <c r="B218" s="27"/>
      <c r="C218" s="27"/>
      <c r="D218" s="27"/>
      <c r="E218" s="27"/>
      <c r="F218" s="27"/>
      <c r="G218" s="27"/>
      <c r="H218" s="27"/>
      <c r="I218" s="27"/>
      <c r="J218" s="27"/>
      <c r="K218" s="27">
        <v>13.7</v>
      </c>
      <c r="L218" s="27"/>
    </row>
    <row r="219" spans="1:1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" customHeight="1" x14ac:dyDescent="0.25">
      <c r="A220" s="10" t="s">
        <v>49</v>
      </c>
      <c r="B220" s="11"/>
      <c r="C220" s="11"/>
      <c r="D220" s="11"/>
      <c r="E220" s="12"/>
      <c r="F220" s="8" t="s">
        <v>21</v>
      </c>
      <c r="G220" s="8" t="s">
        <v>22</v>
      </c>
      <c r="H220" s="9" t="s">
        <v>44</v>
      </c>
      <c r="I220" s="13" t="s">
        <v>34</v>
      </c>
      <c r="J220" s="14"/>
      <c r="K220" s="13" t="s">
        <v>50</v>
      </c>
      <c r="L220" s="14"/>
    </row>
    <row r="221" spans="1:12" ht="15" customHeight="1" x14ac:dyDescent="0.25">
      <c r="A221" s="15" t="s">
        <v>51</v>
      </c>
      <c r="B221" s="16"/>
      <c r="C221" s="16"/>
      <c r="D221" s="16"/>
      <c r="E221" s="16"/>
      <c r="F221" s="16"/>
      <c r="G221" s="16"/>
      <c r="H221" s="16"/>
      <c r="I221" s="16"/>
      <c r="J221" s="17"/>
      <c r="K221" s="15">
        <v>0</v>
      </c>
      <c r="L221" s="17"/>
    </row>
    <row r="222" spans="1:12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 spans="1:12" ht="15" customHeight="1" x14ac:dyDescent="0.25">
      <c r="A223" s="10" t="s">
        <v>52</v>
      </c>
      <c r="B223" s="11"/>
      <c r="C223" s="11"/>
      <c r="D223" s="11"/>
      <c r="E223" s="12"/>
      <c r="F223" s="8" t="s">
        <v>21</v>
      </c>
      <c r="G223" s="8" t="s">
        <v>22</v>
      </c>
      <c r="H223" s="9" t="s">
        <v>44</v>
      </c>
      <c r="I223" s="13" t="s">
        <v>34</v>
      </c>
      <c r="J223" s="14"/>
      <c r="K223" s="13" t="s">
        <v>50</v>
      </c>
      <c r="L223" s="14"/>
    </row>
    <row r="224" spans="1:12" ht="15" customHeight="1" x14ac:dyDescent="0.25">
      <c r="A224" s="15" t="s">
        <v>53</v>
      </c>
      <c r="B224" s="16"/>
      <c r="C224" s="16"/>
      <c r="D224" s="16"/>
      <c r="E224" s="16"/>
      <c r="F224" s="16"/>
      <c r="G224" s="16"/>
      <c r="H224" s="16"/>
      <c r="I224" s="16"/>
      <c r="J224" s="17"/>
      <c r="K224" s="15">
        <v>0</v>
      </c>
      <c r="L224" s="17"/>
    </row>
    <row r="225" spans="1:12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 spans="1:12" ht="15" customHeight="1" x14ac:dyDescent="0.25">
      <c r="A226" s="10" t="s">
        <v>54</v>
      </c>
      <c r="B226" s="11"/>
      <c r="C226" s="12"/>
      <c r="D226" s="8" t="s">
        <v>21</v>
      </c>
      <c r="E226" s="8" t="s">
        <v>22</v>
      </c>
      <c r="F226" s="9" t="s">
        <v>55</v>
      </c>
      <c r="G226" s="8" t="s">
        <v>56</v>
      </c>
      <c r="H226" s="8" t="s">
        <v>57</v>
      </c>
      <c r="I226" s="8" t="s">
        <v>58</v>
      </c>
      <c r="J226" s="9" t="s">
        <v>59</v>
      </c>
      <c r="K226" s="9" t="s">
        <v>34</v>
      </c>
      <c r="L226" s="9" t="s">
        <v>50</v>
      </c>
    </row>
    <row r="227" spans="1:12" ht="15" customHeight="1" x14ac:dyDescent="0.25">
      <c r="A227" s="15" t="s">
        <v>60</v>
      </c>
      <c r="B227" s="16"/>
      <c r="C227" s="16"/>
      <c r="D227" s="16"/>
      <c r="E227" s="16"/>
      <c r="F227" s="16"/>
      <c r="G227" s="16"/>
      <c r="H227" s="16"/>
      <c r="I227" s="16"/>
      <c r="J227" s="17"/>
      <c r="K227" s="15">
        <v>0</v>
      </c>
      <c r="L227" s="17"/>
    </row>
    <row r="228" spans="1:12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 spans="1:12" ht="15" customHeight="1" x14ac:dyDescent="0.25">
      <c r="A229" s="27" t="s">
        <v>61</v>
      </c>
      <c r="B229" s="27"/>
      <c r="C229" s="27"/>
      <c r="D229" s="27"/>
      <c r="E229" s="27"/>
      <c r="F229" s="27"/>
      <c r="G229" s="27"/>
      <c r="H229" s="27"/>
      <c r="I229" s="27"/>
      <c r="J229" s="27"/>
      <c r="K229" s="27">
        <v>13.7</v>
      </c>
      <c r="L229" s="27"/>
    </row>
    <row r="230" spans="1:12" ht="15" customHeight="1" x14ac:dyDescent="0.25">
      <c r="A230" s="27" t="s">
        <v>62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>
        <v>4.5599999999999996</v>
      </c>
      <c r="L230" s="27"/>
    </row>
    <row r="231" spans="1:12" ht="15" customHeight="1" x14ac:dyDescent="0.25">
      <c r="A231" s="27" t="s">
        <v>63</v>
      </c>
      <c r="B231" s="27"/>
      <c r="C231" s="27"/>
      <c r="D231" s="27"/>
      <c r="E231" s="27"/>
      <c r="F231" s="27"/>
      <c r="G231" s="27"/>
      <c r="H231" s="27"/>
      <c r="I231" s="27"/>
      <c r="J231" s="27"/>
      <c r="K231" s="27">
        <v>18.260000000000002</v>
      </c>
      <c r="L231" s="27"/>
    </row>
    <row r="232" spans="1:1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" customHeight="1" x14ac:dyDescent="0.25">
      <c r="A233" s="3" t="s">
        <v>8</v>
      </c>
      <c r="B233" s="6" t="s">
        <v>9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 ht="15" customHeight="1" x14ac:dyDescent="0.25">
      <c r="A234" s="3" t="s">
        <v>10</v>
      </c>
      <c r="B234" s="6" t="s">
        <v>74</v>
      </c>
      <c r="C234" s="6"/>
      <c r="D234" s="6"/>
      <c r="E234" s="6"/>
      <c r="F234" s="6"/>
      <c r="G234" s="6"/>
      <c r="H234" s="6"/>
      <c r="I234" s="6"/>
      <c r="J234" s="6"/>
      <c r="K234" s="3" t="s">
        <v>12</v>
      </c>
      <c r="L234" s="4" t="s">
        <v>13</v>
      </c>
    </row>
    <row r="235" spans="1:12" ht="15" customHeight="1" x14ac:dyDescent="0.25">
      <c r="A235" s="3" t="s">
        <v>14</v>
      </c>
      <c r="B235" s="6" t="s">
        <v>15</v>
      </c>
      <c r="C235" s="6"/>
      <c r="D235" s="7" t="s">
        <v>16</v>
      </c>
      <c r="E235" s="7"/>
      <c r="F235" s="6" t="str">
        <f>"010225"</f>
        <v>010225</v>
      </c>
      <c r="G235" s="6"/>
      <c r="H235" s="3" t="s">
        <v>17</v>
      </c>
      <c r="I235" s="6" t="s">
        <v>18</v>
      </c>
      <c r="J235" s="6"/>
      <c r="K235" s="3" t="s">
        <v>19</v>
      </c>
      <c r="L235" s="5">
        <v>2</v>
      </c>
    </row>
    <row r="236" spans="1:1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" customHeight="1" x14ac:dyDescent="0.25">
      <c r="A237" s="10" t="s">
        <v>20</v>
      </c>
      <c r="B237" s="11"/>
      <c r="C237" s="12"/>
      <c r="D237" s="8" t="s">
        <v>21</v>
      </c>
      <c r="E237" s="8" t="s">
        <v>22</v>
      </c>
      <c r="F237" s="9" t="s">
        <v>23</v>
      </c>
      <c r="G237" s="9" t="s">
        <v>24</v>
      </c>
      <c r="H237" s="9" t="s">
        <v>25</v>
      </c>
      <c r="I237" s="9" t="s">
        <v>26</v>
      </c>
      <c r="J237" s="9" t="s">
        <v>27</v>
      </c>
      <c r="K237" s="13" t="s">
        <v>28</v>
      </c>
      <c r="L237" s="14"/>
    </row>
    <row r="238" spans="1:12" ht="15" customHeight="1" x14ac:dyDescent="0.25">
      <c r="A238" s="15" t="s">
        <v>29</v>
      </c>
      <c r="B238" s="16"/>
      <c r="C238" s="16"/>
      <c r="D238" s="16"/>
      <c r="E238" s="16"/>
      <c r="F238" s="16"/>
      <c r="G238" s="16"/>
      <c r="H238" s="16"/>
      <c r="I238" s="16"/>
      <c r="J238" s="17"/>
      <c r="K238" s="15">
        <v>0</v>
      </c>
      <c r="L238" s="17"/>
    </row>
    <row r="239" spans="1:12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 spans="1:12" ht="15" customHeight="1" x14ac:dyDescent="0.25">
      <c r="A240" s="10" t="s">
        <v>30</v>
      </c>
      <c r="B240" s="11"/>
      <c r="C240" s="12"/>
      <c r="D240" s="8" t="s">
        <v>21</v>
      </c>
      <c r="E240" s="8" t="s">
        <v>22</v>
      </c>
      <c r="F240" s="9" t="s">
        <v>31</v>
      </c>
      <c r="G240" s="9" t="s">
        <v>32</v>
      </c>
      <c r="H240" s="9" t="s">
        <v>33</v>
      </c>
      <c r="I240" s="13" t="s">
        <v>34</v>
      </c>
      <c r="J240" s="14"/>
      <c r="K240" s="13" t="s">
        <v>28</v>
      </c>
      <c r="L240" s="14"/>
    </row>
    <row r="241" spans="1:12" ht="15" customHeight="1" x14ac:dyDescent="0.25">
      <c r="A241" s="21" t="s">
        <v>69</v>
      </c>
      <c r="B241" s="22"/>
      <c r="C241" s="23"/>
      <c r="D241" s="19" t="str">
        <f>"010139"</f>
        <v>010139</v>
      </c>
      <c r="E241" s="19" t="s">
        <v>36</v>
      </c>
      <c r="F241" s="20">
        <v>10.119999999999999</v>
      </c>
      <c r="G241" s="20">
        <v>157.27000000000001</v>
      </c>
      <c r="H241" s="20">
        <v>26.03</v>
      </c>
      <c r="I241" s="24">
        <v>0.6</v>
      </c>
      <c r="J241" s="25"/>
      <c r="K241" s="24">
        <v>15.61</v>
      </c>
      <c r="L241" s="25"/>
    </row>
    <row r="242" spans="1:12" ht="15" customHeight="1" x14ac:dyDescent="0.25">
      <c r="A242" s="21" t="s">
        <v>37</v>
      </c>
      <c r="B242" s="22"/>
      <c r="C242" s="23"/>
      <c r="D242" s="19" t="str">
        <f>"010146"</f>
        <v>010146</v>
      </c>
      <c r="E242" s="19" t="s">
        <v>36</v>
      </c>
      <c r="F242" s="20">
        <v>7.65</v>
      </c>
      <c r="G242" s="20">
        <v>157.27000000000001</v>
      </c>
      <c r="H242" s="20">
        <v>19.68</v>
      </c>
      <c r="I242" s="24">
        <v>1</v>
      </c>
      <c r="J242" s="25"/>
      <c r="K242" s="24">
        <v>19.68</v>
      </c>
      <c r="L242" s="25"/>
    </row>
    <row r="243" spans="1:12" ht="15" customHeight="1" x14ac:dyDescent="0.25">
      <c r="A243" s="15" t="s">
        <v>38</v>
      </c>
      <c r="B243" s="16"/>
      <c r="C243" s="16"/>
      <c r="D243" s="16"/>
      <c r="E243" s="16"/>
      <c r="F243" s="16"/>
      <c r="G243" s="16"/>
      <c r="H243" s="16"/>
      <c r="I243" s="16"/>
      <c r="J243" s="17"/>
      <c r="K243" s="15">
        <v>35.29</v>
      </c>
      <c r="L243" s="17"/>
    </row>
    <row r="244" spans="1:12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 spans="1:12" ht="15" customHeight="1" x14ac:dyDescent="0.25">
      <c r="A245" s="10" t="s">
        <v>39</v>
      </c>
      <c r="B245" s="11"/>
      <c r="C245" s="12"/>
      <c r="D245" s="8" t="s">
        <v>21</v>
      </c>
      <c r="E245" s="13" t="s">
        <v>40</v>
      </c>
      <c r="F245" s="14"/>
      <c r="G245" s="8" t="s">
        <v>41</v>
      </c>
      <c r="H245" s="8" t="s">
        <v>42</v>
      </c>
      <c r="I245" s="8" t="s">
        <v>43</v>
      </c>
      <c r="J245" s="13" t="s">
        <v>44</v>
      </c>
      <c r="K245" s="26"/>
      <c r="L245" s="14"/>
    </row>
    <row r="246" spans="1:12" ht="15" customHeight="1" x14ac:dyDescent="0.25">
      <c r="A246" s="15" t="s">
        <v>45</v>
      </c>
      <c r="B246" s="16"/>
      <c r="C246" s="16"/>
      <c r="D246" s="16"/>
      <c r="E246" s="16"/>
      <c r="F246" s="16"/>
      <c r="G246" s="16"/>
      <c r="H246" s="16"/>
      <c r="I246" s="16"/>
      <c r="J246" s="17"/>
      <c r="K246" s="15">
        <v>0</v>
      </c>
      <c r="L246" s="17"/>
    </row>
    <row r="247" spans="1:12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 spans="1:12" ht="15" customHeight="1" x14ac:dyDescent="0.25">
      <c r="A248" s="27" t="s">
        <v>46</v>
      </c>
      <c r="B248" s="27"/>
      <c r="C248" s="27"/>
      <c r="D248" s="27"/>
      <c r="E248" s="27"/>
      <c r="F248" s="27"/>
      <c r="G248" s="27"/>
      <c r="H248" s="27"/>
      <c r="I248" s="27"/>
      <c r="J248" s="27"/>
      <c r="K248" s="27">
        <v>35.29</v>
      </c>
      <c r="L248" s="27"/>
    </row>
    <row r="249" spans="1:12" ht="15" customHeight="1" x14ac:dyDescent="0.25">
      <c r="A249" s="27" t="s">
        <v>47</v>
      </c>
      <c r="B249" s="27"/>
      <c r="C249" s="27"/>
      <c r="D249" s="27"/>
      <c r="E249" s="27"/>
      <c r="F249" s="27"/>
      <c r="G249" s="27"/>
      <c r="H249" s="27"/>
      <c r="I249" s="27"/>
      <c r="J249" s="27"/>
      <c r="K249" s="27">
        <v>1</v>
      </c>
      <c r="L249" s="27"/>
    </row>
    <row r="250" spans="1:12" ht="15" customHeight="1" x14ac:dyDescent="0.25">
      <c r="A250" s="27" t="s">
        <v>48</v>
      </c>
      <c r="B250" s="27"/>
      <c r="C250" s="27"/>
      <c r="D250" s="27"/>
      <c r="E250" s="27"/>
      <c r="F250" s="27"/>
      <c r="G250" s="27"/>
      <c r="H250" s="27"/>
      <c r="I250" s="27"/>
      <c r="J250" s="27"/>
      <c r="K250" s="27">
        <v>35.29</v>
      </c>
      <c r="L250" s="27"/>
    </row>
    <row r="251" spans="1:1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" customHeight="1" x14ac:dyDescent="0.25">
      <c r="A252" s="10" t="s">
        <v>49</v>
      </c>
      <c r="B252" s="11"/>
      <c r="C252" s="11"/>
      <c r="D252" s="11"/>
      <c r="E252" s="12"/>
      <c r="F252" s="8" t="s">
        <v>21</v>
      </c>
      <c r="G252" s="8" t="s">
        <v>22</v>
      </c>
      <c r="H252" s="9" t="s">
        <v>44</v>
      </c>
      <c r="I252" s="13" t="s">
        <v>34</v>
      </c>
      <c r="J252" s="14"/>
      <c r="K252" s="13" t="s">
        <v>50</v>
      </c>
      <c r="L252" s="14"/>
    </row>
    <row r="253" spans="1:12" ht="15" customHeight="1" x14ac:dyDescent="0.25">
      <c r="A253" s="15" t="s">
        <v>51</v>
      </c>
      <c r="B253" s="16"/>
      <c r="C253" s="16"/>
      <c r="D253" s="16"/>
      <c r="E253" s="16"/>
      <c r="F253" s="16"/>
      <c r="G253" s="16"/>
      <c r="H253" s="16"/>
      <c r="I253" s="16"/>
      <c r="J253" s="17"/>
      <c r="K253" s="15">
        <v>0</v>
      </c>
      <c r="L253" s="17"/>
    </row>
    <row r="254" spans="1:12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 spans="1:12" ht="15" customHeight="1" x14ac:dyDescent="0.25">
      <c r="A255" s="10" t="s">
        <v>52</v>
      </c>
      <c r="B255" s="11"/>
      <c r="C255" s="11"/>
      <c r="D255" s="11"/>
      <c r="E255" s="12"/>
      <c r="F255" s="8" t="s">
        <v>21</v>
      </c>
      <c r="G255" s="8" t="s">
        <v>22</v>
      </c>
      <c r="H255" s="9" t="s">
        <v>44</v>
      </c>
      <c r="I255" s="13" t="s">
        <v>34</v>
      </c>
      <c r="J255" s="14"/>
      <c r="K255" s="13" t="s">
        <v>50</v>
      </c>
      <c r="L255" s="14"/>
    </row>
    <row r="256" spans="1:12" ht="15" customHeight="1" x14ac:dyDescent="0.25">
      <c r="A256" s="15" t="s">
        <v>53</v>
      </c>
      <c r="B256" s="16"/>
      <c r="C256" s="16"/>
      <c r="D256" s="16"/>
      <c r="E256" s="16"/>
      <c r="F256" s="16"/>
      <c r="G256" s="16"/>
      <c r="H256" s="16"/>
      <c r="I256" s="16"/>
      <c r="J256" s="17"/>
      <c r="K256" s="15">
        <v>0</v>
      </c>
      <c r="L256" s="17"/>
    </row>
    <row r="257" spans="1:12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 spans="1:12" ht="15" customHeight="1" x14ac:dyDescent="0.25">
      <c r="A258" s="10" t="s">
        <v>54</v>
      </c>
      <c r="B258" s="11"/>
      <c r="C258" s="12"/>
      <c r="D258" s="8" t="s">
        <v>21</v>
      </c>
      <c r="E258" s="8" t="s">
        <v>22</v>
      </c>
      <c r="F258" s="9" t="s">
        <v>55</v>
      </c>
      <c r="G258" s="8" t="s">
        <v>56</v>
      </c>
      <c r="H258" s="8" t="s">
        <v>57</v>
      </c>
      <c r="I258" s="8" t="s">
        <v>58</v>
      </c>
      <c r="J258" s="9" t="s">
        <v>59</v>
      </c>
      <c r="K258" s="9" t="s">
        <v>34</v>
      </c>
      <c r="L258" s="9" t="s">
        <v>50</v>
      </c>
    </row>
    <row r="259" spans="1:12" ht="15" customHeight="1" x14ac:dyDescent="0.25">
      <c r="A259" s="15" t="s">
        <v>60</v>
      </c>
      <c r="B259" s="16"/>
      <c r="C259" s="16"/>
      <c r="D259" s="16"/>
      <c r="E259" s="16"/>
      <c r="F259" s="16"/>
      <c r="G259" s="16"/>
      <c r="H259" s="16"/>
      <c r="I259" s="16"/>
      <c r="J259" s="17"/>
      <c r="K259" s="15">
        <v>0</v>
      </c>
      <c r="L259" s="17"/>
    </row>
    <row r="260" spans="1:12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 spans="1:12" ht="15" customHeight="1" x14ac:dyDescent="0.25">
      <c r="A261" s="27" t="s">
        <v>61</v>
      </c>
      <c r="B261" s="27"/>
      <c r="C261" s="27"/>
      <c r="D261" s="27"/>
      <c r="E261" s="27"/>
      <c r="F261" s="27"/>
      <c r="G261" s="27"/>
      <c r="H261" s="27"/>
      <c r="I261" s="27"/>
      <c r="J261" s="27"/>
      <c r="K261" s="27">
        <v>35.29</v>
      </c>
      <c r="L261" s="27"/>
    </row>
    <row r="262" spans="1:12" ht="15" customHeight="1" x14ac:dyDescent="0.25">
      <c r="A262" s="27" t="s">
        <v>62</v>
      </c>
      <c r="B262" s="27"/>
      <c r="C262" s="27"/>
      <c r="D262" s="27"/>
      <c r="E262" s="27"/>
      <c r="F262" s="27"/>
      <c r="G262" s="27"/>
      <c r="H262" s="27"/>
      <c r="I262" s="27"/>
      <c r="J262" s="27"/>
      <c r="K262" s="27">
        <v>11.73</v>
      </c>
      <c r="L262" s="27"/>
    </row>
    <row r="263" spans="1:12" ht="15" customHeight="1" x14ac:dyDescent="0.25">
      <c r="A263" s="27" t="s">
        <v>63</v>
      </c>
      <c r="B263" s="27"/>
      <c r="C263" s="27"/>
      <c r="D263" s="27"/>
      <c r="E263" s="27"/>
      <c r="F263" s="27"/>
      <c r="G263" s="27"/>
      <c r="H263" s="27"/>
      <c r="I263" s="27"/>
      <c r="J263" s="27"/>
      <c r="K263" s="27">
        <v>47.02</v>
      </c>
      <c r="L263" s="27"/>
    </row>
    <row r="264" spans="1:1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" customHeight="1" x14ac:dyDescent="0.25">
      <c r="A265" s="3" t="s">
        <v>8</v>
      </c>
      <c r="B265" s="6" t="s">
        <v>9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ht="15" customHeight="1" x14ac:dyDescent="0.25">
      <c r="A266" s="3" t="s">
        <v>10</v>
      </c>
      <c r="B266" s="6" t="s">
        <v>75</v>
      </c>
      <c r="C266" s="6"/>
      <c r="D266" s="6"/>
      <c r="E266" s="6"/>
      <c r="F266" s="6"/>
      <c r="G266" s="6"/>
      <c r="H266" s="6"/>
      <c r="I266" s="6"/>
      <c r="J266" s="6"/>
      <c r="K266" s="3" t="s">
        <v>12</v>
      </c>
      <c r="L266" s="4" t="s">
        <v>13</v>
      </c>
    </row>
    <row r="267" spans="1:12" ht="15" customHeight="1" x14ac:dyDescent="0.25">
      <c r="A267" s="3" t="s">
        <v>14</v>
      </c>
      <c r="B267" s="6" t="s">
        <v>15</v>
      </c>
      <c r="C267" s="6"/>
      <c r="D267" s="7" t="s">
        <v>16</v>
      </c>
      <c r="E267" s="7"/>
      <c r="F267" s="6" t="str">
        <f>"010250"</f>
        <v>010250</v>
      </c>
      <c r="G267" s="6"/>
      <c r="H267" s="3" t="s">
        <v>17</v>
      </c>
      <c r="I267" s="6" t="s">
        <v>18</v>
      </c>
      <c r="J267" s="6"/>
      <c r="K267" s="3" t="s">
        <v>19</v>
      </c>
      <c r="L267" s="5">
        <v>1</v>
      </c>
    </row>
    <row r="268" spans="1:1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" customHeight="1" x14ac:dyDescent="0.25">
      <c r="A269" s="10" t="s">
        <v>20</v>
      </c>
      <c r="B269" s="11"/>
      <c r="C269" s="12"/>
      <c r="D269" s="8" t="s">
        <v>21</v>
      </c>
      <c r="E269" s="8" t="s">
        <v>22</v>
      </c>
      <c r="F269" s="9" t="s">
        <v>23</v>
      </c>
      <c r="G269" s="9" t="s">
        <v>24</v>
      </c>
      <c r="H269" s="9" t="s">
        <v>25</v>
      </c>
      <c r="I269" s="9" t="s">
        <v>26</v>
      </c>
      <c r="J269" s="9" t="s">
        <v>27</v>
      </c>
      <c r="K269" s="13" t="s">
        <v>28</v>
      </c>
      <c r="L269" s="14"/>
    </row>
    <row r="270" spans="1:12" ht="15" customHeight="1" x14ac:dyDescent="0.25">
      <c r="A270" s="15" t="s">
        <v>29</v>
      </c>
      <c r="B270" s="16"/>
      <c r="C270" s="16"/>
      <c r="D270" s="16"/>
      <c r="E270" s="16"/>
      <c r="F270" s="16"/>
      <c r="G270" s="16"/>
      <c r="H270" s="16"/>
      <c r="I270" s="16"/>
      <c r="J270" s="17"/>
      <c r="K270" s="15">
        <v>0</v>
      </c>
      <c r="L270" s="17"/>
    </row>
    <row r="271" spans="1:12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 spans="1:12" ht="15" customHeight="1" x14ac:dyDescent="0.25">
      <c r="A272" s="10" t="s">
        <v>30</v>
      </c>
      <c r="B272" s="11"/>
      <c r="C272" s="12"/>
      <c r="D272" s="8" t="s">
        <v>21</v>
      </c>
      <c r="E272" s="8" t="s">
        <v>22</v>
      </c>
      <c r="F272" s="9" t="s">
        <v>31</v>
      </c>
      <c r="G272" s="9" t="s">
        <v>32</v>
      </c>
      <c r="H272" s="9" t="s">
        <v>33</v>
      </c>
      <c r="I272" s="13" t="s">
        <v>34</v>
      </c>
      <c r="J272" s="14"/>
      <c r="K272" s="13" t="s">
        <v>28</v>
      </c>
      <c r="L272" s="14"/>
    </row>
    <row r="273" spans="1:12" ht="15" customHeight="1" x14ac:dyDescent="0.25">
      <c r="A273" s="21" t="s">
        <v>76</v>
      </c>
      <c r="B273" s="22"/>
      <c r="C273" s="23"/>
      <c r="D273" s="19" t="str">
        <f>"010101"</f>
        <v>010101</v>
      </c>
      <c r="E273" s="19" t="s">
        <v>36</v>
      </c>
      <c r="F273" s="20">
        <v>8.5299999999999994</v>
      </c>
      <c r="G273" s="20">
        <v>157.27000000000001</v>
      </c>
      <c r="H273" s="20">
        <v>21.94</v>
      </c>
      <c r="I273" s="24">
        <v>0.3</v>
      </c>
      <c r="J273" s="25"/>
      <c r="K273" s="24">
        <v>6.58</v>
      </c>
      <c r="L273" s="25"/>
    </row>
    <row r="274" spans="1:12" ht="15" customHeight="1" x14ac:dyDescent="0.25">
      <c r="A274" s="21" t="s">
        <v>77</v>
      </c>
      <c r="B274" s="22"/>
      <c r="C274" s="23"/>
      <c r="D274" s="19" t="str">
        <f>"010111"</f>
        <v>010111</v>
      </c>
      <c r="E274" s="19" t="s">
        <v>36</v>
      </c>
      <c r="F274" s="20">
        <v>10.119999999999999</v>
      </c>
      <c r="G274" s="20">
        <v>157.27000000000001</v>
      </c>
      <c r="H274" s="20">
        <v>26.03</v>
      </c>
      <c r="I274" s="24">
        <v>0.03</v>
      </c>
      <c r="J274" s="25"/>
      <c r="K274" s="24">
        <v>0.78</v>
      </c>
      <c r="L274" s="25"/>
    </row>
    <row r="275" spans="1:12" ht="15" customHeight="1" x14ac:dyDescent="0.25">
      <c r="A275" s="15" t="s">
        <v>38</v>
      </c>
      <c r="B275" s="16"/>
      <c r="C275" s="16"/>
      <c r="D275" s="16"/>
      <c r="E275" s="16"/>
      <c r="F275" s="16"/>
      <c r="G275" s="16"/>
      <c r="H275" s="16"/>
      <c r="I275" s="16"/>
      <c r="J275" s="17"/>
      <c r="K275" s="15">
        <v>7.36</v>
      </c>
      <c r="L275" s="17"/>
    </row>
    <row r="276" spans="1:1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 spans="1:12" ht="15" customHeight="1" x14ac:dyDescent="0.25">
      <c r="A277" s="10" t="s">
        <v>39</v>
      </c>
      <c r="B277" s="11"/>
      <c r="C277" s="12"/>
      <c r="D277" s="8" t="s">
        <v>21</v>
      </c>
      <c r="E277" s="13" t="s">
        <v>40</v>
      </c>
      <c r="F277" s="14"/>
      <c r="G277" s="8" t="s">
        <v>41</v>
      </c>
      <c r="H277" s="8" t="s">
        <v>42</v>
      </c>
      <c r="I277" s="8" t="s">
        <v>43</v>
      </c>
      <c r="J277" s="13" t="s">
        <v>44</v>
      </c>
      <c r="K277" s="26"/>
      <c r="L277" s="14"/>
    </row>
    <row r="278" spans="1:12" ht="15" customHeight="1" x14ac:dyDescent="0.25">
      <c r="A278" s="15" t="s">
        <v>45</v>
      </c>
      <c r="B278" s="16"/>
      <c r="C278" s="16"/>
      <c r="D278" s="16"/>
      <c r="E278" s="16"/>
      <c r="F278" s="16"/>
      <c r="G278" s="16"/>
      <c r="H278" s="16"/>
      <c r="I278" s="16"/>
      <c r="J278" s="17"/>
      <c r="K278" s="15">
        <v>0</v>
      </c>
      <c r="L278" s="17"/>
    </row>
    <row r="279" spans="1:12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 spans="1:12" ht="15" customHeight="1" x14ac:dyDescent="0.25">
      <c r="A280" s="27" t="s">
        <v>46</v>
      </c>
      <c r="B280" s="27"/>
      <c r="C280" s="27"/>
      <c r="D280" s="27"/>
      <c r="E280" s="27"/>
      <c r="F280" s="27"/>
      <c r="G280" s="27"/>
      <c r="H280" s="27"/>
      <c r="I280" s="27"/>
      <c r="J280" s="27"/>
      <c r="K280" s="27">
        <v>7.36</v>
      </c>
      <c r="L280" s="27"/>
    </row>
    <row r="281" spans="1:12" ht="15" customHeight="1" x14ac:dyDescent="0.25">
      <c r="A281" s="27" t="s">
        <v>47</v>
      </c>
      <c r="B281" s="27"/>
      <c r="C281" s="27"/>
      <c r="D281" s="27"/>
      <c r="E281" s="27"/>
      <c r="F281" s="27"/>
      <c r="G281" s="27"/>
      <c r="H281" s="27"/>
      <c r="I281" s="27"/>
      <c r="J281" s="27"/>
      <c r="K281" s="27">
        <v>1</v>
      </c>
      <c r="L281" s="27"/>
    </row>
    <row r="282" spans="1:12" ht="15" customHeight="1" x14ac:dyDescent="0.25">
      <c r="A282" s="27" t="s">
        <v>48</v>
      </c>
      <c r="B282" s="27"/>
      <c r="C282" s="27"/>
      <c r="D282" s="27"/>
      <c r="E282" s="27"/>
      <c r="F282" s="27"/>
      <c r="G282" s="27"/>
      <c r="H282" s="27"/>
      <c r="I282" s="27"/>
      <c r="J282" s="27"/>
      <c r="K282" s="27">
        <v>7.36</v>
      </c>
      <c r="L282" s="27"/>
    </row>
    <row r="283" spans="1:1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" customHeight="1" x14ac:dyDescent="0.25">
      <c r="A284" s="10" t="s">
        <v>49</v>
      </c>
      <c r="B284" s="11"/>
      <c r="C284" s="11"/>
      <c r="D284" s="11"/>
      <c r="E284" s="12"/>
      <c r="F284" s="8" t="s">
        <v>21</v>
      </c>
      <c r="G284" s="8" t="s">
        <v>22</v>
      </c>
      <c r="H284" s="9" t="s">
        <v>44</v>
      </c>
      <c r="I284" s="13" t="s">
        <v>34</v>
      </c>
      <c r="J284" s="14"/>
      <c r="K284" s="13" t="s">
        <v>50</v>
      </c>
      <c r="L284" s="14"/>
    </row>
    <row r="285" spans="1:12" ht="15" customHeight="1" x14ac:dyDescent="0.25">
      <c r="A285" s="15" t="s">
        <v>51</v>
      </c>
      <c r="B285" s="16"/>
      <c r="C285" s="16"/>
      <c r="D285" s="16"/>
      <c r="E285" s="16"/>
      <c r="F285" s="16"/>
      <c r="G285" s="16"/>
      <c r="H285" s="16"/>
      <c r="I285" s="16"/>
      <c r="J285" s="17"/>
      <c r="K285" s="15">
        <v>0</v>
      </c>
      <c r="L285" s="17"/>
    </row>
    <row r="286" spans="1:12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 spans="1:12" ht="15" customHeight="1" x14ac:dyDescent="0.25">
      <c r="A287" s="10" t="s">
        <v>52</v>
      </c>
      <c r="B287" s="11"/>
      <c r="C287" s="11"/>
      <c r="D287" s="11"/>
      <c r="E287" s="12"/>
      <c r="F287" s="8" t="s">
        <v>21</v>
      </c>
      <c r="G287" s="8" t="s">
        <v>22</v>
      </c>
      <c r="H287" s="9" t="s">
        <v>44</v>
      </c>
      <c r="I287" s="13" t="s">
        <v>34</v>
      </c>
      <c r="J287" s="14"/>
      <c r="K287" s="13" t="s">
        <v>50</v>
      </c>
      <c r="L287" s="14"/>
    </row>
    <row r="288" spans="1:12" ht="15" customHeight="1" x14ac:dyDescent="0.25">
      <c r="A288" s="15" t="s">
        <v>53</v>
      </c>
      <c r="B288" s="16"/>
      <c r="C288" s="16"/>
      <c r="D288" s="16"/>
      <c r="E288" s="16"/>
      <c r="F288" s="16"/>
      <c r="G288" s="16"/>
      <c r="H288" s="16"/>
      <c r="I288" s="16"/>
      <c r="J288" s="17"/>
      <c r="K288" s="15">
        <v>0</v>
      </c>
      <c r="L288" s="17"/>
    </row>
    <row r="289" spans="1:12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 spans="1:12" ht="15" customHeight="1" x14ac:dyDescent="0.25">
      <c r="A290" s="10" t="s">
        <v>54</v>
      </c>
      <c r="B290" s="11"/>
      <c r="C290" s="12"/>
      <c r="D290" s="8" t="s">
        <v>21</v>
      </c>
      <c r="E290" s="8" t="s">
        <v>22</v>
      </c>
      <c r="F290" s="9" t="s">
        <v>55</v>
      </c>
      <c r="G290" s="8" t="s">
        <v>56</v>
      </c>
      <c r="H290" s="8" t="s">
        <v>57</v>
      </c>
      <c r="I290" s="8" t="s">
        <v>58</v>
      </c>
      <c r="J290" s="9" t="s">
        <v>59</v>
      </c>
      <c r="K290" s="9" t="s">
        <v>34</v>
      </c>
      <c r="L290" s="9" t="s">
        <v>50</v>
      </c>
    </row>
    <row r="291" spans="1:12" ht="15" customHeight="1" x14ac:dyDescent="0.25">
      <c r="A291" s="15" t="s">
        <v>60</v>
      </c>
      <c r="B291" s="16"/>
      <c r="C291" s="16"/>
      <c r="D291" s="16"/>
      <c r="E291" s="16"/>
      <c r="F291" s="16"/>
      <c r="G291" s="16"/>
      <c r="H291" s="16"/>
      <c r="I291" s="16"/>
      <c r="J291" s="17"/>
      <c r="K291" s="15">
        <v>0</v>
      </c>
      <c r="L291" s="17"/>
    </row>
    <row r="292" spans="1:12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 spans="1:12" ht="15" customHeight="1" x14ac:dyDescent="0.25">
      <c r="A293" s="27" t="s">
        <v>61</v>
      </c>
      <c r="B293" s="27"/>
      <c r="C293" s="27"/>
      <c r="D293" s="27"/>
      <c r="E293" s="27"/>
      <c r="F293" s="27"/>
      <c r="G293" s="27"/>
      <c r="H293" s="27"/>
      <c r="I293" s="27"/>
      <c r="J293" s="27"/>
      <c r="K293" s="27">
        <v>7.36</v>
      </c>
      <c r="L293" s="27"/>
    </row>
    <row r="294" spans="1:12" ht="15" customHeight="1" x14ac:dyDescent="0.25">
      <c r="A294" s="27" t="s">
        <v>62</v>
      </c>
      <c r="B294" s="27"/>
      <c r="C294" s="27"/>
      <c r="D294" s="27"/>
      <c r="E294" s="27"/>
      <c r="F294" s="27"/>
      <c r="G294" s="27"/>
      <c r="H294" s="27"/>
      <c r="I294" s="27"/>
      <c r="J294" s="27"/>
      <c r="K294" s="27">
        <v>2.4500000000000002</v>
      </c>
      <c r="L294" s="27"/>
    </row>
    <row r="295" spans="1:12" ht="15" customHeight="1" x14ac:dyDescent="0.25">
      <c r="A295" s="27" t="s">
        <v>63</v>
      </c>
      <c r="B295" s="27"/>
      <c r="C295" s="27"/>
      <c r="D295" s="27"/>
      <c r="E295" s="27"/>
      <c r="F295" s="27"/>
      <c r="G295" s="27"/>
      <c r="H295" s="27"/>
      <c r="I295" s="27"/>
      <c r="J295" s="27"/>
      <c r="K295" s="27">
        <v>9.81</v>
      </c>
      <c r="L295" s="27"/>
    </row>
    <row r="296" spans="1:1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" customHeight="1" x14ac:dyDescent="0.25">
      <c r="A297" s="3" t="s">
        <v>8</v>
      </c>
      <c r="B297" s="6" t="s">
        <v>9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ht="15" customHeight="1" x14ac:dyDescent="0.25">
      <c r="A298" s="3" t="s">
        <v>10</v>
      </c>
      <c r="B298" s="6" t="s">
        <v>78</v>
      </c>
      <c r="C298" s="6"/>
      <c r="D298" s="6"/>
      <c r="E298" s="6"/>
      <c r="F298" s="6"/>
      <c r="G298" s="6"/>
      <c r="H298" s="6"/>
      <c r="I298" s="6"/>
      <c r="J298" s="6"/>
      <c r="K298" s="3" t="s">
        <v>12</v>
      </c>
      <c r="L298" s="4" t="s">
        <v>13</v>
      </c>
    </row>
    <row r="299" spans="1:12" ht="15" customHeight="1" x14ac:dyDescent="0.25">
      <c r="A299" s="3" t="s">
        <v>14</v>
      </c>
      <c r="B299" s="6" t="s">
        <v>15</v>
      </c>
      <c r="C299" s="6"/>
      <c r="D299" s="7" t="s">
        <v>16</v>
      </c>
      <c r="E299" s="7"/>
      <c r="F299" s="6" t="str">
        <f>"010246"</f>
        <v>010246</v>
      </c>
      <c r="G299" s="6"/>
      <c r="H299" s="3" t="s">
        <v>17</v>
      </c>
      <c r="I299" s="6" t="s">
        <v>18</v>
      </c>
      <c r="J299" s="6"/>
      <c r="K299" s="3" t="s">
        <v>19</v>
      </c>
      <c r="L299" s="5">
        <v>2</v>
      </c>
    </row>
    <row r="300" spans="1:1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" customHeight="1" x14ac:dyDescent="0.25">
      <c r="A301" s="10" t="s">
        <v>20</v>
      </c>
      <c r="B301" s="11"/>
      <c r="C301" s="12"/>
      <c r="D301" s="8" t="s">
        <v>21</v>
      </c>
      <c r="E301" s="8" t="s">
        <v>22</v>
      </c>
      <c r="F301" s="9" t="s">
        <v>23</v>
      </c>
      <c r="G301" s="9" t="s">
        <v>24</v>
      </c>
      <c r="H301" s="9" t="s">
        <v>25</v>
      </c>
      <c r="I301" s="9" t="s">
        <v>26</v>
      </c>
      <c r="J301" s="9" t="s">
        <v>27</v>
      </c>
      <c r="K301" s="13" t="s">
        <v>28</v>
      </c>
      <c r="L301" s="14"/>
    </row>
    <row r="302" spans="1:12" ht="15" customHeight="1" x14ac:dyDescent="0.25">
      <c r="A302" s="15" t="s">
        <v>29</v>
      </c>
      <c r="B302" s="16"/>
      <c r="C302" s="16"/>
      <c r="D302" s="16"/>
      <c r="E302" s="16"/>
      <c r="F302" s="16"/>
      <c r="G302" s="16"/>
      <c r="H302" s="16"/>
      <c r="I302" s="16"/>
      <c r="J302" s="17"/>
      <c r="K302" s="15">
        <v>0</v>
      </c>
      <c r="L302" s="17"/>
    </row>
    <row r="303" spans="1:12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</row>
    <row r="304" spans="1:12" ht="15" customHeight="1" x14ac:dyDescent="0.25">
      <c r="A304" s="10" t="s">
        <v>30</v>
      </c>
      <c r="B304" s="11"/>
      <c r="C304" s="12"/>
      <c r="D304" s="8" t="s">
        <v>21</v>
      </c>
      <c r="E304" s="8" t="s">
        <v>22</v>
      </c>
      <c r="F304" s="9" t="s">
        <v>31</v>
      </c>
      <c r="G304" s="9" t="s">
        <v>32</v>
      </c>
      <c r="H304" s="9" t="s">
        <v>33</v>
      </c>
      <c r="I304" s="13" t="s">
        <v>34</v>
      </c>
      <c r="J304" s="14"/>
      <c r="K304" s="13" t="s">
        <v>28</v>
      </c>
      <c r="L304" s="14"/>
    </row>
    <row r="305" spans="1:12" ht="15" customHeight="1" x14ac:dyDescent="0.25">
      <c r="A305" s="21" t="s">
        <v>76</v>
      </c>
      <c r="B305" s="22"/>
      <c r="C305" s="23"/>
      <c r="D305" s="19" t="str">
        <f>"010101"</f>
        <v>010101</v>
      </c>
      <c r="E305" s="19" t="s">
        <v>36</v>
      </c>
      <c r="F305" s="20">
        <v>8.5299999999999994</v>
      </c>
      <c r="G305" s="20">
        <v>157.27000000000001</v>
      </c>
      <c r="H305" s="20">
        <v>21.94</v>
      </c>
      <c r="I305" s="24">
        <v>0.2</v>
      </c>
      <c r="J305" s="25"/>
      <c r="K305" s="24">
        <v>4.38</v>
      </c>
      <c r="L305" s="25"/>
    </row>
    <row r="306" spans="1:12" ht="15" customHeight="1" x14ac:dyDescent="0.25">
      <c r="A306" s="21" t="s">
        <v>79</v>
      </c>
      <c r="B306" s="22"/>
      <c r="C306" s="23"/>
      <c r="D306" s="19" t="str">
        <f>"010140"</f>
        <v>010140</v>
      </c>
      <c r="E306" s="19" t="s">
        <v>36</v>
      </c>
      <c r="F306" s="20">
        <v>10.119999999999999</v>
      </c>
      <c r="G306" s="20">
        <v>157.27000000000001</v>
      </c>
      <c r="H306" s="20">
        <v>26.03</v>
      </c>
      <c r="I306" s="24">
        <v>1.4999999999999999E-2</v>
      </c>
      <c r="J306" s="25"/>
      <c r="K306" s="24">
        <v>0.39</v>
      </c>
      <c r="L306" s="25"/>
    </row>
    <row r="307" spans="1:12" ht="15" customHeight="1" x14ac:dyDescent="0.25">
      <c r="A307" s="15" t="s">
        <v>38</v>
      </c>
      <c r="B307" s="16"/>
      <c r="C307" s="16"/>
      <c r="D307" s="16"/>
      <c r="E307" s="16"/>
      <c r="F307" s="16"/>
      <c r="G307" s="16"/>
      <c r="H307" s="16"/>
      <c r="I307" s="16"/>
      <c r="J307" s="17"/>
      <c r="K307" s="15">
        <v>4.7699999999999996</v>
      </c>
      <c r="L307" s="17"/>
    </row>
    <row r="308" spans="1:12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 spans="1:12" ht="15" customHeight="1" x14ac:dyDescent="0.25">
      <c r="A309" s="10" t="s">
        <v>39</v>
      </c>
      <c r="B309" s="11"/>
      <c r="C309" s="12"/>
      <c r="D309" s="8" t="s">
        <v>21</v>
      </c>
      <c r="E309" s="13" t="s">
        <v>40</v>
      </c>
      <c r="F309" s="14"/>
      <c r="G309" s="8" t="s">
        <v>41</v>
      </c>
      <c r="H309" s="8" t="s">
        <v>42</v>
      </c>
      <c r="I309" s="8" t="s">
        <v>43</v>
      </c>
      <c r="J309" s="13" t="s">
        <v>44</v>
      </c>
      <c r="K309" s="26"/>
      <c r="L309" s="14"/>
    </row>
    <row r="310" spans="1:12" ht="15" customHeight="1" x14ac:dyDescent="0.25">
      <c r="A310" s="15" t="s">
        <v>45</v>
      </c>
      <c r="B310" s="16"/>
      <c r="C310" s="16"/>
      <c r="D310" s="16"/>
      <c r="E310" s="16"/>
      <c r="F310" s="16"/>
      <c r="G310" s="16"/>
      <c r="H310" s="16"/>
      <c r="I310" s="16"/>
      <c r="J310" s="17"/>
      <c r="K310" s="15">
        <v>0</v>
      </c>
      <c r="L310" s="17"/>
    </row>
    <row r="311" spans="1:12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</row>
    <row r="312" spans="1:12" ht="15" customHeight="1" x14ac:dyDescent="0.25">
      <c r="A312" s="27" t="s">
        <v>46</v>
      </c>
      <c r="B312" s="27"/>
      <c r="C312" s="27"/>
      <c r="D312" s="27"/>
      <c r="E312" s="27"/>
      <c r="F312" s="27"/>
      <c r="G312" s="27"/>
      <c r="H312" s="27"/>
      <c r="I312" s="27"/>
      <c r="J312" s="27"/>
      <c r="K312" s="27">
        <v>4.7699999999999996</v>
      </c>
      <c r="L312" s="27"/>
    </row>
    <row r="313" spans="1:12" ht="15" customHeight="1" x14ac:dyDescent="0.25">
      <c r="A313" s="27" t="s">
        <v>47</v>
      </c>
      <c r="B313" s="27"/>
      <c r="C313" s="27"/>
      <c r="D313" s="27"/>
      <c r="E313" s="27"/>
      <c r="F313" s="27"/>
      <c r="G313" s="27"/>
      <c r="H313" s="27"/>
      <c r="I313" s="27"/>
      <c r="J313" s="27"/>
      <c r="K313" s="27">
        <v>1</v>
      </c>
      <c r="L313" s="27"/>
    </row>
    <row r="314" spans="1:12" ht="15" customHeight="1" x14ac:dyDescent="0.25">
      <c r="A314" s="27" t="s">
        <v>48</v>
      </c>
      <c r="B314" s="27"/>
      <c r="C314" s="27"/>
      <c r="D314" s="27"/>
      <c r="E314" s="27"/>
      <c r="F314" s="27"/>
      <c r="G314" s="27"/>
      <c r="H314" s="27"/>
      <c r="I314" s="27"/>
      <c r="J314" s="27"/>
      <c r="K314" s="27">
        <v>4.7699999999999996</v>
      </c>
      <c r="L314" s="27"/>
    </row>
    <row r="315" spans="1:1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" customHeight="1" x14ac:dyDescent="0.25">
      <c r="A316" s="10" t="s">
        <v>49</v>
      </c>
      <c r="B316" s="11"/>
      <c r="C316" s="11"/>
      <c r="D316" s="11"/>
      <c r="E316" s="12"/>
      <c r="F316" s="8" t="s">
        <v>21</v>
      </c>
      <c r="G316" s="8" t="s">
        <v>22</v>
      </c>
      <c r="H316" s="9" t="s">
        <v>44</v>
      </c>
      <c r="I316" s="13" t="s">
        <v>34</v>
      </c>
      <c r="J316" s="14"/>
      <c r="K316" s="13" t="s">
        <v>50</v>
      </c>
      <c r="L316" s="14"/>
    </row>
    <row r="317" spans="1:12" ht="15" customHeight="1" x14ac:dyDescent="0.25">
      <c r="A317" s="21" t="s">
        <v>80</v>
      </c>
      <c r="B317" s="22"/>
      <c r="C317" s="22"/>
      <c r="D317" s="22"/>
      <c r="E317" s="23"/>
      <c r="F317" s="19" t="str">
        <f>"038013"</f>
        <v>038013</v>
      </c>
      <c r="G317" s="19" t="s">
        <v>81</v>
      </c>
      <c r="H317" s="20">
        <v>0.88</v>
      </c>
      <c r="I317" s="24">
        <v>0.25</v>
      </c>
      <c r="J317" s="25"/>
      <c r="K317" s="24">
        <v>0.22</v>
      </c>
      <c r="L317" s="25"/>
    </row>
    <row r="318" spans="1:12" ht="15" customHeight="1" x14ac:dyDescent="0.25">
      <c r="A318" s="15" t="s">
        <v>51</v>
      </c>
      <c r="B318" s="16"/>
      <c r="C318" s="16"/>
      <c r="D318" s="16"/>
      <c r="E318" s="16"/>
      <c r="F318" s="16"/>
      <c r="G318" s="16"/>
      <c r="H318" s="16"/>
      <c r="I318" s="16"/>
      <c r="J318" s="17"/>
      <c r="K318" s="15">
        <v>0.22</v>
      </c>
      <c r="L318" s="17"/>
    </row>
    <row r="319" spans="1:12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 spans="1:12" ht="15" customHeight="1" x14ac:dyDescent="0.25">
      <c r="A320" s="10" t="s">
        <v>52</v>
      </c>
      <c r="B320" s="11"/>
      <c r="C320" s="11"/>
      <c r="D320" s="11"/>
      <c r="E320" s="12"/>
      <c r="F320" s="8" t="s">
        <v>21</v>
      </c>
      <c r="G320" s="8" t="s">
        <v>22</v>
      </c>
      <c r="H320" s="9" t="s">
        <v>44</v>
      </c>
      <c r="I320" s="13" t="s">
        <v>34</v>
      </c>
      <c r="J320" s="14"/>
      <c r="K320" s="13" t="s">
        <v>50</v>
      </c>
      <c r="L320" s="14"/>
    </row>
    <row r="321" spans="1:12" ht="15" customHeight="1" x14ac:dyDescent="0.25">
      <c r="A321" s="15" t="s">
        <v>53</v>
      </c>
      <c r="B321" s="16"/>
      <c r="C321" s="16"/>
      <c r="D321" s="16"/>
      <c r="E321" s="16"/>
      <c r="F321" s="16"/>
      <c r="G321" s="16"/>
      <c r="H321" s="16"/>
      <c r="I321" s="16"/>
      <c r="J321" s="17"/>
      <c r="K321" s="15">
        <v>0</v>
      </c>
      <c r="L321" s="17"/>
    </row>
    <row r="322" spans="1:12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 spans="1:12" ht="15" customHeight="1" x14ac:dyDescent="0.25">
      <c r="A323" s="10" t="s">
        <v>54</v>
      </c>
      <c r="B323" s="11"/>
      <c r="C323" s="12"/>
      <c r="D323" s="8" t="s">
        <v>21</v>
      </c>
      <c r="E323" s="8" t="s">
        <v>22</v>
      </c>
      <c r="F323" s="9" t="s">
        <v>55</v>
      </c>
      <c r="G323" s="8" t="s">
        <v>56</v>
      </c>
      <c r="H323" s="8" t="s">
        <v>57</v>
      </c>
      <c r="I323" s="8" t="s">
        <v>58</v>
      </c>
      <c r="J323" s="9" t="s">
        <v>59</v>
      </c>
      <c r="K323" s="9" t="s">
        <v>34</v>
      </c>
      <c r="L323" s="9" t="s">
        <v>50</v>
      </c>
    </row>
    <row r="324" spans="1:12" ht="15" customHeight="1" x14ac:dyDescent="0.25">
      <c r="A324" s="15" t="s">
        <v>60</v>
      </c>
      <c r="B324" s="16"/>
      <c r="C324" s="16"/>
      <c r="D324" s="16"/>
      <c r="E324" s="16"/>
      <c r="F324" s="16"/>
      <c r="G324" s="16"/>
      <c r="H324" s="16"/>
      <c r="I324" s="16"/>
      <c r="J324" s="17"/>
      <c r="K324" s="15">
        <v>0</v>
      </c>
      <c r="L324" s="17"/>
    </row>
    <row r="325" spans="1:12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</row>
    <row r="326" spans="1:12" ht="15" customHeight="1" x14ac:dyDescent="0.25">
      <c r="A326" s="27" t="s">
        <v>61</v>
      </c>
      <c r="B326" s="27"/>
      <c r="C326" s="27"/>
      <c r="D326" s="27"/>
      <c r="E326" s="27"/>
      <c r="F326" s="27"/>
      <c r="G326" s="27"/>
      <c r="H326" s="27"/>
      <c r="I326" s="27"/>
      <c r="J326" s="27"/>
      <c r="K326" s="27">
        <v>4.99</v>
      </c>
      <c r="L326" s="27"/>
    </row>
    <row r="327" spans="1:12" ht="15" customHeight="1" x14ac:dyDescent="0.25">
      <c r="A327" s="27" t="s">
        <v>62</v>
      </c>
      <c r="B327" s="27"/>
      <c r="C327" s="27"/>
      <c r="D327" s="27"/>
      <c r="E327" s="27"/>
      <c r="F327" s="27"/>
      <c r="G327" s="27"/>
      <c r="H327" s="27"/>
      <c r="I327" s="27"/>
      <c r="J327" s="27"/>
      <c r="K327" s="27">
        <v>1.66</v>
      </c>
      <c r="L327" s="27"/>
    </row>
    <row r="328" spans="1:12" ht="15" customHeight="1" x14ac:dyDescent="0.25">
      <c r="A328" s="27" t="s">
        <v>63</v>
      </c>
      <c r="B328" s="27"/>
      <c r="C328" s="27"/>
      <c r="D328" s="27"/>
      <c r="E328" s="27"/>
      <c r="F328" s="27"/>
      <c r="G328" s="27"/>
      <c r="H328" s="27"/>
      <c r="I328" s="27"/>
      <c r="J328" s="27"/>
      <c r="K328" s="27">
        <v>6.65</v>
      </c>
      <c r="L328" s="27"/>
    </row>
    <row r="329" spans="1:1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" customHeight="1" x14ac:dyDescent="0.25">
      <c r="A330" s="3" t="s">
        <v>8</v>
      </c>
      <c r="B330" s="6" t="s">
        <v>9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ht="15" customHeight="1" x14ac:dyDescent="0.25">
      <c r="A331" s="3" t="s">
        <v>10</v>
      </c>
      <c r="B331" s="6" t="s">
        <v>82</v>
      </c>
      <c r="C331" s="6"/>
      <c r="D331" s="6"/>
      <c r="E331" s="6"/>
      <c r="F331" s="6"/>
      <c r="G331" s="6"/>
      <c r="H331" s="6"/>
      <c r="I331" s="6"/>
      <c r="J331" s="6"/>
      <c r="K331" s="3" t="s">
        <v>12</v>
      </c>
      <c r="L331" s="4" t="s">
        <v>13</v>
      </c>
    </row>
    <row r="332" spans="1:12" ht="15" customHeight="1" x14ac:dyDescent="0.25">
      <c r="A332" s="3" t="s">
        <v>14</v>
      </c>
      <c r="B332" s="6" t="s">
        <v>15</v>
      </c>
      <c r="C332" s="6"/>
      <c r="D332" s="7" t="s">
        <v>16</v>
      </c>
      <c r="E332" s="7"/>
      <c r="F332" s="6" t="str">
        <f>"010286"</f>
        <v>010286</v>
      </c>
      <c r="G332" s="6"/>
      <c r="H332" s="3" t="s">
        <v>17</v>
      </c>
      <c r="I332" s="6" t="s">
        <v>18</v>
      </c>
      <c r="J332" s="6"/>
      <c r="K332" s="3" t="s">
        <v>19</v>
      </c>
      <c r="L332" s="5">
        <v>2</v>
      </c>
    </row>
    <row r="333" spans="1:1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" customHeight="1" x14ac:dyDescent="0.25">
      <c r="A334" s="10" t="s">
        <v>20</v>
      </c>
      <c r="B334" s="11"/>
      <c r="C334" s="12"/>
      <c r="D334" s="8" t="s">
        <v>21</v>
      </c>
      <c r="E334" s="8" t="s">
        <v>22</v>
      </c>
      <c r="F334" s="9" t="s">
        <v>23</v>
      </c>
      <c r="G334" s="9" t="s">
        <v>24</v>
      </c>
      <c r="H334" s="9" t="s">
        <v>25</v>
      </c>
      <c r="I334" s="9" t="s">
        <v>26</v>
      </c>
      <c r="J334" s="9" t="s">
        <v>27</v>
      </c>
      <c r="K334" s="13" t="s">
        <v>28</v>
      </c>
      <c r="L334" s="14"/>
    </row>
    <row r="335" spans="1:12" ht="15" customHeight="1" x14ac:dyDescent="0.25">
      <c r="A335" s="15" t="s">
        <v>29</v>
      </c>
      <c r="B335" s="16"/>
      <c r="C335" s="16"/>
      <c r="D335" s="16"/>
      <c r="E335" s="16"/>
      <c r="F335" s="16"/>
      <c r="G335" s="16"/>
      <c r="H335" s="16"/>
      <c r="I335" s="16"/>
      <c r="J335" s="17"/>
      <c r="K335" s="15">
        <v>0</v>
      </c>
      <c r="L335" s="17"/>
    </row>
    <row r="336" spans="1:12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</row>
    <row r="337" spans="1:12" ht="15" customHeight="1" x14ac:dyDescent="0.25">
      <c r="A337" s="10" t="s">
        <v>30</v>
      </c>
      <c r="B337" s="11"/>
      <c r="C337" s="12"/>
      <c r="D337" s="8" t="s">
        <v>21</v>
      </c>
      <c r="E337" s="8" t="s">
        <v>22</v>
      </c>
      <c r="F337" s="9" t="s">
        <v>31</v>
      </c>
      <c r="G337" s="9" t="s">
        <v>32</v>
      </c>
      <c r="H337" s="9" t="s">
        <v>33</v>
      </c>
      <c r="I337" s="13" t="s">
        <v>34</v>
      </c>
      <c r="J337" s="14"/>
      <c r="K337" s="13" t="s">
        <v>28</v>
      </c>
      <c r="L337" s="14"/>
    </row>
    <row r="338" spans="1:12" ht="15" customHeight="1" x14ac:dyDescent="0.25">
      <c r="A338" s="21" t="s">
        <v>65</v>
      </c>
      <c r="B338" s="22"/>
      <c r="C338" s="23"/>
      <c r="D338" s="19" t="str">
        <f>"010124"</f>
        <v>010124</v>
      </c>
      <c r="E338" s="19" t="s">
        <v>36</v>
      </c>
      <c r="F338" s="20">
        <v>10.119999999999999</v>
      </c>
      <c r="G338" s="20">
        <v>157.27000000000001</v>
      </c>
      <c r="H338" s="20">
        <v>26.03</v>
      </c>
      <c r="I338" s="24">
        <v>7.0000000000000007E-2</v>
      </c>
      <c r="J338" s="25"/>
      <c r="K338" s="24">
        <v>1.82</v>
      </c>
      <c r="L338" s="25"/>
    </row>
    <row r="339" spans="1:12" ht="15" customHeight="1" x14ac:dyDescent="0.25">
      <c r="A339" s="21" t="s">
        <v>37</v>
      </c>
      <c r="B339" s="22"/>
      <c r="C339" s="23"/>
      <c r="D339" s="19" t="str">
        <f>"010146"</f>
        <v>010146</v>
      </c>
      <c r="E339" s="19" t="s">
        <v>36</v>
      </c>
      <c r="F339" s="20">
        <v>7.65</v>
      </c>
      <c r="G339" s="20">
        <v>157.27000000000001</v>
      </c>
      <c r="H339" s="20">
        <v>19.68</v>
      </c>
      <c r="I339" s="24">
        <v>0.7</v>
      </c>
      <c r="J339" s="25"/>
      <c r="K339" s="24">
        <v>13.77</v>
      </c>
      <c r="L339" s="25"/>
    </row>
    <row r="340" spans="1:12" ht="15" customHeight="1" x14ac:dyDescent="0.25">
      <c r="A340" s="15" t="s">
        <v>38</v>
      </c>
      <c r="B340" s="16"/>
      <c r="C340" s="16"/>
      <c r="D340" s="16"/>
      <c r="E340" s="16"/>
      <c r="F340" s="16"/>
      <c r="G340" s="16"/>
      <c r="H340" s="16"/>
      <c r="I340" s="16"/>
      <c r="J340" s="17"/>
      <c r="K340" s="15">
        <v>15.59</v>
      </c>
      <c r="L340" s="17"/>
    </row>
    <row r="341" spans="1:12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</row>
    <row r="342" spans="1:12" ht="15" customHeight="1" x14ac:dyDescent="0.25">
      <c r="A342" s="10" t="s">
        <v>39</v>
      </c>
      <c r="B342" s="11"/>
      <c r="C342" s="12"/>
      <c r="D342" s="8" t="s">
        <v>21</v>
      </c>
      <c r="E342" s="13" t="s">
        <v>40</v>
      </c>
      <c r="F342" s="14"/>
      <c r="G342" s="8" t="s">
        <v>41</v>
      </c>
      <c r="H342" s="8" t="s">
        <v>42</v>
      </c>
      <c r="I342" s="8" t="s">
        <v>43</v>
      </c>
      <c r="J342" s="13" t="s">
        <v>44</v>
      </c>
      <c r="K342" s="26"/>
      <c r="L342" s="14"/>
    </row>
    <row r="343" spans="1:12" ht="15" customHeight="1" x14ac:dyDescent="0.25">
      <c r="A343" s="15" t="s">
        <v>45</v>
      </c>
      <c r="B343" s="16"/>
      <c r="C343" s="16"/>
      <c r="D343" s="16"/>
      <c r="E343" s="16"/>
      <c r="F343" s="16"/>
      <c r="G343" s="16"/>
      <c r="H343" s="16"/>
      <c r="I343" s="16"/>
      <c r="J343" s="17"/>
      <c r="K343" s="15">
        <v>0</v>
      </c>
      <c r="L343" s="17"/>
    </row>
    <row r="344" spans="1:12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 spans="1:12" ht="15" customHeight="1" x14ac:dyDescent="0.25">
      <c r="A345" s="27" t="s">
        <v>46</v>
      </c>
      <c r="B345" s="27"/>
      <c r="C345" s="27"/>
      <c r="D345" s="27"/>
      <c r="E345" s="27"/>
      <c r="F345" s="27"/>
      <c r="G345" s="27"/>
      <c r="H345" s="27"/>
      <c r="I345" s="27"/>
      <c r="J345" s="27"/>
      <c r="K345" s="27">
        <v>15.59</v>
      </c>
      <c r="L345" s="27"/>
    </row>
    <row r="346" spans="1:12" ht="15" customHeight="1" x14ac:dyDescent="0.25">
      <c r="A346" s="27" t="s">
        <v>47</v>
      </c>
      <c r="B346" s="27"/>
      <c r="C346" s="27"/>
      <c r="D346" s="27"/>
      <c r="E346" s="27"/>
      <c r="F346" s="27"/>
      <c r="G346" s="27"/>
      <c r="H346" s="27"/>
      <c r="I346" s="27"/>
      <c r="J346" s="27"/>
      <c r="K346" s="27">
        <v>1</v>
      </c>
      <c r="L346" s="27"/>
    </row>
    <row r="347" spans="1:12" ht="15" customHeight="1" x14ac:dyDescent="0.25">
      <c r="A347" s="27" t="s">
        <v>48</v>
      </c>
      <c r="B347" s="27"/>
      <c r="C347" s="27"/>
      <c r="D347" s="27"/>
      <c r="E347" s="27"/>
      <c r="F347" s="27"/>
      <c r="G347" s="27"/>
      <c r="H347" s="27"/>
      <c r="I347" s="27"/>
      <c r="J347" s="27"/>
      <c r="K347" s="27">
        <v>15.59</v>
      </c>
      <c r="L347" s="27"/>
    </row>
    <row r="348" spans="1:1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" customHeight="1" x14ac:dyDescent="0.25">
      <c r="A349" s="10" t="s">
        <v>49</v>
      </c>
      <c r="B349" s="11"/>
      <c r="C349" s="11"/>
      <c r="D349" s="11"/>
      <c r="E349" s="12"/>
      <c r="F349" s="8" t="s">
        <v>21</v>
      </c>
      <c r="G349" s="8" t="s">
        <v>22</v>
      </c>
      <c r="H349" s="9" t="s">
        <v>44</v>
      </c>
      <c r="I349" s="13" t="s">
        <v>34</v>
      </c>
      <c r="J349" s="14"/>
      <c r="K349" s="13" t="s">
        <v>50</v>
      </c>
      <c r="L349" s="14"/>
    </row>
    <row r="350" spans="1:12" ht="15" customHeight="1" x14ac:dyDescent="0.25">
      <c r="A350" s="15" t="s">
        <v>51</v>
      </c>
      <c r="B350" s="16"/>
      <c r="C350" s="16"/>
      <c r="D350" s="16"/>
      <c r="E350" s="16"/>
      <c r="F350" s="16"/>
      <c r="G350" s="16"/>
      <c r="H350" s="16"/>
      <c r="I350" s="16"/>
      <c r="J350" s="17"/>
      <c r="K350" s="15">
        <v>0</v>
      </c>
      <c r="L350" s="17"/>
    </row>
    <row r="351" spans="1:12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 spans="1:12" ht="15" customHeight="1" x14ac:dyDescent="0.25">
      <c r="A352" s="10" t="s">
        <v>52</v>
      </c>
      <c r="B352" s="11"/>
      <c r="C352" s="11"/>
      <c r="D352" s="11"/>
      <c r="E352" s="12"/>
      <c r="F352" s="8" t="s">
        <v>21</v>
      </c>
      <c r="G352" s="8" t="s">
        <v>22</v>
      </c>
      <c r="H352" s="9" t="s">
        <v>44</v>
      </c>
      <c r="I352" s="13" t="s">
        <v>34</v>
      </c>
      <c r="J352" s="14"/>
      <c r="K352" s="13" t="s">
        <v>50</v>
      </c>
      <c r="L352" s="14"/>
    </row>
    <row r="353" spans="1:12" ht="15" customHeight="1" x14ac:dyDescent="0.25">
      <c r="A353" s="15" t="s">
        <v>53</v>
      </c>
      <c r="B353" s="16"/>
      <c r="C353" s="16"/>
      <c r="D353" s="16"/>
      <c r="E353" s="16"/>
      <c r="F353" s="16"/>
      <c r="G353" s="16"/>
      <c r="H353" s="16"/>
      <c r="I353" s="16"/>
      <c r="J353" s="17"/>
      <c r="K353" s="15">
        <v>0</v>
      </c>
      <c r="L353" s="17"/>
    </row>
    <row r="354" spans="1:12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</row>
    <row r="355" spans="1:12" ht="15" customHeight="1" x14ac:dyDescent="0.25">
      <c r="A355" s="10" t="s">
        <v>54</v>
      </c>
      <c r="B355" s="11"/>
      <c r="C355" s="12"/>
      <c r="D355" s="8" t="s">
        <v>21</v>
      </c>
      <c r="E355" s="8" t="s">
        <v>22</v>
      </c>
      <c r="F355" s="9" t="s">
        <v>55</v>
      </c>
      <c r="G355" s="8" t="s">
        <v>56</v>
      </c>
      <c r="H355" s="8" t="s">
        <v>57</v>
      </c>
      <c r="I355" s="8" t="s">
        <v>58</v>
      </c>
      <c r="J355" s="9" t="s">
        <v>59</v>
      </c>
      <c r="K355" s="9" t="s">
        <v>34</v>
      </c>
      <c r="L355" s="9" t="s">
        <v>50</v>
      </c>
    </row>
    <row r="356" spans="1:12" ht="15" customHeight="1" x14ac:dyDescent="0.25">
      <c r="A356" s="15" t="s">
        <v>60</v>
      </c>
      <c r="B356" s="16"/>
      <c r="C356" s="16"/>
      <c r="D356" s="16"/>
      <c r="E356" s="16"/>
      <c r="F356" s="16"/>
      <c r="G356" s="16"/>
      <c r="H356" s="16"/>
      <c r="I356" s="16"/>
      <c r="J356" s="17"/>
      <c r="K356" s="15">
        <v>0</v>
      </c>
      <c r="L356" s="17"/>
    </row>
    <row r="357" spans="1:12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</row>
    <row r="358" spans="1:12" ht="15" customHeight="1" x14ac:dyDescent="0.25">
      <c r="A358" s="27" t="s">
        <v>61</v>
      </c>
      <c r="B358" s="27"/>
      <c r="C358" s="27"/>
      <c r="D358" s="27"/>
      <c r="E358" s="27"/>
      <c r="F358" s="27"/>
      <c r="G358" s="27"/>
      <c r="H358" s="27"/>
      <c r="I358" s="27"/>
      <c r="J358" s="27"/>
      <c r="K358" s="27">
        <v>15.59</v>
      </c>
      <c r="L358" s="27"/>
    </row>
    <row r="359" spans="1:12" ht="15" customHeight="1" x14ac:dyDescent="0.25">
      <c r="A359" s="27" t="s">
        <v>62</v>
      </c>
      <c r="B359" s="27"/>
      <c r="C359" s="27"/>
      <c r="D359" s="27"/>
      <c r="E359" s="27"/>
      <c r="F359" s="27"/>
      <c r="G359" s="27"/>
      <c r="H359" s="27"/>
      <c r="I359" s="27"/>
      <c r="J359" s="27"/>
      <c r="K359" s="27">
        <v>5.18</v>
      </c>
      <c r="L359" s="27"/>
    </row>
    <row r="360" spans="1:12" ht="15" customHeight="1" x14ac:dyDescent="0.25">
      <c r="A360" s="27" t="s">
        <v>63</v>
      </c>
      <c r="B360" s="27"/>
      <c r="C360" s="27"/>
      <c r="D360" s="27"/>
      <c r="E360" s="27"/>
      <c r="F360" s="27"/>
      <c r="G360" s="27"/>
      <c r="H360" s="27"/>
      <c r="I360" s="27"/>
      <c r="J360" s="27"/>
      <c r="K360" s="27">
        <v>20.77</v>
      </c>
      <c r="L360" s="27"/>
    </row>
    <row r="361" spans="1:1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" customHeight="1" x14ac:dyDescent="0.25">
      <c r="A362" s="3" t="s">
        <v>8</v>
      </c>
      <c r="B362" s="6" t="s">
        <v>9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ht="15" customHeight="1" x14ac:dyDescent="0.25">
      <c r="A363" s="3" t="s">
        <v>10</v>
      </c>
      <c r="B363" s="6" t="s">
        <v>83</v>
      </c>
      <c r="C363" s="6"/>
      <c r="D363" s="6"/>
      <c r="E363" s="6"/>
      <c r="F363" s="6"/>
      <c r="G363" s="6"/>
      <c r="H363" s="6"/>
      <c r="I363" s="6"/>
      <c r="J363" s="6"/>
      <c r="K363" s="3" t="s">
        <v>12</v>
      </c>
      <c r="L363" s="4" t="s">
        <v>84</v>
      </c>
    </row>
    <row r="364" spans="1:12" ht="15" customHeight="1" x14ac:dyDescent="0.25">
      <c r="A364" s="3" t="s">
        <v>14</v>
      </c>
      <c r="B364" s="6" t="s">
        <v>15</v>
      </c>
      <c r="C364" s="6"/>
      <c r="D364" s="7" t="s">
        <v>16</v>
      </c>
      <c r="E364" s="7"/>
      <c r="F364" s="6" t="str">
        <f>"010323"</f>
        <v>010323</v>
      </c>
      <c r="G364" s="6"/>
      <c r="H364" s="3" t="s">
        <v>17</v>
      </c>
      <c r="I364" s="6" t="s">
        <v>18</v>
      </c>
      <c r="J364" s="6"/>
      <c r="K364" s="3" t="s">
        <v>19</v>
      </c>
      <c r="L364" s="5">
        <v>2</v>
      </c>
    </row>
    <row r="365" spans="1:1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" customHeight="1" x14ac:dyDescent="0.25">
      <c r="A366" s="10" t="s">
        <v>20</v>
      </c>
      <c r="B366" s="11"/>
      <c r="C366" s="12"/>
      <c r="D366" s="8" t="s">
        <v>21</v>
      </c>
      <c r="E366" s="8" t="s">
        <v>22</v>
      </c>
      <c r="F366" s="9" t="s">
        <v>23</v>
      </c>
      <c r="G366" s="9" t="s">
        <v>24</v>
      </c>
      <c r="H366" s="9" t="s">
        <v>25</v>
      </c>
      <c r="I366" s="9" t="s">
        <v>26</v>
      </c>
      <c r="J366" s="9" t="s">
        <v>27</v>
      </c>
      <c r="K366" s="13" t="s">
        <v>28</v>
      </c>
      <c r="L366" s="14"/>
    </row>
    <row r="367" spans="1:12" ht="15" customHeight="1" x14ac:dyDescent="0.25">
      <c r="A367" s="15" t="s">
        <v>29</v>
      </c>
      <c r="B367" s="16"/>
      <c r="C367" s="16"/>
      <c r="D367" s="16"/>
      <c r="E367" s="16"/>
      <c r="F367" s="16"/>
      <c r="G367" s="16"/>
      <c r="H367" s="16"/>
      <c r="I367" s="16"/>
      <c r="J367" s="17"/>
      <c r="K367" s="15">
        <v>0</v>
      </c>
      <c r="L367" s="17"/>
    </row>
    <row r="368" spans="1:12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</row>
    <row r="369" spans="1:12" ht="15" customHeight="1" x14ac:dyDescent="0.25">
      <c r="A369" s="10" t="s">
        <v>30</v>
      </c>
      <c r="B369" s="11"/>
      <c r="C369" s="12"/>
      <c r="D369" s="8" t="s">
        <v>21</v>
      </c>
      <c r="E369" s="8" t="s">
        <v>22</v>
      </c>
      <c r="F369" s="9" t="s">
        <v>31</v>
      </c>
      <c r="G369" s="9" t="s">
        <v>32</v>
      </c>
      <c r="H369" s="9" t="s">
        <v>33</v>
      </c>
      <c r="I369" s="13" t="s">
        <v>34</v>
      </c>
      <c r="J369" s="14"/>
      <c r="K369" s="13" t="s">
        <v>28</v>
      </c>
      <c r="L369" s="14"/>
    </row>
    <row r="370" spans="1:12" ht="15" customHeight="1" x14ac:dyDescent="0.25">
      <c r="A370" s="21" t="s">
        <v>76</v>
      </c>
      <c r="B370" s="22"/>
      <c r="C370" s="23"/>
      <c r="D370" s="19" t="str">
        <f>"010101"</f>
        <v>010101</v>
      </c>
      <c r="E370" s="19" t="s">
        <v>36</v>
      </c>
      <c r="F370" s="20">
        <v>8.5299999999999994</v>
      </c>
      <c r="G370" s="20">
        <v>157.27000000000001</v>
      </c>
      <c r="H370" s="20">
        <v>21.94</v>
      </c>
      <c r="I370" s="24">
        <v>0.25</v>
      </c>
      <c r="J370" s="25"/>
      <c r="K370" s="24">
        <v>5.48</v>
      </c>
      <c r="L370" s="25"/>
    </row>
    <row r="371" spans="1:12" ht="15" customHeight="1" x14ac:dyDescent="0.25">
      <c r="A371" s="21" t="s">
        <v>85</v>
      </c>
      <c r="B371" s="22"/>
      <c r="C371" s="23"/>
      <c r="D371" s="19" t="str">
        <f>"010118"</f>
        <v>010118</v>
      </c>
      <c r="E371" s="19" t="s">
        <v>36</v>
      </c>
      <c r="F371" s="20">
        <v>10.119999999999999</v>
      </c>
      <c r="G371" s="20">
        <v>157.27000000000001</v>
      </c>
      <c r="H371" s="20">
        <v>26.03</v>
      </c>
      <c r="I371" s="24">
        <v>0.1</v>
      </c>
      <c r="J371" s="25"/>
      <c r="K371" s="24">
        <v>2.6</v>
      </c>
      <c r="L371" s="25"/>
    </row>
    <row r="372" spans="1:12" ht="15" customHeight="1" x14ac:dyDescent="0.25">
      <c r="A372" s="15" t="s">
        <v>38</v>
      </c>
      <c r="B372" s="16"/>
      <c r="C372" s="16"/>
      <c r="D372" s="16"/>
      <c r="E372" s="16"/>
      <c r="F372" s="16"/>
      <c r="G372" s="16"/>
      <c r="H372" s="16"/>
      <c r="I372" s="16"/>
      <c r="J372" s="17"/>
      <c r="K372" s="15">
        <v>8.08</v>
      </c>
      <c r="L372" s="17"/>
    </row>
    <row r="373" spans="1:12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</row>
    <row r="374" spans="1:12" ht="15" customHeight="1" x14ac:dyDescent="0.25">
      <c r="A374" s="10" t="s">
        <v>39</v>
      </c>
      <c r="B374" s="11"/>
      <c r="C374" s="12"/>
      <c r="D374" s="8" t="s">
        <v>21</v>
      </c>
      <c r="E374" s="13" t="s">
        <v>40</v>
      </c>
      <c r="F374" s="14"/>
      <c r="G374" s="8" t="s">
        <v>41</v>
      </c>
      <c r="H374" s="8" t="s">
        <v>42</v>
      </c>
      <c r="I374" s="8" t="s">
        <v>43</v>
      </c>
      <c r="J374" s="13" t="s">
        <v>44</v>
      </c>
      <c r="K374" s="26"/>
      <c r="L374" s="14"/>
    </row>
    <row r="375" spans="1:12" ht="15" customHeight="1" x14ac:dyDescent="0.25">
      <c r="A375" s="15" t="s">
        <v>45</v>
      </c>
      <c r="B375" s="16"/>
      <c r="C375" s="16"/>
      <c r="D375" s="16"/>
      <c r="E375" s="16"/>
      <c r="F375" s="16"/>
      <c r="G375" s="16"/>
      <c r="H375" s="16"/>
      <c r="I375" s="16"/>
      <c r="J375" s="17"/>
      <c r="K375" s="15">
        <v>0</v>
      </c>
      <c r="L375" s="17"/>
    </row>
    <row r="376" spans="1:12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 spans="1:12" ht="15" customHeight="1" x14ac:dyDescent="0.25">
      <c r="A377" s="27" t="s">
        <v>46</v>
      </c>
      <c r="B377" s="27"/>
      <c r="C377" s="27"/>
      <c r="D377" s="27"/>
      <c r="E377" s="27"/>
      <c r="F377" s="27"/>
      <c r="G377" s="27"/>
      <c r="H377" s="27"/>
      <c r="I377" s="27"/>
      <c r="J377" s="27"/>
      <c r="K377" s="27">
        <v>8.08</v>
      </c>
      <c r="L377" s="27"/>
    </row>
    <row r="378" spans="1:12" ht="15" customHeight="1" x14ac:dyDescent="0.25">
      <c r="A378" s="27" t="s">
        <v>47</v>
      </c>
      <c r="B378" s="27"/>
      <c r="C378" s="27"/>
      <c r="D378" s="27"/>
      <c r="E378" s="27"/>
      <c r="F378" s="27"/>
      <c r="G378" s="27"/>
      <c r="H378" s="27"/>
      <c r="I378" s="27"/>
      <c r="J378" s="27"/>
      <c r="K378" s="27">
        <v>1</v>
      </c>
      <c r="L378" s="27"/>
    </row>
    <row r="379" spans="1:12" ht="15" customHeight="1" x14ac:dyDescent="0.25">
      <c r="A379" s="27" t="s">
        <v>48</v>
      </c>
      <c r="B379" s="27"/>
      <c r="C379" s="27"/>
      <c r="D379" s="27"/>
      <c r="E379" s="27"/>
      <c r="F379" s="27"/>
      <c r="G379" s="27"/>
      <c r="H379" s="27"/>
      <c r="I379" s="27"/>
      <c r="J379" s="27"/>
      <c r="K379" s="27">
        <v>8.08</v>
      </c>
      <c r="L379" s="27"/>
    </row>
    <row r="380" spans="1:1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" customHeight="1" x14ac:dyDescent="0.25">
      <c r="A381" s="10" t="s">
        <v>49</v>
      </c>
      <c r="B381" s="11"/>
      <c r="C381" s="11"/>
      <c r="D381" s="11"/>
      <c r="E381" s="12"/>
      <c r="F381" s="8" t="s">
        <v>21</v>
      </c>
      <c r="G381" s="8" t="s">
        <v>22</v>
      </c>
      <c r="H381" s="9" t="s">
        <v>44</v>
      </c>
      <c r="I381" s="13" t="s">
        <v>34</v>
      </c>
      <c r="J381" s="14"/>
      <c r="K381" s="13" t="s">
        <v>50</v>
      </c>
      <c r="L381" s="14"/>
    </row>
    <row r="382" spans="1:12" ht="15" customHeight="1" x14ac:dyDescent="0.25">
      <c r="A382" s="15" t="s">
        <v>51</v>
      </c>
      <c r="B382" s="16"/>
      <c r="C382" s="16"/>
      <c r="D382" s="16"/>
      <c r="E382" s="16"/>
      <c r="F382" s="16"/>
      <c r="G382" s="16"/>
      <c r="H382" s="16"/>
      <c r="I382" s="16"/>
      <c r="J382" s="17"/>
      <c r="K382" s="15">
        <v>0</v>
      </c>
      <c r="L382" s="17"/>
    </row>
    <row r="383" spans="1:12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 spans="1:12" ht="15" customHeight="1" x14ac:dyDescent="0.25">
      <c r="A384" s="10" t="s">
        <v>52</v>
      </c>
      <c r="B384" s="11"/>
      <c r="C384" s="11"/>
      <c r="D384" s="11"/>
      <c r="E384" s="12"/>
      <c r="F384" s="8" t="s">
        <v>21</v>
      </c>
      <c r="G384" s="8" t="s">
        <v>22</v>
      </c>
      <c r="H384" s="9" t="s">
        <v>44</v>
      </c>
      <c r="I384" s="13" t="s">
        <v>34</v>
      </c>
      <c r="J384" s="14"/>
      <c r="K384" s="13" t="s">
        <v>50</v>
      </c>
      <c r="L384" s="14"/>
    </row>
    <row r="385" spans="1:12" ht="15" customHeight="1" x14ac:dyDescent="0.25">
      <c r="A385" s="15" t="s">
        <v>53</v>
      </c>
      <c r="B385" s="16"/>
      <c r="C385" s="16"/>
      <c r="D385" s="16"/>
      <c r="E385" s="16"/>
      <c r="F385" s="16"/>
      <c r="G385" s="16"/>
      <c r="H385" s="16"/>
      <c r="I385" s="16"/>
      <c r="J385" s="17"/>
      <c r="K385" s="15">
        <v>0</v>
      </c>
      <c r="L385" s="17"/>
    </row>
    <row r="386" spans="1:1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</row>
    <row r="387" spans="1:12" ht="15" customHeight="1" x14ac:dyDescent="0.25">
      <c r="A387" s="10" t="s">
        <v>54</v>
      </c>
      <c r="B387" s="11"/>
      <c r="C387" s="12"/>
      <c r="D387" s="8" t="s">
        <v>21</v>
      </c>
      <c r="E387" s="8" t="s">
        <v>22</v>
      </c>
      <c r="F387" s="9" t="s">
        <v>55</v>
      </c>
      <c r="G387" s="8" t="s">
        <v>56</v>
      </c>
      <c r="H387" s="8" t="s">
        <v>57</v>
      </c>
      <c r="I387" s="8" t="s">
        <v>58</v>
      </c>
      <c r="J387" s="9" t="s">
        <v>59</v>
      </c>
      <c r="K387" s="9" t="s">
        <v>34</v>
      </c>
      <c r="L387" s="9" t="s">
        <v>50</v>
      </c>
    </row>
    <row r="388" spans="1:12" ht="15" customHeight="1" x14ac:dyDescent="0.25">
      <c r="A388" s="15" t="s">
        <v>60</v>
      </c>
      <c r="B388" s="16"/>
      <c r="C388" s="16"/>
      <c r="D388" s="16"/>
      <c r="E388" s="16"/>
      <c r="F388" s="16"/>
      <c r="G388" s="16"/>
      <c r="H388" s="16"/>
      <c r="I388" s="16"/>
      <c r="J388" s="17"/>
      <c r="K388" s="15">
        <v>0</v>
      </c>
      <c r="L388" s="17"/>
    </row>
    <row r="389" spans="1:12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</row>
    <row r="390" spans="1:12" ht="15" customHeight="1" x14ac:dyDescent="0.25">
      <c r="A390" s="27" t="s">
        <v>61</v>
      </c>
      <c r="B390" s="27"/>
      <c r="C390" s="27"/>
      <c r="D390" s="27"/>
      <c r="E390" s="27"/>
      <c r="F390" s="27"/>
      <c r="G390" s="27"/>
      <c r="H390" s="27"/>
      <c r="I390" s="27"/>
      <c r="J390" s="27"/>
      <c r="K390" s="27">
        <v>8.08</v>
      </c>
      <c r="L390" s="27"/>
    </row>
    <row r="391" spans="1:12" ht="15" customHeight="1" x14ac:dyDescent="0.25">
      <c r="A391" s="27" t="s">
        <v>62</v>
      </c>
      <c r="B391" s="27"/>
      <c r="C391" s="27"/>
      <c r="D391" s="27"/>
      <c r="E391" s="27"/>
      <c r="F391" s="27"/>
      <c r="G391" s="27"/>
      <c r="H391" s="27"/>
      <c r="I391" s="27"/>
      <c r="J391" s="27"/>
      <c r="K391" s="27">
        <v>2.69</v>
      </c>
      <c r="L391" s="27"/>
    </row>
    <row r="392" spans="1:12" ht="15" customHeight="1" x14ac:dyDescent="0.25">
      <c r="A392" s="27" t="s">
        <v>63</v>
      </c>
      <c r="B392" s="27"/>
      <c r="C392" s="27"/>
      <c r="D392" s="27"/>
      <c r="E392" s="27"/>
      <c r="F392" s="27"/>
      <c r="G392" s="27"/>
      <c r="H392" s="27"/>
      <c r="I392" s="27"/>
      <c r="J392" s="27"/>
      <c r="K392" s="27">
        <v>10.77</v>
      </c>
      <c r="L392" s="27"/>
    </row>
    <row r="393" spans="1:1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" customHeight="1" x14ac:dyDescent="0.25">
      <c r="A394" s="3" t="s">
        <v>8</v>
      </c>
      <c r="B394" s="6" t="s">
        <v>9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ht="15" customHeight="1" x14ac:dyDescent="0.25">
      <c r="A395" s="3" t="s">
        <v>10</v>
      </c>
      <c r="B395" s="6" t="s">
        <v>86</v>
      </c>
      <c r="C395" s="6"/>
      <c r="D395" s="6"/>
      <c r="E395" s="6"/>
      <c r="F395" s="6"/>
      <c r="G395" s="6"/>
      <c r="H395" s="6"/>
      <c r="I395" s="6"/>
      <c r="J395" s="6"/>
      <c r="K395" s="3" t="s">
        <v>12</v>
      </c>
      <c r="L395" s="4" t="s">
        <v>87</v>
      </c>
    </row>
    <row r="396" spans="1:12" ht="15" customHeight="1" x14ac:dyDescent="0.25">
      <c r="A396" s="3" t="s">
        <v>14</v>
      </c>
      <c r="B396" s="6" t="s">
        <v>88</v>
      </c>
      <c r="C396" s="6"/>
      <c r="D396" s="7" t="s">
        <v>16</v>
      </c>
      <c r="E396" s="7"/>
      <c r="F396" s="6" t="str">
        <f>"2F31.000384"</f>
        <v>2F31.000384</v>
      </c>
      <c r="G396" s="6"/>
      <c r="H396" s="3" t="s">
        <v>17</v>
      </c>
      <c r="I396" s="6" t="s">
        <v>89</v>
      </c>
      <c r="J396" s="6"/>
      <c r="K396" s="3" t="s">
        <v>19</v>
      </c>
      <c r="L396" s="5">
        <v>1</v>
      </c>
    </row>
    <row r="397" spans="1:1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" customHeight="1" x14ac:dyDescent="0.25">
      <c r="A398" s="10" t="s">
        <v>20</v>
      </c>
      <c r="B398" s="11"/>
      <c r="C398" s="12"/>
      <c r="D398" s="8" t="s">
        <v>21</v>
      </c>
      <c r="E398" s="8" t="s">
        <v>22</v>
      </c>
      <c r="F398" s="9" t="s">
        <v>23</v>
      </c>
      <c r="G398" s="9" t="s">
        <v>24</v>
      </c>
      <c r="H398" s="9" t="s">
        <v>25</v>
      </c>
      <c r="I398" s="9" t="s">
        <v>26</v>
      </c>
      <c r="J398" s="9" t="s">
        <v>27</v>
      </c>
      <c r="K398" s="13" t="s">
        <v>28</v>
      </c>
      <c r="L398" s="14"/>
    </row>
    <row r="399" spans="1:12" ht="15" customHeight="1" x14ac:dyDescent="0.25">
      <c r="A399" s="15" t="s">
        <v>29</v>
      </c>
      <c r="B399" s="16"/>
      <c r="C399" s="16"/>
      <c r="D399" s="16"/>
      <c r="E399" s="16"/>
      <c r="F399" s="16"/>
      <c r="G399" s="16"/>
      <c r="H399" s="16"/>
      <c r="I399" s="16"/>
      <c r="J399" s="17"/>
      <c r="K399" s="15">
        <v>0</v>
      </c>
      <c r="L399" s="17"/>
    </row>
    <row r="400" spans="1:12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</row>
    <row r="401" spans="1:12" ht="15" customHeight="1" x14ac:dyDescent="0.25">
      <c r="A401" s="10" t="s">
        <v>30</v>
      </c>
      <c r="B401" s="11"/>
      <c r="C401" s="12"/>
      <c r="D401" s="8" t="s">
        <v>21</v>
      </c>
      <c r="E401" s="8" t="s">
        <v>22</v>
      </c>
      <c r="F401" s="9" t="s">
        <v>31</v>
      </c>
      <c r="G401" s="9" t="s">
        <v>32</v>
      </c>
      <c r="H401" s="9" t="s">
        <v>33</v>
      </c>
      <c r="I401" s="13" t="s">
        <v>34</v>
      </c>
      <c r="J401" s="14"/>
      <c r="K401" s="13" t="s">
        <v>28</v>
      </c>
      <c r="L401" s="14"/>
    </row>
    <row r="402" spans="1:12" ht="15" customHeight="1" x14ac:dyDescent="0.25">
      <c r="A402" s="21" t="s">
        <v>90</v>
      </c>
      <c r="B402" s="22"/>
      <c r="C402" s="23"/>
      <c r="D402" s="19" t="str">
        <f>"010146"</f>
        <v>010146</v>
      </c>
      <c r="E402" s="19" t="s">
        <v>36</v>
      </c>
      <c r="F402" s="20">
        <v>7.65</v>
      </c>
      <c r="G402" s="20">
        <v>157.27000000000001</v>
      </c>
      <c r="H402" s="20">
        <v>19.68</v>
      </c>
      <c r="I402" s="24">
        <v>0.2</v>
      </c>
      <c r="J402" s="25"/>
      <c r="K402" s="24">
        <v>3.93</v>
      </c>
      <c r="L402" s="25"/>
    </row>
    <row r="403" spans="1:12" ht="15" customHeight="1" x14ac:dyDescent="0.25">
      <c r="A403" s="15" t="s">
        <v>38</v>
      </c>
      <c r="B403" s="16"/>
      <c r="C403" s="16"/>
      <c r="D403" s="16"/>
      <c r="E403" s="16"/>
      <c r="F403" s="16"/>
      <c r="G403" s="16"/>
      <c r="H403" s="16"/>
      <c r="I403" s="16"/>
      <c r="J403" s="17"/>
      <c r="K403" s="15">
        <v>3.93</v>
      </c>
      <c r="L403" s="17"/>
    </row>
    <row r="404" spans="1:12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</row>
    <row r="405" spans="1:12" ht="15" customHeight="1" x14ac:dyDescent="0.25">
      <c r="A405" s="10" t="s">
        <v>39</v>
      </c>
      <c r="B405" s="11"/>
      <c r="C405" s="12"/>
      <c r="D405" s="8" t="s">
        <v>21</v>
      </c>
      <c r="E405" s="13" t="s">
        <v>40</v>
      </c>
      <c r="F405" s="14"/>
      <c r="G405" s="8" t="s">
        <v>41</v>
      </c>
      <c r="H405" s="8" t="s">
        <v>42</v>
      </c>
      <c r="I405" s="8" t="s">
        <v>43</v>
      </c>
      <c r="J405" s="13" t="s">
        <v>44</v>
      </c>
      <c r="K405" s="26"/>
      <c r="L405" s="14"/>
    </row>
    <row r="406" spans="1:12" ht="15" customHeight="1" x14ac:dyDescent="0.25">
      <c r="A406" s="15" t="s">
        <v>45</v>
      </c>
      <c r="B406" s="16"/>
      <c r="C406" s="16"/>
      <c r="D406" s="16"/>
      <c r="E406" s="16"/>
      <c r="F406" s="16"/>
      <c r="G406" s="16"/>
      <c r="H406" s="16"/>
      <c r="I406" s="16"/>
      <c r="J406" s="17"/>
      <c r="K406" s="15">
        <v>0</v>
      </c>
      <c r="L406" s="17"/>
    </row>
    <row r="407" spans="1:12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</row>
    <row r="408" spans="1:12" ht="15" customHeight="1" x14ac:dyDescent="0.25">
      <c r="A408" s="27" t="s">
        <v>46</v>
      </c>
      <c r="B408" s="27"/>
      <c r="C408" s="27"/>
      <c r="D408" s="27"/>
      <c r="E408" s="27"/>
      <c r="F408" s="27"/>
      <c r="G408" s="27"/>
      <c r="H408" s="27"/>
      <c r="I408" s="27"/>
      <c r="J408" s="27"/>
      <c r="K408" s="27">
        <v>3.93</v>
      </c>
      <c r="L408" s="27"/>
    </row>
    <row r="409" spans="1:12" ht="15" customHeight="1" x14ac:dyDescent="0.25">
      <c r="A409" s="27" t="s">
        <v>47</v>
      </c>
      <c r="B409" s="27"/>
      <c r="C409" s="27"/>
      <c r="D409" s="27"/>
      <c r="E409" s="27"/>
      <c r="F409" s="27"/>
      <c r="G409" s="27"/>
      <c r="H409" s="27"/>
      <c r="I409" s="27"/>
      <c r="J409" s="27"/>
      <c r="K409" s="27">
        <v>1</v>
      </c>
      <c r="L409" s="27"/>
    </row>
    <row r="410" spans="1:12" ht="15" customHeight="1" x14ac:dyDescent="0.25">
      <c r="A410" s="27" t="s">
        <v>48</v>
      </c>
      <c r="B410" s="27"/>
      <c r="C410" s="27"/>
      <c r="D410" s="27"/>
      <c r="E410" s="27"/>
      <c r="F410" s="27"/>
      <c r="G410" s="27"/>
      <c r="H410" s="27"/>
      <c r="I410" s="27"/>
      <c r="J410" s="27"/>
      <c r="K410" s="27">
        <v>3.93</v>
      </c>
      <c r="L410" s="27"/>
    </row>
    <row r="411" spans="1:1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" customHeight="1" x14ac:dyDescent="0.25">
      <c r="A412" s="10" t="s">
        <v>49</v>
      </c>
      <c r="B412" s="11"/>
      <c r="C412" s="11"/>
      <c r="D412" s="11"/>
      <c r="E412" s="12"/>
      <c r="F412" s="8" t="s">
        <v>21</v>
      </c>
      <c r="G412" s="8" t="s">
        <v>22</v>
      </c>
      <c r="H412" s="9" t="s">
        <v>44</v>
      </c>
      <c r="I412" s="13" t="s">
        <v>34</v>
      </c>
      <c r="J412" s="14"/>
      <c r="K412" s="13" t="s">
        <v>50</v>
      </c>
      <c r="L412" s="14"/>
    </row>
    <row r="413" spans="1:12" ht="15" customHeight="1" x14ac:dyDescent="0.25">
      <c r="A413" s="15" t="s">
        <v>51</v>
      </c>
      <c r="B413" s="16"/>
      <c r="C413" s="16"/>
      <c r="D413" s="16"/>
      <c r="E413" s="16"/>
      <c r="F413" s="16"/>
      <c r="G413" s="16"/>
      <c r="H413" s="16"/>
      <c r="I413" s="16"/>
      <c r="J413" s="17"/>
      <c r="K413" s="15">
        <v>0</v>
      </c>
      <c r="L413" s="17"/>
    </row>
    <row r="414" spans="1:12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</row>
    <row r="415" spans="1:12" ht="15" customHeight="1" x14ac:dyDescent="0.25">
      <c r="A415" s="10" t="s">
        <v>52</v>
      </c>
      <c r="B415" s="11"/>
      <c r="C415" s="11"/>
      <c r="D415" s="11"/>
      <c r="E415" s="12"/>
      <c r="F415" s="8" t="s">
        <v>21</v>
      </c>
      <c r="G415" s="8" t="s">
        <v>22</v>
      </c>
      <c r="H415" s="9" t="s">
        <v>44</v>
      </c>
      <c r="I415" s="13" t="s">
        <v>34</v>
      </c>
      <c r="J415" s="14"/>
      <c r="K415" s="13" t="s">
        <v>50</v>
      </c>
      <c r="L415" s="14"/>
    </row>
    <row r="416" spans="1:12" ht="15" customHeight="1" x14ac:dyDescent="0.25">
      <c r="A416" s="15" t="s">
        <v>53</v>
      </c>
      <c r="B416" s="16"/>
      <c r="C416" s="16"/>
      <c r="D416" s="16"/>
      <c r="E416" s="16"/>
      <c r="F416" s="16"/>
      <c r="G416" s="16"/>
      <c r="H416" s="16"/>
      <c r="I416" s="16"/>
      <c r="J416" s="17"/>
      <c r="K416" s="15">
        <v>0</v>
      </c>
      <c r="L416" s="17"/>
    </row>
    <row r="417" spans="1:12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</row>
    <row r="418" spans="1:12" ht="15" customHeight="1" x14ac:dyDescent="0.25">
      <c r="A418" s="10" t="s">
        <v>54</v>
      </c>
      <c r="B418" s="11"/>
      <c r="C418" s="12"/>
      <c r="D418" s="8" t="s">
        <v>21</v>
      </c>
      <c r="E418" s="8" t="s">
        <v>22</v>
      </c>
      <c r="F418" s="9" t="s">
        <v>55</v>
      </c>
      <c r="G418" s="8" t="s">
        <v>56</v>
      </c>
      <c r="H418" s="8" t="s">
        <v>57</v>
      </c>
      <c r="I418" s="8" t="s">
        <v>58</v>
      </c>
      <c r="J418" s="9" t="s">
        <v>59</v>
      </c>
      <c r="K418" s="9" t="s">
        <v>34</v>
      </c>
      <c r="L418" s="9" t="s">
        <v>50</v>
      </c>
    </row>
    <row r="419" spans="1:12" ht="15" customHeight="1" x14ac:dyDescent="0.25">
      <c r="A419" s="15" t="s">
        <v>60</v>
      </c>
      <c r="B419" s="16"/>
      <c r="C419" s="16"/>
      <c r="D419" s="16"/>
      <c r="E419" s="16"/>
      <c r="F419" s="16"/>
      <c r="G419" s="16"/>
      <c r="H419" s="16"/>
      <c r="I419" s="16"/>
      <c r="J419" s="17"/>
      <c r="K419" s="15">
        <v>0</v>
      </c>
      <c r="L419" s="17"/>
    </row>
    <row r="420" spans="1:12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</row>
    <row r="421" spans="1:12" ht="15" customHeight="1" x14ac:dyDescent="0.25">
      <c r="A421" s="27" t="s">
        <v>61</v>
      </c>
      <c r="B421" s="27"/>
      <c r="C421" s="27"/>
      <c r="D421" s="27"/>
      <c r="E421" s="27"/>
      <c r="F421" s="27"/>
      <c r="G421" s="27"/>
      <c r="H421" s="27"/>
      <c r="I421" s="27"/>
      <c r="J421" s="27"/>
      <c r="K421" s="27">
        <v>3.93</v>
      </c>
      <c r="L421" s="27"/>
    </row>
    <row r="422" spans="1:12" ht="15" customHeight="1" x14ac:dyDescent="0.25">
      <c r="A422" s="27" t="s">
        <v>62</v>
      </c>
      <c r="B422" s="27"/>
      <c r="C422" s="27"/>
      <c r="D422" s="27"/>
      <c r="E422" s="27"/>
      <c r="F422" s="27"/>
      <c r="G422" s="27"/>
      <c r="H422" s="27"/>
      <c r="I422" s="27"/>
      <c r="J422" s="27"/>
      <c r="K422" s="27">
        <v>1.31</v>
      </c>
      <c r="L422" s="27"/>
    </row>
    <row r="423" spans="1:12" ht="15" customHeight="1" x14ac:dyDescent="0.25">
      <c r="A423" s="27" t="s">
        <v>63</v>
      </c>
      <c r="B423" s="27"/>
      <c r="C423" s="27"/>
      <c r="D423" s="27"/>
      <c r="E423" s="27"/>
      <c r="F423" s="27"/>
      <c r="G423" s="27"/>
      <c r="H423" s="27"/>
      <c r="I423" s="27"/>
      <c r="J423" s="27"/>
      <c r="K423" s="27">
        <v>5.24</v>
      </c>
      <c r="L423" s="27"/>
    </row>
    <row r="424" spans="1:1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" customHeight="1" x14ac:dyDescent="0.25">
      <c r="A425" s="3" t="s">
        <v>8</v>
      </c>
      <c r="B425" s="6" t="s">
        <v>9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 ht="15" customHeight="1" x14ac:dyDescent="0.25">
      <c r="A426" s="3" t="s">
        <v>10</v>
      </c>
      <c r="B426" s="6" t="s">
        <v>91</v>
      </c>
      <c r="C426" s="6"/>
      <c r="D426" s="6"/>
      <c r="E426" s="6"/>
      <c r="F426" s="6"/>
      <c r="G426" s="6"/>
      <c r="H426" s="6"/>
      <c r="I426" s="6"/>
      <c r="J426" s="6"/>
      <c r="K426" s="3" t="s">
        <v>12</v>
      </c>
      <c r="L426" s="4" t="s">
        <v>13</v>
      </c>
    </row>
    <row r="427" spans="1:12" ht="15" customHeight="1" x14ac:dyDescent="0.25">
      <c r="A427" s="3" t="s">
        <v>14</v>
      </c>
      <c r="B427" s="6" t="s">
        <v>15</v>
      </c>
      <c r="C427" s="6"/>
      <c r="D427" s="7" t="s">
        <v>16</v>
      </c>
      <c r="E427" s="7"/>
      <c r="F427" s="6" t="str">
        <f>"010331"</f>
        <v>010331</v>
      </c>
      <c r="G427" s="6"/>
      <c r="H427" s="3" t="s">
        <v>17</v>
      </c>
      <c r="I427" s="6" t="s">
        <v>18</v>
      </c>
      <c r="J427" s="6"/>
      <c r="K427" s="3" t="s">
        <v>19</v>
      </c>
      <c r="L427" s="5">
        <v>2</v>
      </c>
    </row>
    <row r="428" spans="1:1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" customHeight="1" x14ac:dyDescent="0.25">
      <c r="A429" s="10" t="s">
        <v>20</v>
      </c>
      <c r="B429" s="11"/>
      <c r="C429" s="12"/>
      <c r="D429" s="8" t="s">
        <v>21</v>
      </c>
      <c r="E429" s="8" t="s">
        <v>22</v>
      </c>
      <c r="F429" s="9" t="s">
        <v>23</v>
      </c>
      <c r="G429" s="9" t="s">
        <v>24</v>
      </c>
      <c r="H429" s="9" t="s">
        <v>25</v>
      </c>
      <c r="I429" s="9" t="s">
        <v>26</v>
      </c>
      <c r="J429" s="9" t="s">
        <v>27</v>
      </c>
      <c r="K429" s="13" t="s">
        <v>28</v>
      </c>
      <c r="L429" s="14"/>
    </row>
    <row r="430" spans="1:12" ht="15" customHeight="1" x14ac:dyDescent="0.25">
      <c r="A430" s="15" t="s">
        <v>29</v>
      </c>
      <c r="B430" s="16"/>
      <c r="C430" s="16"/>
      <c r="D430" s="16"/>
      <c r="E430" s="16"/>
      <c r="F430" s="16"/>
      <c r="G430" s="16"/>
      <c r="H430" s="16"/>
      <c r="I430" s="16"/>
      <c r="J430" s="17"/>
      <c r="K430" s="15">
        <v>0</v>
      </c>
      <c r="L430" s="17"/>
    </row>
    <row r="431" spans="1:12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 spans="1:12" ht="15" customHeight="1" x14ac:dyDescent="0.25">
      <c r="A432" s="10" t="s">
        <v>30</v>
      </c>
      <c r="B432" s="11"/>
      <c r="C432" s="12"/>
      <c r="D432" s="8" t="s">
        <v>21</v>
      </c>
      <c r="E432" s="8" t="s">
        <v>22</v>
      </c>
      <c r="F432" s="9" t="s">
        <v>31</v>
      </c>
      <c r="G432" s="9" t="s">
        <v>32</v>
      </c>
      <c r="H432" s="9" t="s">
        <v>33</v>
      </c>
      <c r="I432" s="13" t="s">
        <v>34</v>
      </c>
      <c r="J432" s="14"/>
      <c r="K432" s="13" t="s">
        <v>28</v>
      </c>
      <c r="L432" s="14"/>
    </row>
    <row r="433" spans="1:12" ht="15" customHeight="1" x14ac:dyDescent="0.25">
      <c r="A433" s="21" t="s">
        <v>69</v>
      </c>
      <c r="B433" s="22"/>
      <c r="C433" s="23"/>
      <c r="D433" s="19" t="str">
        <f>"010139"</f>
        <v>010139</v>
      </c>
      <c r="E433" s="19" t="s">
        <v>36</v>
      </c>
      <c r="F433" s="20">
        <v>10.119999999999999</v>
      </c>
      <c r="G433" s="20">
        <v>157.27000000000001</v>
      </c>
      <c r="H433" s="20">
        <v>26.03</v>
      </c>
      <c r="I433" s="24">
        <v>0.08</v>
      </c>
      <c r="J433" s="25"/>
      <c r="K433" s="24">
        <v>2.08</v>
      </c>
      <c r="L433" s="25"/>
    </row>
    <row r="434" spans="1:12" ht="15" customHeight="1" x14ac:dyDescent="0.25">
      <c r="A434" s="21" t="s">
        <v>37</v>
      </c>
      <c r="B434" s="22"/>
      <c r="C434" s="23"/>
      <c r="D434" s="19" t="str">
        <f>"010146"</f>
        <v>010146</v>
      </c>
      <c r="E434" s="19" t="s">
        <v>36</v>
      </c>
      <c r="F434" s="20">
        <v>7.65</v>
      </c>
      <c r="G434" s="20">
        <v>157.27000000000001</v>
      </c>
      <c r="H434" s="20">
        <v>19.68</v>
      </c>
      <c r="I434" s="24">
        <v>0.5</v>
      </c>
      <c r="J434" s="25"/>
      <c r="K434" s="24">
        <v>9.84</v>
      </c>
      <c r="L434" s="25"/>
    </row>
    <row r="435" spans="1:12" ht="15" customHeight="1" x14ac:dyDescent="0.25">
      <c r="A435" s="15" t="s">
        <v>38</v>
      </c>
      <c r="B435" s="16"/>
      <c r="C435" s="16"/>
      <c r="D435" s="16"/>
      <c r="E435" s="16"/>
      <c r="F435" s="16"/>
      <c r="G435" s="16"/>
      <c r="H435" s="16"/>
      <c r="I435" s="16"/>
      <c r="J435" s="17"/>
      <c r="K435" s="15">
        <v>11.92</v>
      </c>
      <c r="L435" s="17"/>
    </row>
    <row r="436" spans="1:12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</row>
    <row r="437" spans="1:12" ht="15" customHeight="1" x14ac:dyDescent="0.25">
      <c r="A437" s="10" t="s">
        <v>39</v>
      </c>
      <c r="B437" s="11"/>
      <c r="C437" s="12"/>
      <c r="D437" s="8" t="s">
        <v>21</v>
      </c>
      <c r="E437" s="13" t="s">
        <v>40</v>
      </c>
      <c r="F437" s="14"/>
      <c r="G437" s="8" t="s">
        <v>41</v>
      </c>
      <c r="H437" s="8" t="s">
        <v>42</v>
      </c>
      <c r="I437" s="8" t="s">
        <v>43</v>
      </c>
      <c r="J437" s="13" t="s">
        <v>44</v>
      </c>
      <c r="K437" s="26"/>
      <c r="L437" s="14"/>
    </row>
    <row r="438" spans="1:12" ht="15" customHeight="1" x14ac:dyDescent="0.25">
      <c r="A438" s="15" t="s">
        <v>45</v>
      </c>
      <c r="B438" s="16"/>
      <c r="C438" s="16"/>
      <c r="D438" s="16"/>
      <c r="E438" s="16"/>
      <c r="F438" s="16"/>
      <c r="G438" s="16"/>
      <c r="H438" s="16"/>
      <c r="I438" s="16"/>
      <c r="J438" s="17"/>
      <c r="K438" s="15">
        <v>0</v>
      </c>
      <c r="L438" s="17"/>
    </row>
    <row r="439" spans="1:12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</row>
    <row r="440" spans="1:12" ht="15" customHeight="1" x14ac:dyDescent="0.25">
      <c r="A440" s="27" t="s">
        <v>46</v>
      </c>
      <c r="B440" s="27"/>
      <c r="C440" s="27"/>
      <c r="D440" s="27"/>
      <c r="E440" s="27"/>
      <c r="F440" s="27"/>
      <c r="G440" s="27"/>
      <c r="H440" s="27"/>
      <c r="I440" s="27"/>
      <c r="J440" s="27"/>
      <c r="K440" s="27">
        <v>11.92</v>
      </c>
      <c r="L440" s="27"/>
    </row>
    <row r="441" spans="1:12" ht="15" customHeight="1" x14ac:dyDescent="0.25">
      <c r="A441" s="27" t="s">
        <v>47</v>
      </c>
      <c r="B441" s="27"/>
      <c r="C441" s="27"/>
      <c r="D441" s="27"/>
      <c r="E441" s="27"/>
      <c r="F441" s="27"/>
      <c r="G441" s="27"/>
      <c r="H441" s="27"/>
      <c r="I441" s="27"/>
      <c r="J441" s="27"/>
      <c r="K441" s="27">
        <v>1</v>
      </c>
      <c r="L441" s="27"/>
    </row>
    <row r="442" spans="1:12" ht="15" customHeight="1" x14ac:dyDescent="0.25">
      <c r="A442" s="27" t="s">
        <v>48</v>
      </c>
      <c r="B442" s="27"/>
      <c r="C442" s="27"/>
      <c r="D442" s="27"/>
      <c r="E442" s="27"/>
      <c r="F442" s="27"/>
      <c r="G442" s="27"/>
      <c r="H442" s="27"/>
      <c r="I442" s="27"/>
      <c r="J442" s="27"/>
      <c r="K442" s="27">
        <v>11.92</v>
      </c>
      <c r="L442" s="27"/>
    </row>
    <row r="443" spans="1:1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" customHeight="1" x14ac:dyDescent="0.25">
      <c r="A444" s="10" t="s">
        <v>49</v>
      </c>
      <c r="B444" s="11"/>
      <c r="C444" s="11"/>
      <c r="D444" s="11"/>
      <c r="E444" s="12"/>
      <c r="F444" s="8" t="s">
        <v>21</v>
      </c>
      <c r="G444" s="8" t="s">
        <v>22</v>
      </c>
      <c r="H444" s="9" t="s">
        <v>44</v>
      </c>
      <c r="I444" s="13" t="s">
        <v>34</v>
      </c>
      <c r="J444" s="14"/>
      <c r="K444" s="13" t="s">
        <v>50</v>
      </c>
      <c r="L444" s="14"/>
    </row>
    <row r="445" spans="1:12" ht="15" customHeight="1" x14ac:dyDescent="0.25">
      <c r="A445" s="15" t="s">
        <v>51</v>
      </c>
      <c r="B445" s="16"/>
      <c r="C445" s="16"/>
      <c r="D445" s="16"/>
      <c r="E445" s="16"/>
      <c r="F445" s="16"/>
      <c r="G445" s="16"/>
      <c r="H445" s="16"/>
      <c r="I445" s="16"/>
      <c r="J445" s="17"/>
      <c r="K445" s="15">
        <v>0</v>
      </c>
      <c r="L445" s="17"/>
    </row>
    <row r="446" spans="1:12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</row>
    <row r="447" spans="1:12" ht="15" customHeight="1" x14ac:dyDescent="0.25">
      <c r="A447" s="10" t="s">
        <v>52</v>
      </c>
      <c r="B447" s="11"/>
      <c r="C447" s="11"/>
      <c r="D447" s="11"/>
      <c r="E447" s="12"/>
      <c r="F447" s="8" t="s">
        <v>21</v>
      </c>
      <c r="G447" s="8" t="s">
        <v>22</v>
      </c>
      <c r="H447" s="9" t="s">
        <v>44</v>
      </c>
      <c r="I447" s="13" t="s">
        <v>34</v>
      </c>
      <c r="J447" s="14"/>
      <c r="K447" s="13" t="s">
        <v>50</v>
      </c>
      <c r="L447" s="14"/>
    </row>
    <row r="448" spans="1:12" ht="15" customHeight="1" x14ac:dyDescent="0.25">
      <c r="A448" s="15" t="s">
        <v>53</v>
      </c>
      <c r="B448" s="16"/>
      <c r="C448" s="16"/>
      <c r="D448" s="16"/>
      <c r="E448" s="16"/>
      <c r="F448" s="16"/>
      <c r="G448" s="16"/>
      <c r="H448" s="16"/>
      <c r="I448" s="16"/>
      <c r="J448" s="17"/>
      <c r="K448" s="15">
        <v>0</v>
      </c>
      <c r="L448" s="17"/>
    </row>
    <row r="449" spans="1:12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</row>
    <row r="450" spans="1:12" ht="15" customHeight="1" x14ac:dyDescent="0.25">
      <c r="A450" s="10" t="s">
        <v>54</v>
      </c>
      <c r="B450" s="11"/>
      <c r="C450" s="12"/>
      <c r="D450" s="8" t="s">
        <v>21</v>
      </c>
      <c r="E450" s="8" t="s">
        <v>22</v>
      </c>
      <c r="F450" s="9" t="s">
        <v>55</v>
      </c>
      <c r="G450" s="8" t="s">
        <v>56</v>
      </c>
      <c r="H450" s="8" t="s">
        <v>57</v>
      </c>
      <c r="I450" s="8" t="s">
        <v>58</v>
      </c>
      <c r="J450" s="9" t="s">
        <v>59</v>
      </c>
      <c r="K450" s="9" t="s">
        <v>34</v>
      </c>
      <c r="L450" s="9" t="s">
        <v>50</v>
      </c>
    </row>
    <row r="451" spans="1:12" ht="15" customHeight="1" x14ac:dyDescent="0.25">
      <c r="A451" s="15" t="s">
        <v>60</v>
      </c>
      <c r="B451" s="16"/>
      <c r="C451" s="16"/>
      <c r="D451" s="16"/>
      <c r="E451" s="16"/>
      <c r="F451" s="16"/>
      <c r="G451" s="16"/>
      <c r="H451" s="16"/>
      <c r="I451" s="16"/>
      <c r="J451" s="17"/>
      <c r="K451" s="15">
        <v>0</v>
      </c>
      <c r="L451" s="17"/>
    </row>
    <row r="452" spans="1:12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</row>
    <row r="453" spans="1:12" ht="15" customHeight="1" x14ac:dyDescent="0.25">
      <c r="A453" s="27" t="s">
        <v>61</v>
      </c>
      <c r="B453" s="27"/>
      <c r="C453" s="27"/>
      <c r="D453" s="27"/>
      <c r="E453" s="27"/>
      <c r="F453" s="27"/>
      <c r="G453" s="27"/>
      <c r="H453" s="27"/>
      <c r="I453" s="27"/>
      <c r="J453" s="27"/>
      <c r="K453" s="27">
        <v>11.92</v>
      </c>
      <c r="L453" s="27"/>
    </row>
    <row r="454" spans="1:12" ht="15" customHeight="1" x14ac:dyDescent="0.25">
      <c r="A454" s="27" t="s">
        <v>62</v>
      </c>
      <c r="B454" s="27"/>
      <c r="C454" s="27"/>
      <c r="D454" s="27"/>
      <c r="E454" s="27"/>
      <c r="F454" s="27"/>
      <c r="G454" s="27"/>
      <c r="H454" s="27"/>
      <c r="I454" s="27"/>
      <c r="J454" s="27"/>
      <c r="K454" s="27">
        <v>3.96</v>
      </c>
      <c r="L454" s="27"/>
    </row>
    <row r="455" spans="1:12" ht="15" customHeight="1" x14ac:dyDescent="0.25">
      <c r="A455" s="27" t="s">
        <v>63</v>
      </c>
      <c r="B455" s="27"/>
      <c r="C455" s="27"/>
      <c r="D455" s="27"/>
      <c r="E455" s="27"/>
      <c r="F455" s="27"/>
      <c r="G455" s="27"/>
      <c r="H455" s="27"/>
      <c r="I455" s="27"/>
      <c r="J455" s="27"/>
      <c r="K455" s="27">
        <v>15.88</v>
      </c>
      <c r="L455" s="27"/>
    </row>
    <row r="456" spans="1:1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" customHeight="1" x14ac:dyDescent="0.25">
      <c r="A457" s="3" t="s">
        <v>8</v>
      </c>
      <c r="B457" s="6" t="s">
        <v>9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spans="1:12" ht="15" customHeight="1" x14ac:dyDescent="0.25">
      <c r="A458" s="3" t="s">
        <v>10</v>
      </c>
      <c r="B458" s="6" t="s">
        <v>92</v>
      </c>
      <c r="C458" s="6"/>
      <c r="D458" s="6"/>
      <c r="E458" s="6"/>
      <c r="F458" s="6"/>
      <c r="G458" s="6"/>
      <c r="H458" s="6"/>
      <c r="I458" s="6"/>
      <c r="J458" s="6"/>
      <c r="K458" s="3" t="s">
        <v>12</v>
      </c>
      <c r="L458" s="4" t="s">
        <v>13</v>
      </c>
    </row>
    <row r="459" spans="1:12" ht="15" customHeight="1" x14ac:dyDescent="0.25">
      <c r="A459" s="3" t="s">
        <v>14</v>
      </c>
      <c r="B459" s="6" t="s">
        <v>88</v>
      </c>
      <c r="C459" s="6"/>
      <c r="D459" s="7" t="s">
        <v>16</v>
      </c>
      <c r="E459" s="7"/>
      <c r="F459" s="6" t="str">
        <f>"3159.000292"</f>
        <v>3159.000292</v>
      </c>
      <c r="G459" s="6"/>
      <c r="H459" s="3" t="s">
        <v>17</v>
      </c>
      <c r="I459" s="6" t="s">
        <v>89</v>
      </c>
      <c r="J459" s="6"/>
      <c r="K459" s="3" t="s">
        <v>19</v>
      </c>
      <c r="L459" s="5">
        <v>1</v>
      </c>
    </row>
    <row r="460" spans="1:1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" customHeight="1" x14ac:dyDescent="0.25">
      <c r="A461" s="10" t="s">
        <v>20</v>
      </c>
      <c r="B461" s="11"/>
      <c r="C461" s="12"/>
      <c r="D461" s="8" t="s">
        <v>21</v>
      </c>
      <c r="E461" s="8" t="s">
        <v>22</v>
      </c>
      <c r="F461" s="9" t="s">
        <v>23</v>
      </c>
      <c r="G461" s="9" t="s">
        <v>24</v>
      </c>
      <c r="H461" s="9" t="s">
        <v>25</v>
      </c>
      <c r="I461" s="9" t="s">
        <v>26</v>
      </c>
      <c r="J461" s="9" t="s">
        <v>27</v>
      </c>
      <c r="K461" s="13" t="s">
        <v>28</v>
      </c>
      <c r="L461" s="14"/>
    </row>
    <row r="462" spans="1:12" ht="15" customHeight="1" x14ac:dyDescent="0.25">
      <c r="A462" s="15" t="s">
        <v>29</v>
      </c>
      <c r="B462" s="16"/>
      <c r="C462" s="16"/>
      <c r="D462" s="16"/>
      <c r="E462" s="16"/>
      <c r="F462" s="16"/>
      <c r="G462" s="16"/>
      <c r="H462" s="16"/>
      <c r="I462" s="16"/>
      <c r="J462" s="17"/>
      <c r="K462" s="15">
        <v>0</v>
      </c>
      <c r="L462" s="17"/>
    </row>
    <row r="463" spans="1:12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 spans="1:12" ht="15" customHeight="1" x14ac:dyDescent="0.25">
      <c r="A464" s="10" t="s">
        <v>30</v>
      </c>
      <c r="B464" s="11"/>
      <c r="C464" s="12"/>
      <c r="D464" s="8" t="s">
        <v>21</v>
      </c>
      <c r="E464" s="8" t="s">
        <v>22</v>
      </c>
      <c r="F464" s="9" t="s">
        <v>31</v>
      </c>
      <c r="G464" s="9" t="s">
        <v>32</v>
      </c>
      <c r="H464" s="9" t="s">
        <v>33</v>
      </c>
      <c r="I464" s="13" t="s">
        <v>34</v>
      </c>
      <c r="J464" s="14"/>
      <c r="K464" s="13" t="s">
        <v>28</v>
      </c>
      <c r="L464" s="14"/>
    </row>
    <row r="465" spans="1:12" ht="15" customHeight="1" x14ac:dyDescent="0.25">
      <c r="A465" s="15" t="s">
        <v>38</v>
      </c>
      <c r="B465" s="16"/>
      <c r="C465" s="16"/>
      <c r="D465" s="16"/>
      <c r="E465" s="16"/>
      <c r="F465" s="16"/>
      <c r="G465" s="16"/>
      <c r="H465" s="16"/>
      <c r="I465" s="16"/>
      <c r="J465" s="17"/>
      <c r="K465" s="15">
        <v>0</v>
      </c>
      <c r="L465" s="17"/>
    </row>
    <row r="466" spans="1:12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</row>
    <row r="467" spans="1:12" ht="15" customHeight="1" x14ac:dyDescent="0.25">
      <c r="A467" s="10" t="s">
        <v>39</v>
      </c>
      <c r="B467" s="11"/>
      <c r="C467" s="12"/>
      <c r="D467" s="8" t="s">
        <v>21</v>
      </c>
      <c r="E467" s="13" t="s">
        <v>40</v>
      </c>
      <c r="F467" s="14"/>
      <c r="G467" s="8" t="s">
        <v>41</v>
      </c>
      <c r="H467" s="8" t="s">
        <v>42</v>
      </c>
      <c r="I467" s="8" t="s">
        <v>43</v>
      </c>
      <c r="J467" s="13" t="s">
        <v>44</v>
      </c>
      <c r="K467" s="26"/>
      <c r="L467" s="14"/>
    </row>
    <row r="468" spans="1:12" ht="15" customHeight="1" x14ac:dyDescent="0.25">
      <c r="A468" s="15" t="s">
        <v>45</v>
      </c>
      <c r="B468" s="16"/>
      <c r="C468" s="16"/>
      <c r="D468" s="16"/>
      <c r="E468" s="16"/>
      <c r="F468" s="16"/>
      <c r="G468" s="16"/>
      <c r="H468" s="16"/>
      <c r="I468" s="16"/>
      <c r="J468" s="17"/>
      <c r="K468" s="15">
        <v>0</v>
      </c>
      <c r="L468" s="17"/>
    </row>
    <row r="469" spans="1:12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</row>
    <row r="470" spans="1:12" ht="15" customHeight="1" x14ac:dyDescent="0.25">
      <c r="A470" s="27" t="s">
        <v>46</v>
      </c>
      <c r="B470" s="27"/>
      <c r="C470" s="27"/>
      <c r="D470" s="27"/>
      <c r="E470" s="27"/>
      <c r="F470" s="27"/>
      <c r="G470" s="27"/>
      <c r="H470" s="27"/>
      <c r="I470" s="27"/>
      <c r="J470" s="27"/>
      <c r="K470" s="27">
        <v>0</v>
      </c>
      <c r="L470" s="27"/>
    </row>
    <row r="471" spans="1:12" ht="15" customHeight="1" x14ac:dyDescent="0.25">
      <c r="A471" s="27" t="s">
        <v>47</v>
      </c>
      <c r="B471" s="27"/>
      <c r="C471" s="27"/>
      <c r="D471" s="27"/>
      <c r="E471" s="27"/>
      <c r="F471" s="27"/>
      <c r="G471" s="27"/>
      <c r="H471" s="27"/>
      <c r="I471" s="27"/>
      <c r="J471" s="27"/>
      <c r="K471" s="27">
        <v>1</v>
      </c>
      <c r="L471" s="27"/>
    </row>
    <row r="472" spans="1:12" ht="15" customHeight="1" x14ac:dyDescent="0.25">
      <c r="A472" s="27" t="s">
        <v>48</v>
      </c>
      <c r="B472" s="27"/>
      <c r="C472" s="27"/>
      <c r="D472" s="27"/>
      <c r="E472" s="27"/>
      <c r="F472" s="27"/>
      <c r="G472" s="27"/>
      <c r="H472" s="27"/>
      <c r="I472" s="27"/>
      <c r="J472" s="27"/>
      <c r="K472" s="27">
        <v>0</v>
      </c>
      <c r="L472" s="27"/>
    </row>
    <row r="473" spans="1:1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" customHeight="1" x14ac:dyDescent="0.25">
      <c r="A474" s="10" t="s">
        <v>49</v>
      </c>
      <c r="B474" s="11"/>
      <c r="C474" s="11"/>
      <c r="D474" s="11"/>
      <c r="E474" s="12"/>
      <c r="F474" s="8" t="s">
        <v>21</v>
      </c>
      <c r="G474" s="8" t="s">
        <v>22</v>
      </c>
      <c r="H474" s="9" t="s">
        <v>44</v>
      </c>
      <c r="I474" s="13" t="s">
        <v>34</v>
      </c>
      <c r="J474" s="14"/>
      <c r="K474" s="13" t="s">
        <v>50</v>
      </c>
      <c r="L474" s="14"/>
    </row>
    <row r="475" spans="1:12" ht="15" customHeight="1" x14ac:dyDescent="0.25">
      <c r="A475" s="15" t="s">
        <v>51</v>
      </c>
      <c r="B475" s="16"/>
      <c r="C475" s="16"/>
      <c r="D475" s="16"/>
      <c r="E475" s="16"/>
      <c r="F475" s="16"/>
      <c r="G475" s="16"/>
      <c r="H475" s="16"/>
      <c r="I475" s="16"/>
      <c r="J475" s="17"/>
      <c r="K475" s="15">
        <v>0</v>
      </c>
      <c r="L475" s="17"/>
    </row>
    <row r="476" spans="1:12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</row>
    <row r="477" spans="1:12" ht="15" customHeight="1" x14ac:dyDescent="0.25">
      <c r="A477" s="10" t="s">
        <v>52</v>
      </c>
      <c r="B477" s="11"/>
      <c r="C477" s="11"/>
      <c r="D477" s="11"/>
      <c r="E477" s="12"/>
      <c r="F477" s="8" t="s">
        <v>21</v>
      </c>
      <c r="G477" s="8" t="s">
        <v>22</v>
      </c>
      <c r="H477" s="9" t="s">
        <v>44</v>
      </c>
      <c r="I477" s="13" t="s">
        <v>34</v>
      </c>
      <c r="J477" s="14"/>
      <c r="K477" s="13" t="s">
        <v>50</v>
      </c>
      <c r="L477" s="14"/>
    </row>
    <row r="478" spans="1:12" ht="30" customHeight="1" x14ac:dyDescent="0.25">
      <c r="A478" s="21" t="s">
        <v>93</v>
      </c>
      <c r="B478" s="22"/>
      <c r="C478" s="22"/>
      <c r="D478" s="22"/>
      <c r="E478" s="23"/>
      <c r="F478" s="19" t="s">
        <v>94</v>
      </c>
      <c r="G478" s="19" t="s">
        <v>13</v>
      </c>
      <c r="H478" s="20">
        <v>1</v>
      </c>
      <c r="I478" s="24">
        <v>35.29</v>
      </c>
      <c r="J478" s="25"/>
      <c r="K478" s="24">
        <v>35.29</v>
      </c>
      <c r="L478" s="25"/>
    </row>
    <row r="479" spans="1:12" ht="15" customHeight="1" x14ac:dyDescent="0.25">
      <c r="A479" s="15" t="s">
        <v>53</v>
      </c>
      <c r="B479" s="16"/>
      <c r="C479" s="16"/>
      <c r="D479" s="16"/>
      <c r="E479" s="16"/>
      <c r="F479" s="16"/>
      <c r="G479" s="16"/>
      <c r="H479" s="16"/>
      <c r="I479" s="16"/>
      <c r="J479" s="17"/>
      <c r="K479" s="15">
        <v>35.29</v>
      </c>
      <c r="L479" s="17"/>
    </row>
    <row r="480" spans="1:12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 spans="1:12" ht="15" customHeight="1" x14ac:dyDescent="0.25">
      <c r="A481" s="10" t="s">
        <v>54</v>
      </c>
      <c r="B481" s="11"/>
      <c r="C481" s="12"/>
      <c r="D481" s="8" t="s">
        <v>21</v>
      </c>
      <c r="E481" s="8" t="s">
        <v>22</v>
      </c>
      <c r="F481" s="9" t="s">
        <v>55</v>
      </c>
      <c r="G481" s="8" t="s">
        <v>56</v>
      </c>
      <c r="H481" s="8" t="s">
        <v>57</v>
      </c>
      <c r="I481" s="8" t="s">
        <v>58</v>
      </c>
      <c r="J481" s="9" t="s">
        <v>59</v>
      </c>
      <c r="K481" s="9" t="s">
        <v>34</v>
      </c>
      <c r="L481" s="9" t="s">
        <v>50</v>
      </c>
    </row>
    <row r="482" spans="1:12" ht="15" customHeight="1" x14ac:dyDescent="0.25">
      <c r="A482" s="15" t="s">
        <v>60</v>
      </c>
      <c r="B482" s="16"/>
      <c r="C482" s="16"/>
      <c r="D482" s="16"/>
      <c r="E482" s="16"/>
      <c r="F482" s="16"/>
      <c r="G482" s="16"/>
      <c r="H482" s="16"/>
      <c r="I482" s="16"/>
      <c r="J482" s="17"/>
      <c r="K482" s="15">
        <v>0</v>
      </c>
      <c r="L482" s="17"/>
    </row>
    <row r="483" spans="1:12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 spans="1:12" ht="15" customHeight="1" x14ac:dyDescent="0.25">
      <c r="A484" s="27" t="s">
        <v>61</v>
      </c>
      <c r="B484" s="27"/>
      <c r="C484" s="27"/>
      <c r="D484" s="27"/>
      <c r="E484" s="27"/>
      <c r="F484" s="27"/>
      <c r="G484" s="27"/>
      <c r="H484" s="27"/>
      <c r="I484" s="27"/>
      <c r="J484" s="27"/>
      <c r="K484" s="27">
        <v>35.29</v>
      </c>
      <c r="L484" s="27"/>
    </row>
    <row r="485" spans="1:12" ht="15" customHeight="1" x14ac:dyDescent="0.25">
      <c r="A485" s="27" t="s">
        <v>62</v>
      </c>
      <c r="B485" s="27"/>
      <c r="C485" s="27"/>
      <c r="D485" s="27"/>
      <c r="E485" s="27"/>
      <c r="F485" s="27"/>
      <c r="G485" s="27"/>
      <c r="H485" s="27"/>
      <c r="I485" s="27"/>
      <c r="J485" s="27"/>
      <c r="K485" s="27">
        <v>11.73</v>
      </c>
      <c r="L485" s="27"/>
    </row>
    <row r="486" spans="1:12" ht="15" customHeight="1" x14ac:dyDescent="0.25">
      <c r="A486" s="27" t="s">
        <v>63</v>
      </c>
      <c r="B486" s="27"/>
      <c r="C486" s="27"/>
      <c r="D486" s="27"/>
      <c r="E486" s="27"/>
      <c r="F486" s="27"/>
      <c r="G486" s="27"/>
      <c r="H486" s="27"/>
      <c r="I486" s="27"/>
      <c r="J486" s="27"/>
      <c r="K486" s="27">
        <v>47.02</v>
      </c>
      <c r="L486" s="27"/>
    </row>
    <row r="487" spans="1:1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" customHeight="1" x14ac:dyDescent="0.25">
      <c r="A488" s="3" t="s">
        <v>8</v>
      </c>
      <c r="B488" s="6" t="s">
        <v>9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 ht="15" customHeight="1" x14ac:dyDescent="0.25">
      <c r="A489" s="3" t="s">
        <v>10</v>
      </c>
      <c r="B489" s="6" t="s">
        <v>95</v>
      </c>
      <c r="C489" s="6"/>
      <c r="D489" s="6"/>
      <c r="E489" s="6"/>
      <c r="F489" s="6"/>
      <c r="G489" s="6"/>
      <c r="H489" s="6"/>
      <c r="I489" s="6"/>
      <c r="J489" s="6"/>
      <c r="K489" s="3" t="s">
        <v>12</v>
      </c>
      <c r="L489" s="4" t="s">
        <v>13</v>
      </c>
    </row>
    <row r="490" spans="1:12" ht="15" customHeight="1" x14ac:dyDescent="0.25">
      <c r="A490" s="3" t="s">
        <v>14</v>
      </c>
      <c r="B490" s="6" t="s">
        <v>15</v>
      </c>
      <c r="C490" s="6"/>
      <c r="D490" s="7" t="s">
        <v>16</v>
      </c>
      <c r="E490" s="7"/>
      <c r="F490" s="6" t="str">
        <f>"010238"</f>
        <v>010238</v>
      </c>
      <c r="G490" s="6"/>
      <c r="H490" s="3" t="s">
        <v>17</v>
      </c>
      <c r="I490" s="6" t="s">
        <v>18</v>
      </c>
      <c r="J490" s="6"/>
      <c r="K490" s="3" t="s">
        <v>19</v>
      </c>
      <c r="L490" s="5">
        <v>2</v>
      </c>
    </row>
    <row r="491" spans="1:1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" customHeight="1" x14ac:dyDescent="0.25">
      <c r="A492" s="10" t="s">
        <v>20</v>
      </c>
      <c r="B492" s="11"/>
      <c r="C492" s="12"/>
      <c r="D492" s="8" t="s">
        <v>21</v>
      </c>
      <c r="E492" s="8" t="s">
        <v>22</v>
      </c>
      <c r="F492" s="9" t="s">
        <v>23</v>
      </c>
      <c r="G492" s="9" t="s">
        <v>24</v>
      </c>
      <c r="H492" s="9" t="s">
        <v>25</v>
      </c>
      <c r="I492" s="9" t="s">
        <v>26</v>
      </c>
      <c r="J492" s="9" t="s">
        <v>27</v>
      </c>
      <c r="K492" s="13" t="s">
        <v>28</v>
      </c>
      <c r="L492" s="14"/>
    </row>
    <row r="493" spans="1:12" ht="15" customHeight="1" x14ac:dyDescent="0.25">
      <c r="A493" s="15" t="s">
        <v>29</v>
      </c>
      <c r="B493" s="16"/>
      <c r="C493" s="16"/>
      <c r="D493" s="16"/>
      <c r="E493" s="16"/>
      <c r="F493" s="16"/>
      <c r="G493" s="16"/>
      <c r="H493" s="16"/>
      <c r="I493" s="16"/>
      <c r="J493" s="17"/>
      <c r="K493" s="15">
        <v>0</v>
      </c>
      <c r="L493" s="17"/>
    </row>
    <row r="494" spans="1:12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</row>
    <row r="495" spans="1:12" ht="15" customHeight="1" x14ac:dyDescent="0.25">
      <c r="A495" s="10" t="s">
        <v>30</v>
      </c>
      <c r="B495" s="11"/>
      <c r="C495" s="12"/>
      <c r="D495" s="8" t="s">
        <v>21</v>
      </c>
      <c r="E495" s="8" t="s">
        <v>22</v>
      </c>
      <c r="F495" s="9" t="s">
        <v>31</v>
      </c>
      <c r="G495" s="9" t="s">
        <v>32</v>
      </c>
      <c r="H495" s="9" t="s">
        <v>33</v>
      </c>
      <c r="I495" s="13" t="s">
        <v>34</v>
      </c>
      <c r="J495" s="14"/>
      <c r="K495" s="13" t="s">
        <v>28</v>
      </c>
      <c r="L495" s="14"/>
    </row>
    <row r="496" spans="1:12" ht="15" customHeight="1" x14ac:dyDescent="0.25">
      <c r="A496" s="21" t="s">
        <v>69</v>
      </c>
      <c r="B496" s="22"/>
      <c r="C496" s="23"/>
      <c r="D496" s="19" t="str">
        <f>"010139"</f>
        <v>010139</v>
      </c>
      <c r="E496" s="19" t="s">
        <v>36</v>
      </c>
      <c r="F496" s="20">
        <v>10.119999999999999</v>
      </c>
      <c r="G496" s="20">
        <v>157.27000000000001</v>
      </c>
      <c r="H496" s="20">
        <v>26.03</v>
      </c>
      <c r="I496" s="24">
        <v>0.05</v>
      </c>
      <c r="J496" s="25"/>
      <c r="K496" s="24">
        <v>1.3</v>
      </c>
      <c r="L496" s="25"/>
    </row>
    <row r="497" spans="1:12" ht="15" customHeight="1" x14ac:dyDescent="0.25">
      <c r="A497" s="21" t="s">
        <v>37</v>
      </c>
      <c r="B497" s="22"/>
      <c r="C497" s="23"/>
      <c r="D497" s="19" t="str">
        <f>"010146"</f>
        <v>010146</v>
      </c>
      <c r="E497" s="19" t="s">
        <v>36</v>
      </c>
      <c r="F497" s="20">
        <v>7.65</v>
      </c>
      <c r="G497" s="20">
        <v>157.27000000000001</v>
      </c>
      <c r="H497" s="20">
        <v>19.68</v>
      </c>
      <c r="I497" s="24">
        <v>0.5</v>
      </c>
      <c r="J497" s="25"/>
      <c r="K497" s="24">
        <v>9.84</v>
      </c>
      <c r="L497" s="25"/>
    </row>
    <row r="498" spans="1:12" ht="15" customHeight="1" x14ac:dyDescent="0.25">
      <c r="A498" s="15" t="s">
        <v>38</v>
      </c>
      <c r="B498" s="16"/>
      <c r="C498" s="16"/>
      <c r="D498" s="16"/>
      <c r="E498" s="16"/>
      <c r="F498" s="16"/>
      <c r="G498" s="16"/>
      <c r="H498" s="16"/>
      <c r="I498" s="16"/>
      <c r="J498" s="17"/>
      <c r="K498" s="15">
        <v>11.14</v>
      </c>
      <c r="L498" s="17"/>
    </row>
    <row r="499" spans="1:12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</row>
    <row r="500" spans="1:12" ht="15" customHeight="1" x14ac:dyDescent="0.25">
      <c r="A500" s="10" t="s">
        <v>39</v>
      </c>
      <c r="B500" s="11"/>
      <c r="C500" s="12"/>
      <c r="D500" s="8" t="s">
        <v>21</v>
      </c>
      <c r="E500" s="13" t="s">
        <v>40</v>
      </c>
      <c r="F500" s="14"/>
      <c r="G500" s="8" t="s">
        <v>41</v>
      </c>
      <c r="H500" s="8" t="s">
        <v>42</v>
      </c>
      <c r="I500" s="8" t="s">
        <v>43</v>
      </c>
      <c r="J500" s="13" t="s">
        <v>44</v>
      </c>
      <c r="K500" s="26"/>
      <c r="L500" s="14"/>
    </row>
    <row r="501" spans="1:12" ht="15" customHeight="1" x14ac:dyDescent="0.25">
      <c r="A501" s="15" t="s">
        <v>45</v>
      </c>
      <c r="B501" s="16"/>
      <c r="C501" s="16"/>
      <c r="D501" s="16"/>
      <c r="E501" s="16"/>
      <c r="F501" s="16"/>
      <c r="G501" s="16"/>
      <c r="H501" s="16"/>
      <c r="I501" s="16"/>
      <c r="J501" s="17"/>
      <c r="K501" s="15">
        <v>0</v>
      </c>
      <c r="L501" s="17"/>
    </row>
    <row r="502" spans="1:12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</row>
    <row r="503" spans="1:12" ht="15" customHeight="1" x14ac:dyDescent="0.25">
      <c r="A503" s="27" t="s">
        <v>46</v>
      </c>
      <c r="B503" s="27"/>
      <c r="C503" s="27"/>
      <c r="D503" s="27"/>
      <c r="E503" s="27"/>
      <c r="F503" s="27"/>
      <c r="G503" s="27"/>
      <c r="H503" s="27"/>
      <c r="I503" s="27"/>
      <c r="J503" s="27"/>
      <c r="K503" s="27">
        <v>11.14</v>
      </c>
      <c r="L503" s="27"/>
    </row>
    <row r="504" spans="1:12" ht="15" customHeight="1" x14ac:dyDescent="0.25">
      <c r="A504" s="27" t="s">
        <v>47</v>
      </c>
      <c r="B504" s="27"/>
      <c r="C504" s="27"/>
      <c r="D504" s="27"/>
      <c r="E504" s="27"/>
      <c r="F504" s="27"/>
      <c r="G504" s="27"/>
      <c r="H504" s="27"/>
      <c r="I504" s="27"/>
      <c r="J504" s="27"/>
      <c r="K504" s="27">
        <v>1</v>
      </c>
      <c r="L504" s="27"/>
    </row>
    <row r="505" spans="1:12" ht="15" customHeight="1" x14ac:dyDescent="0.25">
      <c r="A505" s="27" t="s">
        <v>48</v>
      </c>
      <c r="B505" s="27"/>
      <c r="C505" s="27"/>
      <c r="D505" s="27"/>
      <c r="E505" s="27"/>
      <c r="F505" s="27"/>
      <c r="G505" s="27"/>
      <c r="H505" s="27"/>
      <c r="I505" s="27"/>
      <c r="J505" s="27"/>
      <c r="K505" s="27">
        <v>11.14</v>
      </c>
      <c r="L505" s="27"/>
    </row>
    <row r="506" spans="1:1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" customHeight="1" x14ac:dyDescent="0.25">
      <c r="A507" s="10" t="s">
        <v>49</v>
      </c>
      <c r="B507" s="11"/>
      <c r="C507" s="11"/>
      <c r="D507" s="11"/>
      <c r="E507" s="12"/>
      <c r="F507" s="8" t="s">
        <v>21</v>
      </c>
      <c r="G507" s="8" t="s">
        <v>22</v>
      </c>
      <c r="H507" s="9" t="s">
        <v>44</v>
      </c>
      <c r="I507" s="13" t="s">
        <v>34</v>
      </c>
      <c r="J507" s="14"/>
      <c r="K507" s="13" t="s">
        <v>50</v>
      </c>
      <c r="L507" s="14"/>
    </row>
    <row r="508" spans="1:12" ht="15" customHeight="1" x14ac:dyDescent="0.25">
      <c r="A508" s="15" t="s">
        <v>51</v>
      </c>
      <c r="B508" s="16"/>
      <c r="C508" s="16"/>
      <c r="D508" s="16"/>
      <c r="E508" s="16"/>
      <c r="F508" s="16"/>
      <c r="G508" s="16"/>
      <c r="H508" s="16"/>
      <c r="I508" s="16"/>
      <c r="J508" s="17"/>
      <c r="K508" s="15">
        <v>0</v>
      </c>
      <c r="L508" s="17"/>
    </row>
    <row r="509" spans="1:12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</row>
    <row r="510" spans="1:12" ht="15" customHeight="1" x14ac:dyDescent="0.25">
      <c r="A510" s="10" t="s">
        <v>52</v>
      </c>
      <c r="B510" s="11"/>
      <c r="C510" s="11"/>
      <c r="D510" s="11"/>
      <c r="E510" s="12"/>
      <c r="F510" s="8" t="s">
        <v>21</v>
      </c>
      <c r="G510" s="8" t="s">
        <v>22</v>
      </c>
      <c r="H510" s="9" t="s">
        <v>44</v>
      </c>
      <c r="I510" s="13" t="s">
        <v>34</v>
      </c>
      <c r="J510" s="14"/>
      <c r="K510" s="13" t="s">
        <v>50</v>
      </c>
      <c r="L510" s="14"/>
    </row>
    <row r="511" spans="1:12" ht="15" customHeight="1" x14ac:dyDescent="0.25">
      <c r="A511" s="15" t="s">
        <v>53</v>
      </c>
      <c r="B511" s="16"/>
      <c r="C511" s="16"/>
      <c r="D511" s="16"/>
      <c r="E511" s="16"/>
      <c r="F511" s="16"/>
      <c r="G511" s="16"/>
      <c r="H511" s="16"/>
      <c r="I511" s="16"/>
      <c r="J511" s="17"/>
      <c r="K511" s="15">
        <v>0</v>
      </c>
      <c r="L511" s="17"/>
    </row>
    <row r="512" spans="1:12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</row>
    <row r="513" spans="1:12" ht="15" customHeight="1" x14ac:dyDescent="0.25">
      <c r="A513" s="10" t="s">
        <v>54</v>
      </c>
      <c r="B513" s="11"/>
      <c r="C513" s="12"/>
      <c r="D513" s="8" t="s">
        <v>21</v>
      </c>
      <c r="E513" s="8" t="s">
        <v>22</v>
      </c>
      <c r="F513" s="9" t="s">
        <v>55</v>
      </c>
      <c r="G513" s="8" t="s">
        <v>56</v>
      </c>
      <c r="H513" s="8" t="s">
        <v>57</v>
      </c>
      <c r="I513" s="8" t="s">
        <v>58</v>
      </c>
      <c r="J513" s="9" t="s">
        <v>59</v>
      </c>
      <c r="K513" s="9" t="s">
        <v>34</v>
      </c>
      <c r="L513" s="9" t="s">
        <v>50</v>
      </c>
    </row>
    <row r="514" spans="1:12" ht="15" customHeight="1" x14ac:dyDescent="0.25">
      <c r="A514" s="15" t="s">
        <v>60</v>
      </c>
      <c r="B514" s="16"/>
      <c r="C514" s="16"/>
      <c r="D514" s="16"/>
      <c r="E514" s="16"/>
      <c r="F514" s="16"/>
      <c r="G514" s="16"/>
      <c r="H514" s="16"/>
      <c r="I514" s="16"/>
      <c r="J514" s="17"/>
      <c r="K514" s="15">
        <v>0</v>
      </c>
      <c r="L514" s="17"/>
    </row>
    <row r="515" spans="1:12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</row>
    <row r="516" spans="1:12" ht="15" customHeight="1" x14ac:dyDescent="0.25">
      <c r="A516" s="27" t="s">
        <v>61</v>
      </c>
      <c r="B516" s="27"/>
      <c r="C516" s="27"/>
      <c r="D516" s="27"/>
      <c r="E516" s="27"/>
      <c r="F516" s="27"/>
      <c r="G516" s="27"/>
      <c r="H516" s="27"/>
      <c r="I516" s="27"/>
      <c r="J516" s="27"/>
      <c r="K516" s="27">
        <v>11.14</v>
      </c>
      <c r="L516" s="27"/>
    </row>
    <row r="517" spans="1:12" ht="15" customHeight="1" x14ac:dyDescent="0.25">
      <c r="A517" s="27" t="s">
        <v>62</v>
      </c>
      <c r="B517" s="27"/>
      <c r="C517" s="27"/>
      <c r="D517" s="27"/>
      <c r="E517" s="27"/>
      <c r="F517" s="27"/>
      <c r="G517" s="27"/>
      <c r="H517" s="27"/>
      <c r="I517" s="27"/>
      <c r="J517" s="27"/>
      <c r="K517" s="27">
        <v>3.7</v>
      </c>
      <c r="L517" s="27"/>
    </row>
    <row r="518" spans="1:12" ht="15" customHeight="1" x14ac:dyDescent="0.25">
      <c r="A518" s="27" t="s">
        <v>63</v>
      </c>
      <c r="B518" s="27"/>
      <c r="C518" s="27"/>
      <c r="D518" s="27"/>
      <c r="E518" s="27"/>
      <c r="F518" s="27"/>
      <c r="G518" s="27"/>
      <c r="H518" s="27"/>
      <c r="I518" s="27"/>
      <c r="J518" s="27"/>
      <c r="K518" s="27">
        <v>14.84</v>
      </c>
      <c r="L518" s="27"/>
    </row>
    <row r="519" spans="1:1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" customHeight="1" x14ac:dyDescent="0.25">
      <c r="A520" s="3" t="s">
        <v>8</v>
      </c>
      <c r="B520" s="6" t="s">
        <v>9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spans="1:12" ht="15" customHeight="1" x14ac:dyDescent="0.25">
      <c r="A521" s="3" t="s">
        <v>10</v>
      </c>
      <c r="B521" s="6" t="s">
        <v>96</v>
      </c>
      <c r="C521" s="6"/>
      <c r="D521" s="6"/>
      <c r="E521" s="6"/>
      <c r="F521" s="6"/>
      <c r="G521" s="6"/>
      <c r="H521" s="6"/>
      <c r="I521" s="6"/>
      <c r="J521" s="6"/>
      <c r="K521" s="3" t="s">
        <v>12</v>
      </c>
      <c r="L521" s="4" t="s">
        <v>68</v>
      </c>
    </row>
    <row r="522" spans="1:12" ht="15" customHeight="1" x14ac:dyDescent="0.25">
      <c r="A522" s="3" t="s">
        <v>14</v>
      </c>
      <c r="B522" s="6" t="s">
        <v>15</v>
      </c>
      <c r="C522" s="6"/>
      <c r="D522" s="7" t="s">
        <v>16</v>
      </c>
      <c r="E522" s="7"/>
      <c r="F522" s="6" t="str">
        <f>"010210"</f>
        <v>010210</v>
      </c>
      <c r="G522" s="6"/>
      <c r="H522" s="3" t="s">
        <v>17</v>
      </c>
      <c r="I522" s="6" t="s">
        <v>18</v>
      </c>
      <c r="J522" s="6"/>
      <c r="K522" s="3" t="s">
        <v>19</v>
      </c>
      <c r="L522" s="5">
        <v>2</v>
      </c>
    </row>
    <row r="523" spans="1:1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" customHeight="1" x14ac:dyDescent="0.25">
      <c r="A524" s="10" t="s">
        <v>20</v>
      </c>
      <c r="B524" s="11"/>
      <c r="C524" s="12"/>
      <c r="D524" s="8" t="s">
        <v>21</v>
      </c>
      <c r="E524" s="8" t="s">
        <v>22</v>
      </c>
      <c r="F524" s="9" t="s">
        <v>23</v>
      </c>
      <c r="G524" s="9" t="s">
        <v>24</v>
      </c>
      <c r="H524" s="9" t="s">
        <v>25</v>
      </c>
      <c r="I524" s="9" t="s">
        <v>26</v>
      </c>
      <c r="J524" s="9" t="s">
        <v>27</v>
      </c>
      <c r="K524" s="13" t="s">
        <v>28</v>
      </c>
      <c r="L524" s="14"/>
    </row>
    <row r="525" spans="1:12" ht="15" customHeight="1" x14ac:dyDescent="0.25">
      <c r="A525" s="15" t="s">
        <v>29</v>
      </c>
      <c r="B525" s="16"/>
      <c r="C525" s="16"/>
      <c r="D525" s="16"/>
      <c r="E525" s="16"/>
      <c r="F525" s="16"/>
      <c r="G525" s="16"/>
      <c r="H525" s="16"/>
      <c r="I525" s="16"/>
      <c r="J525" s="17"/>
      <c r="K525" s="15">
        <v>0</v>
      </c>
      <c r="L525" s="17"/>
    </row>
    <row r="526" spans="1:12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</row>
    <row r="527" spans="1:12" ht="15" customHeight="1" x14ac:dyDescent="0.25">
      <c r="A527" s="10" t="s">
        <v>30</v>
      </c>
      <c r="B527" s="11"/>
      <c r="C527" s="12"/>
      <c r="D527" s="8" t="s">
        <v>21</v>
      </c>
      <c r="E527" s="8" t="s">
        <v>22</v>
      </c>
      <c r="F527" s="9" t="s">
        <v>31</v>
      </c>
      <c r="G527" s="9" t="s">
        <v>32</v>
      </c>
      <c r="H527" s="9" t="s">
        <v>33</v>
      </c>
      <c r="I527" s="13" t="s">
        <v>34</v>
      </c>
      <c r="J527" s="14"/>
      <c r="K527" s="13" t="s">
        <v>28</v>
      </c>
      <c r="L527" s="14"/>
    </row>
    <row r="528" spans="1:12" ht="15" customHeight="1" x14ac:dyDescent="0.25">
      <c r="A528" s="21" t="s">
        <v>69</v>
      </c>
      <c r="B528" s="22"/>
      <c r="C528" s="23"/>
      <c r="D528" s="19" t="str">
        <f>"010139"</f>
        <v>010139</v>
      </c>
      <c r="E528" s="19" t="s">
        <v>36</v>
      </c>
      <c r="F528" s="20">
        <v>10.119999999999999</v>
      </c>
      <c r="G528" s="20">
        <v>157.27000000000001</v>
      </c>
      <c r="H528" s="20">
        <v>26.03</v>
      </c>
      <c r="I528" s="24">
        <v>7.73</v>
      </c>
      <c r="J528" s="25"/>
      <c r="K528" s="24">
        <v>201.21</v>
      </c>
      <c r="L528" s="25"/>
    </row>
    <row r="529" spans="1:12" ht="15" customHeight="1" x14ac:dyDescent="0.25">
      <c r="A529" s="21" t="s">
        <v>37</v>
      </c>
      <c r="B529" s="22"/>
      <c r="C529" s="23"/>
      <c r="D529" s="19" t="str">
        <f>"010146"</f>
        <v>010146</v>
      </c>
      <c r="E529" s="19" t="s">
        <v>36</v>
      </c>
      <c r="F529" s="20">
        <v>7.65</v>
      </c>
      <c r="G529" s="20">
        <v>157.27000000000001</v>
      </c>
      <c r="H529" s="20">
        <v>19.68</v>
      </c>
      <c r="I529" s="24">
        <v>1.25</v>
      </c>
      <c r="J529" s="25"/>
      <c r="K529" s="24">
        <v>24.6</v>
      </c>
      <c r="L529" s="25"/>
    </row>
    <row r="530" spans="1:12" ht="15" customHeight="1" x14ac:dyDescent="0.25">
      <c r="A530" s="15" t="s">
        <v>38</v>
      </c>
      <c r="B530" s="16"/>
      <c r="C530" s="16"/>
      <c r="D530" s="16"/>
      <c r="E530" s="16"/>
      <c r="F530" s="16"/>
      <c r="G530" s="16"/>
      <c r="H530" s="16"/>
      <c r="I530" s="16"/>
      <c r="J530" s="17"/>
      <c r="K530" s="15">
        <v>225.81</v>
      </c>
      <c r="L530" s="17"/>
    </row>
    <row r="531" spans="1:12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</row>
    <row r="532" spans="1:12" ht="15" customHeight="1" x14ac:dyDescent="0.25">
      <c r="A532" s="10" t="s">
        <v>39</v>
      </c>
      <c r="B532" s="11"/>
      <c r="C532" s="12"/>
      <c r="D532" s="8" t="s">
        <v>21</v>
      </c>
      <c r="E532" s="13" t="s">
        <v>40</v>
      </c>
      <c r="F532" s="14"/>
      <c r="G532" s="8" t="s">
        <v>41</v>
      </c>
      <c r="H532" s="8" t="s">
        <v>42</v>
      </c>
      <c r="I532" s="8" t="s">
        <v>43</v>
      </c>
      <c r="J532" s="13" t="s">
        <v>44</v>
      </c>
      <c r="K532" s="26"/>
      <c r="L532" s="14"/>
    </row>
    <row r="533" spans="1:12" ht="15" customHeight="1" x14ac:dyDescent="0.25">
      <c r="A533" s="15" t="s">
        <v>45</v>
      </c>
      <c r="B533" s="16"/>
      <c r="C533" s="16"/>
      <c r="D533" s="16"/>
      <c r="E533" s="16"/>
      <c r="F533" s="16"/>
      <c r="G533" s="16"/>
      <c r="H533" s="16"/>
      <c r="I533" s="16"/>
      <c r="J533" s="17"/>
      <c r="K533" s="15">
        <v>0</v>
      </c>
      <c r="L533" s="17"/>
    </row>
    <row r="534" spans="1:12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</row>
    <row r="535" spans="1:12" ht="15" customHeight="1" x14ac:dyDescent="0.25">
      <c r="A535" s="27" t="s">
        <v>46</v>
      </c>
      <c r="B535" s="27"/>
      <c r="C535" s="27"/>
      <c r="D535" s="27"/>
      <c r="E535" s="27"/>
      <c r="F535" s="27"/>
      <c r="G535" s="27"/>
      <c r="H535" s="27"/>
      <c r="I535" s="27"/>
      <c r="J535" s="27"/>
      <c r="K535" s="27">
        <v>225.81</v>
      </c>
      <c r="L535" s="27"/>
    </row>
    <row r="536" spans="1:12" ht="15" customHeight="1" x14ac:dyDescent="0.25">
      <c r="A536" s="27" t="s">
        <v>47</v>
      </c>
      <c r="B536" s="27"/>
      <c r="C536" s="27"/>
      <c r="D536" s="27"/>
      <c r="E536" s="27"/>
      <c r="F536" s="27"/>
      <c r="G536" s="27"/>
      <c r="H536" s="27"/>
      <c r="I536" s="27"/>
      <c r="J536" s="27"/>
      <c r="K536" s="27">
        <v>1</v>
      </c>
      <c r="L536" s="27"/>
    </row>
    <row r="537" spans="1:12" ht="15" customHeight="1" x14ac:dyDescent="0.25">
      <c r="A537" s="27" t="s">
        <v>48</v>
      </c>
      <c r="B537" s="27"/>
      <c r="C537" s="27"/>
      <c r="D537" s="27"/>
      <c r="E537" s="27"/>
      <c r="F537" s="27"/>
      <c r="G537" s="27"/>
      <c r="H537" s="27"/>
      <c r="I537" s="27"/>
      <c r="J537" s="27"/>
      <c r="K537" s="27">
        <v>225.81</v>
      </c>
      <c r="L537" s="27"/>
    </row>
    <row r="538" spans="1:1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" customHeight="1" x14ac:dyDescent="0.25">
      <c r="A539" s="10" t="s">
        <v>49</v>
      </c>
      <c r="B539" s="11"/>
      <c r="C539" s="11"/>
      <c r="D539" s="11"/>
      <c r="E539" s="12"/>
      <c r="F539" s="8" t="s">
        <v>21</v>
      </c>
      <c r="G539" s="8" t="s">
        <v>22</v>
      </c>
      <c r="H539" s="9" t="s">
        <v>44</v>
      </c>
      <c r="I539" s="13" t="s">
        <v>34</v>
      </c>
      <c r="J539" s="14"/>
      <c r="K539" s="13" t="s">
        <v>50</v>
      </c>
      <c r="L539" s="14"/>
    </row>
    <row r="540" spans="1:12" ht="15" customHeight="1" x14ac:dyDescent="0.25">
      <c r="A540" s="15" t="s">
        <v>51</v>
      </c>
      <c r="B540" s="16"/>
      <c r="C540" s="16"/>
      <c r="D540" s="16"/>
      <c r="E540" s="16"/>
      <c r="F540" s="16"/>
      <c r="G540" s="16"/>
      <c r="H540" s="16"/>
      <c r="I540" s="16"/>
      <c r="J540" s="17"/>
      <c r="K540" s="15">
        <v>0</v>
      </c>
      <c r="L540" s="17"/>
    </row>
    <row r="541" spans="1:12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</row>
    <row r="542" spans="1:12" ht="15" customHeight="1" x14ac:dyDescent="0.25">
      <c r="A542" s="10" t="s">
        <v>52</v>
      </c>
      <c r="B542" s="11"/>
      <c r="C542" s="11"/>
      <c r="D542" s="11"/>
      <c r="E542" s="12"/>
      <c r="F542" s="8" t="s">
        <v>21</v>
      </c>
      <c r="G542" s="8" t="s">
        <v>22</v>
      </c>
      <c r="H542" s="9" t="s">
        <v>44</v>
      </c>
      <c r="I542" s="13" t="s">
        <v>34</v>
      </c>
      <c r="J542" s="14"/>
      <c r="K542" s="13" t="s">
        <v>50</v>
      </c>
      <c r="L542" s="14"/>
    </row>
    <row r="543" spans="1:12" ht="15" customHeight="1" x14ac:dyDescent="0.25">
      <c r="A543" s="15" t="s">
        <v>53</v>
      </c>
      <c r="B543" s="16"/>
      <c r="C543" s="16"/>
      <c r="D543" s="16"/>
      <c r="E543" s="16"/>
      <c r="F543" s="16"/>
      <c r="G543" s="16"/>
      <c r="H543" s="16"/>
      <c r="I543" s="16"/>
      <c r="J543" s="17"/>
      <c r="K543" s="15">
        <v>0</v>
      </c>
      <c r="L543" s="17"/>
    </row>
    <row r="544" spans="1:12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</row>
    <row r="545" spans="1:12" ht="15" customHeight="1" x14ac:dyDescent="0.25">
      <c r="A545" s="10" t="s">
        <v>54</v>
      </c>
      <c r="B545" s="11"/>
      <c r="C545" s="12"/>
      <c r="D545" s="8" t="s">
        <v>21</v>
      </c>
      <c r="E545" s="8" t="s">
        <v>22</v>
      </c>
      <c r="F545" s="9" t="s">
        <v>55</v>
      </c>
      <c r="G545" s="8" t="s">
        <v>56</v>
      </c>
      <c r="H545" s="8" t="s">
        <v>57</v>
      </c>
      <c r="I545" s="8" t="s">
        <v>58</v>
      </c>
      <c r="J545" s="9" t="s">
        <v>59</v>
      </c>
      <c r="K545" s="9" t="s">
        <v>34</v>
      </c>
      <c r="L545" s="9" t="s">
        <v>50</v>
      </c>
    </row>
    <row r="546" spans="1:12" ht="15" customHeight="1" x14ac:dyDescent="0.25">
      <c r="A546" s="15" t="s">
        <v>60</v>
      </c>
      <c r="B546" s="16"/>
      <c r="C546" s="16"/>
      <c r="D546" s="16"/>
      <c r="E546" s="16"/>
      <c r="F546" s="16"/>
      <c r="G546" s="16"/>
      <c r="H546" s="16"/>
      <c r="I546" s="16"/>
      <c r="J546" s="17"/>
      <c r="K546" s="15">
        <v>0</v>
      </c>
      <c r="L546" s="17"/>
    </row>
    <row r="547" spans="1:12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</row>
    <row r="548" spans="1:12" ht="15" customHeight="1" x14ac:dyDescent="0.25">
      <c r="A548" s="27" t="s">
        <v>61</v>
      </c>
      <c r="B548" s="27"/>
      <c r="C548" s="27"/>
      <c r="D548" s="27"/>
      <c r="E548" s="27"/>
      <c r="F548" s="27"/>
      <c r="G548" s="27"/>
      <c r="H548" s="27"/>
      <c r="I548" s="27"/>
      <c r="J548" s="27"/>
      <c r="K548" s="27">
        <v>225.81</v>
      </c>
      <c r="L548" s="27"/>
    </row>
    <row r="549" spans="1:12" ht="15" customHeight="1" x14ac:dyDescent="0.25">
      <c r="A549" s="27" t="s">
        <v>62</v>
      </c>
      <c r="B549" s="27"/>
      <c r="C549" s="27"/>
      <c r="D549" s="27"/>
      <c r="E549" s="27"/>
      <c r="F549" s="27"/>
      <c r="G549" s="27"/>
      <c r="H549" s="27"/>
      <c r="I549" s="27"/>
      <c r="J549" s="27"/>
      <c r="K549" s="27">
        <v>75.08</v>
      </c>
      <c r="L549" s="27"/>
    </row>
    <row r="550" spans="1:12" ht="15" customHeight="1" x14ac:dyDescent="0.25">
      <c r="A550" s="27" t="s">
        <v>63</v>
      </c>
      <c r="B550" s="27"/>
      <c r="C550" s="27"/>
      <c r="D550" s="27"/>
      <c r="E550" s="27"/>
      <c r="F550" s="27"/>
      <c r="G550" s="27"/>
      <c r="H550" s="27"/>
      <c r="I550" s="27"/>
      <c r="J550" s="27"/>
      <c r="K550" s="27">
        <v>300.89</v>
      </c>
      <c r="L550" s="27"/>
    </row>
    <row r="551" spans="1:1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" customHeight="1" x14ac:dyDescent="0.25">
      <c r="A552" s="3" t="s">
        <v>8</v>
      </c>
      <c r="B552" s="6" t="s">
        <v>9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ht="15" customHeight="1" x14ac:dyDescent="0.25">
      <c r="A553" s="3" t="s">
        <v>10</v>
      </c>
      <c r="B553" s="6" t="s">
        <v>97</v>
      </c>
      <c r="C553" s="6"/>
      <c r="D553" s="6"/>
      <c r="E553" s="6"/>
      <c r="F553" s="6"/>
      <c r="G553" s="6"/>
      <c r="H553" s="6"/>
      <c r="I553" s="6"/>
      <c r="J553" s="6"/>
      <c r="K553" s="3" t="s">
        <v>12</v>
      </c>
      <c r="L553" s="4" t="s">
        <v>87</v>
      </c>
    </row>
    <row r="554" spans="1:12" ht="15" customHeight="1" x14ac:dyDescent="0.25">
      <c r="A554" s="3" t="s">
        <v>14</v>
      </c>
      <c r="B554" s="6" t="s">
        <v>15</v>
      </c>
      <c r="C554" s="6"/>
      <c r="D554" s="7" t="s">
        <v>16</v>
      </c>
      <c r="E554" s="7"/>
      <c r="F554" s="6" t="str">
        <f>"020346"</f>
        <v>020346</v>
      </c>
      <c r="G554" s="6"/>
      <c r="H554" s="3" t="s">
        <v>17</v>
      </c>
      <c r="I554" s="6" t="s">
        <v>18</v>
      </c>
      <c r="J554" s="6"/>
      <c r="K554" s="3" t="s">
        <v>19</v>
      </c>
      <c r="L554" s="5">
        <v>1</v>
      </c>
    </row>
    <row r="555" spans="1:1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" customHeight="1" x14ac:dyDescent="0.25">
      <c r="A556" s="10" t="s">
        <v>20</v>
      </c>
      <c r="B556" s="11"/>
      <c r="C556" s="12"/>
      <c r="D556" s="8" t="s">
        <v>21</v>
      </c>
      <c r="E556" s="8" t="s">
        <v>22</v>
      </c>
      <c r="F556" s="9" t="s">
        <v>23</v>
      </c>
      <c r="G556" s="9" t="s">
        <v>24</v>
      </c>
      <c r="H556" s="9" t="s">
        <v>25</v>
      </c>
      <c r="I556" s="9" t="s">
        <v>26</v>
      </c>
      <c r="J556" s="9" t="s">
        <v>27</v>
      </c>
      <c r="K556" s="13" t="s">
        <v>28</v>
      </c>
      <c r="L556" s="14"/>
    </row>
    <row r="557" spans="1:12" ht="15" customHeight="1" x14ac:dyDescent="0.25">
      <c r="A557" s="15" t="s">
        <v>29</v>
      </c>
      <c r="B557" s="16"/>
      <c r="C557" s="16"/>
      <c r="D557" s="16"/>
      <c r="E557" s="16"/>
      <c r="F557" s="16"/>
      <c r="G557" s="16"/>
      <c r="H557" s="16"/>
      <c r="I557" s="16"/>
      <c r="J557" s="17"/>
      <c r="K557" s="15">
        <v>0</v>
      </c>
      <c r="L557" s="17"/>
    </row>
    <row r="558" spans="1:12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</row>
    <row r="559" spans="1:12" ht="15" customHeight="1" x14ac:dyDescent="0.25">
      <c r="A559" s="10" t="s">
        <v>30</v>
      </c>
      <c r="B559" s="11"/>
      <c r="C559" s="12"/>
      <c r="D559" s="8" t="s">
        <v>21</v>
      </c>
      <c r="E559" s="8" t="s">
        <v>22</v>
      </c>
      <c r="F559" s="9" t="s">
        <v>31</v>
      </c>
      <c r="G559" s="9" t="s">
        <v>32</v>
      </c>
      <c r="H559" s="9" t="s">
        <v>33</v>
      </c>
      <c r="I559" s="13" t="s">
        <v>34</v>
      </c>
      <c r="J559" s="14"/>
      <c r="K559" s="13" t="s">
        <v>28</v>
      </c>
      <c r="L559" s="14"/>
    </row>
    <row r="560" spans="1:12" ht="15" customHeight="1" x14ac:dyDescent="0.25">
      <c r="A560" s="15" t="s">
        <v>38</v>
      </c>
      <c r="B560" s="16"/>
      <c r="C560" s="16"/>
      <c r="D560" s="16"/>
      <c r="E560" s="16"/>
      <c r="F560" s="16"/>
      <c r="G560" s="16"/>
      <c r="H560" s="16"/>
      <c r="I560" s="16"/>
      <c r="J560" s="17"/>
      <c r="K560" s="15">
        <v>0</v>
      </c>
      <c r="L560" s="17"/>
    </row>
    <row r="561" spans="1:12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</row>
    <row r="562" spans="1:12" ht="15" customHeight="1" x14ac:dyDescent="0.25">
      <c r="A562" s="10" t="s">
        <v>39</v>
      </c>
      <c r="B562" s="11"/>
      <c r="C562" s="12"/>
      <c r="D562" s="8" t="s">
        <v>21</v>
      </c>
      <c r="E562" s="13" t="s">
        <v>40</v>
      </c>
      <c r="F562" s="14"/>
      <c r="G562" s="8" t="s">
        <v>41</v>
      </c>
      <c r="H562" s="8" t="s">
        <v>42</v>
      </c>
      <c r="I562" s="8" t="s">
        <v>43</v>
      </c>
      <c r="J562" s="13" t="s">
        <v>44</v>
      </c>
      <c r="K562" s="26"/>
      <c r="L562" s="14"/>
    </row>
    <row r="563" spans="1:12" ht="15" customHeight="1" x14ac:dyDescent="0.25">
      <c r="A563" s="15" t="s">
        <v>45</v>
      </c>
      <c r="B563" s="16"/>
      <c r="C563" s="16"/>
      <c r="D563" s="16"/>
      <c r="E563" s="16"/>
      <c r="F563" s="16"/>
      <c r="G563" s="16"/>
      <c r="H563" s="16"/>
      <c r="I563" s="16"/>
      <c r="J563" s="17"/>
      <c r="K563" s="15">
        <v>0</v>
      </c>
      <c r="L563" s="17"/>
    </row>
    <row r="564" spans="1:12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</row>
    <row r="565" spans="1:12" ht="15" customHeight="1" x14ac:dyDescent="0.25">
      <c r="A565" s="27" t="s">
        <v>46</v>
      </c>
      <c r="B565" s="27"/>
      <c r="C565" s="27"/>
      <c r="D565" s="27"/>
      <c r="E565" s="27"/>
      <c r="F565" s="27"/>
      <c r="G565" s="27"/>
      <c r="H565" s="27"/>
      <c r="I565" s="27"/>
      <c r="J565" s="27"/>
      <c r="K565" s="27">
        <v>0</v>
      </c>
      <c r="L565" s="27"/>
    </row>
    <row r="566" spans="1:12" ht="15" customHeight="1" x14ac:dyDescent="0.25">
      <c r="A566" s="27" t="s">
        <v>47</v>
      </c>
      <c r="B566" s="27"/>
      <c r="C566" s="27"/>
      <c r="D566" s="27"/>
      <c r="E566" s="27"/>
      <c r="F566" s="27"/>
      <c r="G566" s="27"/>
      <c r="H566" s="27"/>
      <c r="I566" s="27"/>
      <c r="J566" s="27"/>
      <c r="K566" s="27">
        <v>1</v>
      </c>
      <c r="L566" s="27"/>
    </row>
    <row r="567" spans="1:12" ht="15" customHeight="1" x14ac:dyDescent="0.25">
      <c r="A567" s="27" t="s">
        <v>48</v>
      </c>
      <c r="B567" s="27"/>
      <c r="C567" s="27"/>
      <c r="D567" s="27"/>
      <c r="E567" s="27"/>
      <c r="F567" s="27"/>
      <c r="G567" s="27"/>
      <c r="H567" s="27"/>
      <c r="I567" s="27"/>
      <c r="J567" s="27"/>
      <c r="K567" s="27">
        <v>0</v>
      </c>
      <c r="L567" s="27"/>
    </row>
    <row r="568" spans="1:1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" customHeight="1" x14ac:dyDescent="0.25">
      <c r="A569" s="10" t="s">
        <v>49</v>
      </c>
      <c r="B569" s="11"/>
      <c r="C569" s="11"/>
      <c r="D569" s="11"/>
      <c r="E569" s="12"/>
      <c r="F569" s="8" t="s">
        <v>21</v>
      </c>
      <c r="G569" s="8" t="s">
        <v>22</v>
      </c>
      <c r="H569" s="9" t="s">
        <v>44</v>
      </c>
      <c r="I569" s="13" t="s">
        <v>34</v>
      </c>
      <c r="J569" s="14"/>
      <c r="K569" s="13" t="s">
        <v>50</v>
      </c>
      <c r="L569" s="14"/>
    </row>
    <row r="570" spans="1:12" ht="15" customHeight="1" x14ac:dyDescent="0.25">
      <c r="A570" s="21" t="s">
        <v>98</v>
      </c>
      <c r="B570" s="22"/>
      <c r="C570" s="22"/>
      <c r="D570" s="22"/>
      <c r="E570" s="23"/>
      <c r="F570" s="19" t="str">
        <f>"021205"</f>
        <v>021205</v>
      </c>
      <c r="G570" s="19" t="s">
        <v>99</v>
      </c>
      <c r="H570" s="20">
        <v>15.11</v>
      </c>
      <c r="I570" s="24">
        <v>1</v>
      </c>
      <c r="J570" s="25"/>
      <c r="K570" s="24">
        <v>15.11</v>
      </c>
      <c r="L570" s="25"/>
    </row>
    <row r="571" spans="1:12" ht="15" customHeight="1" x14ac:dyDescent="0.25">
      <c r="A571" s="15" t="s">
        <v>51</v>
      </c>
      <c r="B571" s="16"/>
      <c r="C571" s="16"/>
      <c r="D571" s="16"/>
      <c r="E571" s="16"/>
      <c r="F571" s="16"/>
      <c r="G571" s="16"/>
      <c r="H571" s="16"/>
      <c r="I571" s="16"/>
      <c r="J571" s="17"/>
      <c r="K571" s="15">
        <v>15.11</v>
      </c>
      <c r="L571" s="17"/>
    </row>
    <row r="572" spans="1:12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</row>
    <row r="573" spans="1:12" ht="15" customHeight="1" x14ac:dyDescent="0.25">
      <c r="A573" s="10" t="s">
        <v>52</v>
      </c>
      <c r="B573" s="11"/>
      <c r="C573" s="11"/>
      <c r="D573" s="11"/>
      <c r="E573" s="12"/>
      <c r="F573" s="8" t="s">
        <v>21</v>
      </c>
      <c r="G573" s="8" t="s">
        <v>22</v>
      </c>
      <c r="H573" s="9" t="s">
        <v>44</v>
      </c>
      <c r="I573" s="13" t="s">
        <v>34</v>
      </c>
      <c r="J573" s="14"/>
      <c r="K573" s="13" t="s">
        <v>50</v>
      </c>
      <c r="L573" s="14"/>
    </row>
    <row r="574" spans="1:12" ht="15" customHeight="1" x14ac:dyDescent="0.25">
      <c r="A574" s="15" t="s">
        <v>53</v>
      </c>
      <c r="B574" s="16"/>
      <c r="C574" s="16"/>
      <c r="D574" s="16"/>
      <c r="E574" s="16"/>
      <c r="F574" s="16"/>
      <c r="G574" s="16"/>
      <c r="H574" s="16"/>
      <c r="I574" s="16"/>
      <c r="J574" s="17"/>
      <c r="K574" s="15">
        <v>0</v>
      </c>
      <c r="L574" s="17"/>
    </row>
    <row r="575" spans="1:12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</row>
    <row r="576" spans="1:12" ht="15" customHeight="1" x14ac:dyDescent="0.25">
      <c r="A576" s="10" t="s">
        <v>54</v>
      </c>
      <c r="B576" s="11"/>
      <c r="C576" s="12"/>
      <c r="D576" s="8" t="s">
        <v>21</v>
      </c>
      <c r="E576" s="8" t="s">
        <v>22</v>
      </c>
      <c r="F576" s="9" t="s">
        <v>55</v>
      </c>
      <c r="G576" s="8" t="s">
        <v>56</v>
      </c>
      <c r="H576" s="8" t="s">
        <v>57</v>
      </c>
      <c r="I576" s="8" t="s">
        <v>58</v>
      </c>
      <c r="J576" s="9" t="s">
        <v>59</v>
      </c>
      <c r="K576" s="9" t="s">
        <v>34</v>
      </c>
      <c r="L576" s="9" t="s">
        <v>50</v>
      </c>
    </row>
    <row r="577" spans="1:12" ht="15" customHeight="1" x14ac:dyDescent="0.25">
      <c r="A577" s="15" t="s">
        <v>60</v>
      </c>
      <c r="B577" s="16"/>
      <c r="C577" s="16"/>
      <c r="D577" s="16"/>
      <c r="E577" s="16"/>
      <c r="F577" s="16"/>
      <c r="G577" s="16"/>
      <c r="H577" s="16"/>
      <c r="I577" s="16"/>
      <c r="J577" s="17"/>
      <c r="K577" s="15">
        <v>0</v>
      </c>
      <c r="L577" s="17"/>
    </row>
    <row r="578" spans="1:12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 spans="1:12" ht="15" customHeight="1" x14ac:dyDescent="0.25">
      <c r="A579" s="27" t="s">
        <v>61</v>
      </c>
      <c r="B579" s="27"/>
      <c r="C579" s="27"/>
      <c r="D579" s="27"/>
      <c r="E579" s="27"/>
      <c r="F579" s="27"/>
      <c r="G579" s="27"/>
      <c r="H579" s="27"/>
      <c r="I579" s="27"/>
      <c r="J579" s="27"/>
      <c r="K579" s="27">
        <v>15.11</v>
      </c>
      <c r="L579" s="27"/>
    </row>
    <row r="580" spans="1:12" ht="15" customHeight="1" x14ac:dyDescent="0.25">
      <c r="A580" s="27" t="s">
        <v>62</v>
      </c>
      <c r="B580" s="27"/>
      <c r="C580" s="27"/>
      <c r="D580" s="27"/>
      <c r="E580" s="27"/>
      <c r="F580" s="27"/>
      <c r="G580" s="27"/>
      <c r="H580" s="27"/>
      <c r="I580" s="27"/>
      <c r="J580" s="27"/>
      <c r="K580" s="27">
        <v>5.0199999999999996</v>
      </c>
      <c r="L580" s="27"/>
    </row>
    <row r="581" spans="1:12" ht="15" customHeight="1" x14ac:dyDescent="0.25">
      <c r="A581" s="27" t="s">
        <v>63</v>
      </c>
      <c r="B581" s="27"/>
      <c r="C581" s="27"/>
      <c r="D581" s="27"/>
      <c r="E581" s="27"/>
      <c r="F581" s="27"/>
      <c r="G581" s="27"/>
      <c r="H581" s="27"/>
      <c r="I581" s="27"/>
      <c r="J581" s="27"/>
      <c r="K581" s="27">
        <v>20.13</v>
      </c>
      <c r="L581" s="27"/>
    </row>
    <row r="582" spans="1:1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" customHeight="1" x14ac:dyDescent="0.25">
      <c r="A583" s="3" t="s">
        <v>8</v>
      </c>
      <c r="B583" s="6" t="s">
        <v>9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 ht="15" customHeight="1" x14ac:dyDescent="0.25">
      <c r="A584" s="3" t="s">
        <v>10</v>
      </c>
      <c r="B584" s="6" t="s">
        <v>100</v>
      </c>
      <c r="C584" s="6"/>
      <c r="D584" s="6"/>
      <c r="E584" s="6"/>
      <c r="F584" s="6"/>
      <c r="G584" s="6"/>
      <c r="H584" s="6"/>
      <c r="I584" s="6"/>
      <c r="J584" s="6"/>
      <c r="K584" s="3" t="s">
        <v>12</v>
      </c>
      <c r="L584" s="4" t="s">
        <v>68</v>
      </c>
    </row>
    <row r="585" spans="1:12" ht="15" customHeight="1" x14ac:dyDescent="0.25">
      <c r="A585" s="3" t="s">
        <v>14</v>
      </c>
      <c r="B585" s="6" t="s">
        <v>15</v>
      </c>
      <c r="C585" s="6"/>
      <c r="D585" s="7" t="s">
        <v>16</v>
      </c>
      <c r="E585" s="7"/>
      <c r="F585" s="6" t="str">
        <f>"030101"</f>
        <v>030101</v>
      </c>
      <c r="G585" s="6"/>
      <c r="H585" s="3" t="s">
        <v>17</v>
      </c>
      <c r="I585" s="6" t="s">
        <v>18</v>
      </c>
      <c r="J585" s="6"/>
      <c r="K585" s="3" t="s">
        <v>19</v>
      </c>
      <c r="L585" s="5">
        <v>1</v>
      </c>
    </row>
    <row r="586" spans="1:1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" customHeight="1" x14ac:dyDescent="0.25">
      <c r="A587" s="10" t="s">
        <v>20</v>
      </c>
      <c r="B587" s="11"/>
      <c r="C587" s="12"/>
      <c r="D587" s="8" t="s">
        <v>21</v>
      </c>
      <c r="E587" s="8" t="s">
        <v>22</v>
      </c>
      <c r="F587" s="9" t="s">
        <v>23</v>
      </c>
      <c r="G587" s="9" t="s">
        <v>24</v>
      </c>
      <c r="H587" s="9" t="s">
        <v>25</v>
      </c>
      <c r="I587" s="9" t="s">
        <v>26</v>
      </c>
      <c r="J587" s="9" t="s">
        <v>27</v>
      </c>
      <c r="K587" s="13" t="s">
        <v>28</v>
      </c>
      <c r="L587" s="14"/>
    </row>
    <row r="588" spans="1:12" ht="15" customHeight="1" x14ac:dyDescent="0.25">
      <c r="A588" s="15" t="s">
        <v>29</v>
      </c>
      <c r="B588" s="16"/>
      <c r="C588" s="16"/>
      <c r="D588" s="16"/>
      <c r="E588" s="16"/>
      <c r="F588" s="16"/>
      <c r="G588" s="16"/>
      <c r="H588" s="16"/>
      <c r="I588" s="16"/>
      <c r="J588" s="17"/>
      <c r="K588" s="15">
        <v>0</v>
      </c>
      <c r="L588" s="17"/>
    </row>
    <row r="589" spans="1:12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</row>
    <row r="590" spans="1:12" ht="15" customHeight="1" x14ac:dyDescent="0.25">
      <c r="A590" s="10" t="s">
        <v>30</v>
      </c>
      <c r="B590" s="11"/>
      <c r="C590" s="12"/>
      <c r="D590" s="8" t="s">
        <v>21</v>
      </c>
      <c r="E590" s="8" t="s">
        <v>22</v>
      </c>
      <c r="F590" s="9" t="s">
        <v>31</v>
      </c>
      <c r="G590" s="9" t="s">
        <v>32</v>
      </c>
      <c r="H590" s="9" t="s">
        <v>33</v>
      </c>
      <c r="I590" s="13" t="s">
        <v>34</v>
      </c>
      <c r="J590" s="14"/>
      <c r="K590" s="13" t="s">
        <v>28</v>
      </c>
      <c r="L590" s="14"/>
    </row>
    <row r="591" spans="1:12" ht="15" customHeight="1" x14ac:dyDescent="0.25">
      <c r="A591" s="21" t="s">
        <v>37</v>
      </c>
      <c r="B591" s="22"/>
      <c r="C591" s="23"/>
      <c r="D591" s="19" t="str">
        <f>"010146"</f>
        <v>010146</v>
      </c>
      <c r="E591" s="19" t="s">
        <v>36</v>
      </c>
      <c r="F591" s="20">
        <v>7.65</v>
      </c>
      <c r="G591" s="20">
        <v>157.27000000000001</v>
      </c>
      <c r="H591" s="20">
        <v>19.68</v>
      </c>
      <c r="I591" s="24">
        <v>3.25</v>
      </c>
      <c r="J591" s="25"/>
      <c r="K591" s="24">
        <v>63.96</v>
      </c>
      <c r="L591" s="25"/>
    </row>
    <row r="592" spans="1:12" ht="15" customHeight="1" x14ac:dyDescent="0.25">
      <c r="A592" s="15" t="s">
        <v>38</v>
      </c>
      <c r="B592" s="16"/>
      <c r="C592" s="16"/>
      <c r="D592" s="16"/>
      <c r="E592" s="16"/>
      <c r="F592" s="16"/>
      <c r="G592" s="16"/>
      <c r="H592" s="16"/>
      <c r="I592" s="16"/>
      <c r="J592" s="17"/>
      <c r="K592" s="15">
        <v>63.96</v>
      </c>
      <c r="L592" s="17"/>
    </row>
    <row r="593" spans="1:12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</row>
    <row r="594" spans="1:12" ht="15" customHeight="1" x14ac:dyDescent="0.25">
      <c r="A594" s="10" t="s">
        <v>39</v>
      </c>
      <c r="B594" s="11"/>
      <c r="C594" s="12"/>
      <c r="D594" s="8" t="s">
        <v>21</v>
      </c>
      <c r="E594" s="13" t="s">
        <v>40</v>
      </c>
      <c r="F594" s="14"/>
      <c r="G594" s="8" t="s">
        <v>41</v>
      </c>
      <c r="H594" s="8" t="s">
        <v>42</v>
      </c>
      <c r="I594" s="8" t="s">
        <v>43</v>
      </c>
      <c r="J594" s="13" t="s">
        <v>44</v>
      </c>
      <c r="K594" s="26"/>
      <c r="L594" s="14"/>
    </row>
    <row r="595" spans="1:12" ht="15" customHeight="1" x14ac:dyDescent="0.25">
      <c r="A595" s="15" t="s">
        <v>45</v>
      </c>
      <c r="B595" s="16"/>
      <c r="C595" s="16"/>
      <c r="D595" s="16"/>
      <c r="E595" s="16"/>
      <c r="F595" s="16"/>
      <c r="G595" s="16"/>
      <c r="H595" s="16"/>
      <c r="I595" s="16"/>
      <c r="J595" s="17"/>
      <c r="K595" s="15">
        <v>0</v>
      </c>
      <c r="L595" s="17"/>
    </row>
    <row r="596" spans="1:12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</row>
    <row r="597" spans="1:12" ht="15" customHeight="1" x14ac:dyDescent="0.25">
      <c r="A597" s="27" t="s">
        <v>46</v>
      </c>
      <c r="B597" s="27"/>
      <c r="C597" s="27"/>
      <c r="D597" s="27"/>
      <c r="E597" s="27"/>
      <c r="F597" s="27"/>
      <c r="G597" s="27"/>
      <c r="H597" s="27"/>
      <c r="I597" s="27"/>
      <c r="J597" s="27"/>
      <c r="K597" s="27">
        <v>63.96</v>
      </c>
      <c r="L597" s="27"/>
    </row>
    <row r="598" spans="1:12" ht="15" customHeight="1" x14ac:dyDescent="0.25">
      <c r="A598" s="27" t="s">
        <v>47</v>
      </c>
      <c r="B598" s="27"/>
      <c r="C598" s="27"/>
      <c r="D598" s="27"/>
      <c r="E598" s="27"/>
      <c r="F598" s="27"/>
      <c r="G598" s="27"/>
      <c r="H598" s="27"/>
      <c r="I598" s="27"/>
      <c r="J598" s="27"/>
      <c r="K598" s="27">
        <v>1</v>
      </c>
      <c r="L598" s="27"/>
    </row>
    <row r="599" spans="1:12" ht="15" customHeight="1" x14ac:dyDescent="0.25">
      <c r="A599" s="27" t="s">
        <v>48</v>
      </c>
      <c r="B599" s="27"/>
      <c r="C599" s="27"/>
      <c r="D599" s="27"/>
      <c r="E599" s="27"/>
      <c r="F599" s="27"/>
      <c r="G599" s="27"/>
      <c r="H599" s="27"/>
      <c r="I599" s="27"/>
      <c r="J599" s="27"/>
      <c r="K599" s="27">
        <v>63.96</v>
      </c>
      <c r="L599" s="27"/>
    </row>
    <row r="600" spans="1:1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" customHeight="1" x14ac:dyDescent="0.25">
      <c r="A601" s="10" t="s">
        <v>49</v>
      </c>
      <c r="B601" s="11"/>
      <c r="C601" s="11"/>
      <c r="D601" s="11"/>
      <c r="E601" s="12"/>
      <c r="F601" s="8" t="s">
        <v>21</v>
      </c>
      <c r="G601" s="8" t="s">
        <v>22</v>
      </c>
      <c r="H601" s="9" t="s">
        <v>44</v>
      </c>
      <c r="I601" s="13" t="s">
        <v>34</v>
      </c>
      <c r="J601" s="14"/>
      <c r="K601" s="13" t="s">
        <v>50</v>
      </c>
      <c r="L601" s="14"/>
    </row>
    <row r="602" spans="1:12" ht="15" customHeight="1" x14ac:dyDescent="0.25">
      <c r="A602" s="15" t="s">
        <v>51</v>
      </c>
      <c r="B602" s="16"/>
      <c r="C602" s="16"/>
      <c r="D602" s="16"/>
      <c r="E602" s="16"/>
      <c r="F602" s="16"/>
      <c r="G602" s="16"/>
      <c r="H602" s="16"/>
      <c r="I602" s="16"/>
      <c r="J602" s="17"/>
      <c r="K602" s="15">
        <v>0</v>
      </c>
      <c r="L602" s="17"/>
    </row>
    <row r="603" spans="1:12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</row>
    <row r="604" spans="1:12" ht="15" customHeight="1" x14ac:dyDescent="0.25">
      <c r="A604" s="10" t="s">
        <v>52</v>
      </c>
      <c r="B604" s="11"/>
      <c r="C604" s="11"/>
      <c r="D604" s="11"/>
      <c r="E604" s="12"/>
      <c r="F604" s="8" t="s">
        <v>21</v>
      </c>
      <c r="G604" s="8" t="s">
        <v>22</v>
      </c>
      <c r="H604" s="9" t="s">
        <v>44</v>
      </c>
      <c r="I604" s="13" t="s">
        <v>34</v>
      </c>
      <c r="J604" s="14"/>
      <c r="K604" s="13" t="s">
        <v>50</v>
      </c>
      <c r="L604" s="14"/>
    </row>
    <row r="605" spans="1:12" ht="15" customHeight="1" x14ac:dyDescent="0.25">
      <c r="A605" s="15" t="s">
        <v>53</v>
      </c>
      <c r="B605" s="16"/>
      <c r="C605" s="16"/>
      <c r="D605" s="16"/>
      <c r="E605" s="16"/>
      <c r="F605" s="16"/>
      <c r="G605" s="16"/>
      <c r="H605" s="16"/>
      <c r="I605" s="16"/>
      <c r="J605" s="17"/>
      <c r="K605" s="15">
        <v>0</v>
      </c>
      <c r="L605" s="17"/>
    </row>
    <row r="606" spans="1:1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</row>
    <row r="607" spans="1:12" ht="15" customHeight="1" x14ac:dyDescent="0.25">
      <c r="A607" s="10" t="s">
        <v>54</v>
      </c>
      <c r="B607" s="11"/>
      <c r="C607" s="12"/>
      <c r="D607" s="8" t="s">
        <v>21</v>
      </c>
      <c r="E607" s="8" t="s">
        <v>22</v>
      </c>
      <c r="F607" s="9" t="s">
        <v>55</v>
      </c>
      <c r="G607" s="8" t="s">
        <v>56</v>
      </c>
      <c r="H607" s="8" t="s">
        <v>57</v>
      </c>
      <c r="I607" s="8" t="s">
        <v>58</v>
      </c>
      <c r="J607" s="9" t="s">
        <v>59</v>
      </c>
      <c r="K607" s="9" t="s">
        <v>34</v>
      </c>
      <c r="L607" s="9" t="s">
        <v>50</v>
      </c>
    </row>
    <row r="608" spans="1:12" ht="15" customHeight="1" x14ac:dyDescent="0.25">
      <c r="A608" s="15" t="s">
        <v>60</v>
      </c>
      <c r="B608" s="16"/>
      <c r="C608" s="16"/>
      <c r="D608" s="16"/>
      <c r="E608" s="16"/>
      <c r="F608" s="16"/>
      <c r="G608" s="16"/>
      <c r="H608" s="16"/>
      <c r="I608" s="16"/>
      <c r="J608" s="17"/>
      <c r="K608" s="15">
        <v>0</v>
      </c>
      <c r="L608" s="17"/>
    </row>
    <row r="609" spans="1:12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</row>
    <row r="610" spans="1:12" ht="15" customHeight="1" x14ac:dyDescent="0.25">
      <c r="A610" s="27" t="s">
        <v>61</v>
      </c>
      <c r="B610" s="27"/>
      <c r="C610" s="27"/>
      <c r="D610" s="27"/>
      <c r="E610" s="27"/>
      <c r="F610" s="27"/>
      <c r="G610" s="27"/>
      <c r="H610" s="27"/>
      <c r="I610" s="27"/>
      <c r="J610" s="27"/>
      <c r="K610" s="27">
        <v>63.96</v>
      </c>
      <c r="L610" s="27"/>
    </row>
    <row r="611" spans="1:12" ht="15" customHeight="1" x14ac:dyDescent="0.25">
      <c r="A611" s="27" t="s">
        <v>62</v>
      </c>
      <c r="B611" s="27"/>
      <c r="C611" s="27"/>
      <c r="D611" s="27"/>
      <c r="E611" s="27"/>
      <c r="F611" s="27"/>
      <c r="G611" s="27"/>
      <c r="H611" s="27"/>
      <c r="I611" s="27"/>
      <c r="J611" s="27"/>
      <c r="K611" s="27">
        <v>21.27</v>
      </c>
      <c r="L611" s="27"/>
    </row>
    <row r="612" spans="1:12" ht="15" customHeight="1" x14ac:dyDescent="0.25">
      <c r="A612" s="27" t="s">
        <v>63</v>
      </c>
      <c r="B612" s="27"/>
      <c r="C612" s="27"/>
      <c r="D612" s="27"/>
      <c r="E612" s="27"/>
      <c r="F612" s="27"/>
      <c r="G612" s="27"/>
      <c r="H612" s="27"/>
      <c r="I612" s="27"/>
      <c r="J612" s="27"/>
      <c r="K612" s="27">
        <v>85.23</v>
      </c>
      <c r="L612" s="27"/>
    </row>
    <row r="613" spans="1:1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" customHeight="1" x14ac:dyDescent="0.25">
      <c r="A614" s="3" t="s">
        <v>8</v>
      </c>
      <c r="B614" s="6" t="s">
        <v>9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 ht="15" customHeight="1" x14ac:dyDescent="0.25">
      <c r="A615" s="3" t="s">
        <v>10</v>
      </c>
      <c r="B615" s="6" t="s">
        <v>101</v>
      </c>
      <c r="C615" s="6"/>
      <c r="D615" s="6"/>
      <c r="E615" s="6"/>
      <c r="F615" s="6"/>
      <c r="G615" s="6"/>
      <c r="H615" s="6"/>
      <c r="I615" s="6"/>
      <c r="J615" s="6"/>
      <c r="K615" s="3" t="s">
        <v>12</v>
      </c>
      <c r="L615" s="4" t="s">
        <v>13</v>
      </c>
    </row>
    <row r="616" spans="1:12" ht="15" customHeight="1" x14ac:dyDescent="0.25">
      <c r="A616" s="3" t="s">
        <v>14</v>
      </c>
      <c r="B616" s="6" t="s">
        <v>15</v>
      </c>
      <c r="C616" s="6"/>
      <c r="D616" s="7" t="s">
        <v>16</v>
      </c>
      <c r="E616" s="7"/>
      <c r="F616" s="6" t="str">
        <f>"030119"</f>
        <v>030119</v>
      </c>
      <c r="G616" s="6"/>
      <c r="H616" s="3" t="s">
        <v>17</v>
      </c>
      <c r="I616" s="6" t="s">
        <v>18</v>
      </c>
      <c r="J616" s="6"/>
      <c r="K616" s="3" t="s">
        <v>19</v>
      </c>
      <c r="L616" s="5">
        <v>1</v>
      </c>
    </row>
    <row r="617" spans="1:1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" customHeight="1" x14ac:dyDescent="0.25">
      <c r="A618" s="10" t="s">
        <v>20</v>
      </c>
      <c r="B618" s="11"/>
      <c r="C618" s="12"/>
      <c r="D618" s="8" t="s">
        <v>21</v>
      </c>
      <c r="E618" s="8" t="s">
        <v>22</v>
      </c>
      <c r="F618" s="9" t="s">
        <v>23</v>
      </c>
      <c r="G618" s="9" t="s">
        <v>24</v>
      </c>
      <c r="H618" s="9" t="s">
        <v>25</v>
      </c>
      <c r="I618" s="9" t="s">
        <v>26</v>
      </c>
      <c r="J618" s="9" t="s">
        <v>27</v>
      </c>
      <c r="K618" s="13" t="s">
        <v>28</v>
      </c>
      <c r="L618" s="14"/>
    </row>
    <row r="619" spans="1:12" ht="15" customHeight="1" x14ac:dyDescent="0.25">
      <c r="A619" s="15" t="s">
        <v>29</v>
      </c>
      <c r="B619" s="16"/>
      <c r="C619" s="16"/>
      <c r="D619" s="16"/>
      <c r="E619" s="16"/>
      <c r="F619" s="16"/>
      <c r="G619" s="16"/>
      <c r="H619" s="16"/>
      <c r="I619" s="16"/>
      <c r="J619" s="17"/>
      <c r="K619" s="15">
        <v>0</v>
      </c>
      <c r="L619" s="17"/>
    </row>
    <row r="620" spans="1:12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</row>
    <row r="621" spans="1:12" ht="15" customHeight="1" x14ac:dyDescent="0.25">
      <c r="A621" s="10" t="s">
        <v>30</v>
      </c>
      <c r="B621" s="11"/>
      <c r="C621" s="12"/>
      <c r="D621" s="8" t="s">
        <v>21</v>
      </c>
      <c r="E621" s="8" t="s">
        <v>22</v>
      </c>
      <c r="F621" s="9" t="s">
        <v>31</v>
      </c>
      <c r="G621" s="9" t="s">
        <v>32</v>
      </c>
      <c r="H621" s="9" t="s">
        <v>33</v>
      </c>
      <c r="I621" s="13" t="s">
        <v>34</v>
      </c>
      <c r="J621" s="14"/>
      <c r="K621" s="13" t="s">
        <v>28</v>
      </c>
      <c r="L621" s="14"/>
    </row>
    <row r="622" spans="1:12" ht="15" customHeight="1" x14ac:dyDescent="0.25">
      <c r="A622" s="21" t="s">
        <v>37</v>
      </c>
      <c r="B622" s="22"/>
      <c r="C622" s="23"/>
      <c r="D622" s="19" t="str">
        <f>"010146"</f>
        <v>010146</v>
      </c>
      <c r="E622" s="19" t="s">
        <v>36</v>
      </c>
      <c r="F622" s="20">
        <v>7.65</v>
      </c>
      <c r="G622" s="20">
        <v>157.27000000000001</v>
      </c>
      <c r="H622" s="20">
        <v>19.68</v>
      </c>
      <c r="I622" s="24">
        <v>1.7</v>
      </c>
      <c r="J622" s="25"/>
      <c r="K622" s="24">
        <v>33.450000000000003</v>
      </c>
      <c r="L622" s="25"/>
    </row>
    <row r="623" spans="1:12" ht="15" customHeight="1" x14ac:dyDescent="0.25">
      <c r="A623" s="15" t="s">
        <v>38</v>
      </c>
      <c r="B623" s="16"/>
      <c r="C623" s="16"/>
      <c r="D623" s="16"/>
      <c r="E623" s="16"/>
      <c r="F623" s="16"/>
      <c r="G623" s="16"/>
      <c r="H623" s="16"/>
      <c r="I623" s="16"/>
      <c r="J623" s="17"/>
      <c r="K623" s="15">
        <v>33.450000000000003</v>
      </c>
      <c r="L623" s="17"/>
    </row>
    <row r="624" spans="1:12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</row>
    <row r="625" spans="1:12" ht="15" customHeight="1" x14ac:dyDescent="0.25">
      <c r="A625" s="10" t="s">
        <v>39</v>
      </c>
      <c r="B625" s="11"/>
      <c r="C625" s="12"/>
      <c r="D625" s="8" t="s">
        <v>21</v>
      </c>
      <c r="E625" s="13" t="s">
        <v>40</v>
      </c>
      <c r="F625" s="14"/>
      <c r="G625" s="8" t="s">
        <v>41</v>
      </c>
      <c r="H625" s="8" t="s">
        <v>42</v>
      </c>
      <c r="I625" s="8" t="s">
        <v>43</v>
      </c>
      <c r="J625" s="13" t="s">
        <v>44</v>
      </c>
      <c r="K625" s="26"/>
      <c r="L625" s="14"/>
    </row>
    <row r="626" spans="1:12" ht="15" customHeight="1" x14ac:dyDescent="0.25">
      <c r="A626" s="15" t="s">
        <v>45</v>
      </c>
      <c r="B626" s="16"/>
      <c r="C626" s="16"/>
      <c r="D626" s="16"/>
      <c r="E626" s="16"/>
      <c r="F626" s="16"/>
      <c r="G626" s="16"/>
      <c r="H626" s="16"/>
      <c r="I626" s="16"/>
      <c r="J626" s="17"/>
      <c r="K626" s="15">
        <v>0</v>
      </c>
      <c r="L626" s="17"/>
    </row>
    <row r="627" spans="1:12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</row>
    <row r="628" spans="1:12" ht="15" customHeight="1" x14ac:dyDescent="0.25">
      <c r="A628" s="27" t="s">
        <v>46</v>
      </c>
      <c r="B628" s="27"/>
      <c r="C628" s="27"/>
      <c r="D628" s="27"/>
      <c r="E628" s="27"/>
      <c r="F628" s="27"/>
      <c r="G628" s="27"/>
      <c r="H628" s="27"/>
      <c r="I628" s="27"/>
      <c r="J628" s="27"/>
      <c r="K628" s="27">
        <v>33.450000000000003</v>
      </c>
      <c r="L628" s="27"/>
    </row>
    <row r="629" spans="1:12" ht="15" customHeight="1" x14ac:dyDescent="0.25">
      <c r="A629" s="27" t="s">
        <v>47</v>
      </c>
      <c r="B629" s="27"/>
      <c r="C629" s="27"/>
      <c r="D629" s="27"/>
      <c r="E629" s="27"/>
      <c r="F629" s="27"/>
      <c r="G629" s="27"/>
      <c r="H629" s="27"/>
      <c r="I629" s="27"/>
      <c r="J629" s="27"/>
      <c r="K629" s="27">
        <v>1</v>
      </c>
      <c r="L629" s="27"/>
    </row>
    <row r="630" spans="1:12" ht="15" customHeight="1" x14ac:dyDescent="0.25">
      <c r="A630" s="27" t="s">
        <v>48</v>
      </c>
      <c r="B630" s="27"/>
      <c r="C630" s="27"/>
      <c r="D630" s="27"/>
      <c r="E630" s="27"/>
      <c r="F630" s="27"/>
      <c r="G630" s="27"/>
      <c r="H630" s="27"/>
      <c r="I630" s="27"/>
      <c r="J630" s="27"/>
      <c r="K630" s="27">
        <v>33.450000000000003</v>
      </c>
      <c r="L630" s="27"/>
    </row>
    <row r="631" spans="1:1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" customHeight="1" x14ac:dyDescent="0.25">
      <c r="A632" s="10" t="s">
        <v>49</v>
      </c>
      <c r="B632" s="11"/>
      <c r="C632" s="11"/>
      <c r="D632" s="11"/>
      <c r="E632" s="12"/>
      <c r="F632" s="8" t="s">
        <v>21</v>
      </c>
      <c r="G632" s="8" t="s">
        <v>22</v>
      </c>
      <c r="H632" s="9" t="s">
        <v>44</v>
      </c>
      <c r="I632" s="13" t="s">
        <v>34</v>
      </c>
      <c r="J632" s="14"/>
      <c r="K632" s="13" t="s">
        <v>50</v>
      </c>
      <c r="L632" s="14"/>
    </row>
    <row r="633" spans="1:12" ht="15" customHeight="1" x14ac:dyDescent="0.25">
      <c r="A633" s="15" t="s">
        <v>51</v>
      </c>
      <c r="B633" s="16"/>
      <c r="C633" s="16"/>
      <c r="D633" s="16"/>
      <c r="E633" s="16"/>
      <c r="F633" s="16"/>
      <c r="G633" s="16"/>
      <c r="H633" s="16"/>
      <c r="I633" s="16"/>
      <c r="J633" s="17"/>
      <c r="K633" s="15">
        <v>0</v>
      </c>
      <c r="L633" s="17"/>
    </row>
    <row r="634" spans="1:12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</row>
    <row r="635" spans="1:12" ht="15" customHeight="1" x14ac:dyDescent="0.25">
      <c r="A635" s="10" t="s">
        <v>52</v>
      </c>
      <c r="B635" s="11"/>
      <c r="C635" s="11"/>
      <c r="D635" s="11"/>
      <c r="E635" s="12"/>
      <c r="F635" s="8" t="s">
        <v>21</v>
      </c>
      <c r="G635" s="8" t="s">
        <v>22</v>
      </c>
      <c r="H635" s="9" t="s">
        <v>44</v>
      </c>
      <c r="I635" s="13" t="s">
        <v>34</v>
      </c>
      <c r="J635" s="14"/>
      <c r="K635" s="13" t="s">
        <v>50</v>
      </c>
      <c r="L635" s="14"/>
    </row>
    <row r="636" spans="1:12" ht="15" customHeight="1" x14ac:dyDescent="0.25">
      <c r="A636" s="15" t="s">
        <v>53</v>
      </c>
      <c r="B636" s="16"/>
      <c r="C636" s="16"/>
      <c r="D636" s="16"/>
      <c r="E636" s="16"/>
      <c r="F636" s="16"/>
      <c r="G636" s="16"/>
      <c r="H636" s="16"/>
      <c r="I636" s="16"/>
      <c r="J636" s="17"/>
      <c r="K636" s="15">
        <v>0</v>
      </c>
      <c r="L636" s="17"/>
    </row>
    <row r="637" spans="1:12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</row>
    <row r="638" spans="1:12" ht="15" customHeight="1" x14ac:dyDescent="0.25">
      <c r="A638" s="10" t="s">
        <v>54</v>
      </c>
      <c r="B638" s="11"/>
      <c r="C638" s="12"/>
      <c r="D638" s="8" t="s">
        <v>21</v>
      </c>
      <c r="E638" s="8" t="s">
        <v>22</v>
      </c>
      <c r="F638" s="9" t="s">
        <v>55</v>
      </c>
      <c r="G638" s="8" t="s">
        <v>56</v>
      </c>
      <c r="H638" s="8" t="s">
        <v>57</v>
      </c>
      <c r="I638" s="8" t="s">
        <v>58</v>
      </c>
      <c r="J638" s="9" t="s">
        <v>59</v>
      </c>
      <c r="K638" s="9" t="s">
        <v>34</v>
      </c>
      <c r="L638" s="9" t="s">
        <v>50</v>
      </c>
    </row>
    <row r="639" spans="1:12" ht="15" customHeight="1" x14ac:dyDescent="0.25">
      <c r="A639" s="15" t="s">
        <v>60</v>
      </c>
      <c r="B639" s="16"/>
      <c r="C639" s="16"/>
      <c r="D639" s="16"/>
      <c r="E639" s="16"/>
      <c r="F639" s="16"/>
      <c r="G639" s="16"/>
      <c r="H639" s="16"/>
      <c r="I639" s="16"/>
      <c r="J639" s="17"/>
      <c r="K639" s="15">
        <v>0</v>
      </c>
      <c r="L639" s="17"/>
    </row>
    <row r="640" spans="1:12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</row>
    <row r="641" spans="1:12" ht="15" customHeight="1" x14ac:dyDescent="0.25">
      <c r="A641" s="27" t="s">
        <v>61</v>
      </c>
      <c r="B641" s="27"/>
      <c r="C641" s="27"/>
      <c r="D641" s="27"/>
      <c r="E641" s="27"/>
      <c r="F641" s="27"/>
      <c r="G641" s="27"/>
      <c r="H641" s="27"/>
      <c r="I641" s="27"/>
      <c r="J641" s="27"/>
      <c r="K641" s="27">
        <v>33.450000000000003</v>
      </c>
      <c r="L641" s="27"/>
    </row>
    <row r="642" spans="1:12" ht="15" customHeight="1" x14ac:dyDescent="0.25">
      <c r="A642" s="27" t="s">
        <v>62</v>
      </c>
      <c r="B642" s="27"/>
      <c r="C642" s="27"/>
      <c r="D642" s="27"/>
      <c r="E642" s="27"/>
      <c r="F642" s="27"/>
      <c r="G642" s="27"/>
      <c r="H642" s="27"/>
      <c r="I642" s="27"/>
      <c r="J642" s="27"/>
      <c r="K642" s="27">
        <v>11.12</v>
      </c>
      <c r="L642" s="27"/>
    </row>
    <row r="643" spans="1:12" ht="15" customHeight="1" x14ac:dyDescent="0.25">
      <c r="A643" s="27" t="s">
        <v>63</v>
      </c>
      <c r="B643" s="27"/>
      <c r="C643" s="27"/>
      <c r="D643" s="27"/>
      <c r="E643" s="27"/>
      <c r="F643" s="27"/>
      <c r="G643" s="27"/>
      <c r="H643" s="27"/>
      <c r="I643" s="27"/>
      <c r="J643" s="27"/>
      <c r="K643" s="27">
        <v>44.57</v>
      </c>
      <c r="L643" s="27"/>
    </row>
    <row r="644" spans="1:1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" customHeight="1" x14ac:dyDescent="0.25">
      <c r="A645" s="3" t="s">
        <v>8</v>
      </c>
      <c r="B645" s="6" t="s">
        <v>9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spans="1:12" ht="15" customHeight="1" x14ac:dyDescent="0.25">
      <c r="A646" s="3" t="s">
        <v>10</v>
      </c>
      <c r="B646" s="6" t="s">
        <v>102</v>
      </c>
      <c r="C646" s="6"/>
      <c r="D646" s="6"/>
      <c r="E646" s="6"/>
      <c r="F646" s="6"/>
      <c r="G646" s="6"/>
      <c r="H646" s="6"/>
      <c r="I646" s="6"/>
      <c r="J646" s="6"/>
      <c r="K646" s="3" t="s">
        <v>12</v>
      </c>
      <c r="L646" s="4" t="s">
        <v>68</v>
      </c>
    </row>
    <row r="647" spans="1:12" ht="15" customHeight="1" x14ac:dyDescent="0.25">
      <c r="A647" s="3" t="s">
        <v>14</v>
      </c>
      <c r="B647" s="6" t="s">
        <v>15</v>
      </c>
      <c r="C647" s="6"/>
      <c r="D647" s="7" t="s">
        <v>16</v>
      </c>
      <c r="E647" s="7"/>
      <c r="F647" s="6" t="str">
        <f>"030201"</f>
        <v>030201</v>
      </c>
      <c r="G647" s="6"/>
      <c r="H647" s="3" t="s">
        <v>17</v>
      </c>
      <c r="I647" s="6" t="s">
        <v>18</v>
      </c>
      <c r="J647" s="6"/>
      <c r="K647" s="3" t="s">
        <v>19</v>
      </c>
      <c r="L647" s="5">
        <v>1</v>
      </c>
    </row>
    <row r="648" spans="1:1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" customHeight="1" x14ac:dyDescent="0.25">
      <c r="A649" s="10" t="s">
        <v>20</v>
      </c>
      <c r="B649" s="11"/>
      <c r="C649" s="12"/>
      <c r="D649" s="8" t="s">
        <v>21</v>
      </c>
      <c r="E649" s="8" t="s">
        <v>22</v>
      </c>
      <c r="F649" s="9" t="s">
        <v>23</v>
      </c>
      <c r="G649" s="9" t="s">
        <v>24</v>
      </c>
      <c r="H649" s="9" t="s">
        <v>25</v>
      </c>
      <c r="I649" s="9" t="s">
        <v>26</v>
      </c>
      <c r="J649" s="9" t="s">
        <v>27</v>
      </c>
      <c r="K649" s="13" t="s">
        <v>28</v>
      </c>
      <c r="L649" s="14"/>
    </row>
    <row r="650" spans="1:12" ht="15" customHeight="1" x14ac:dyDescent="0.25">
      <c r="A650" s="15" t="s">
        <v>29</v>
      </c>
      <c r="B650" s="16"/>
      <c r="C650" s="16"/>
      <c r="D650" s="16"/>
      <c r="E650" s="16"/>
      <c r="F650" s="16"/>
      <c r="G650" s="16"/>
      <c r="H650" s="16"/>
      <c r="I650" s="16"/>
      <c r="J650" s="17"/>
      <c r="K650" s="15">
        <v>0</v>
      </c>
      <c r="L650" s="17"/>
    </row>
    <row r="651" spans="1:12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 spans="1:12" ht="15" customHeight="1" x14ac:dyDescent="0.25">
      <c r="A652" s="10" t="s">
        <v>30</v>
      </c>
      <c r="B652" s="11"/>
      <c r="C652" s="12"/>
      <c r="D652" s="8" t="s">
        <v>21</v>
      </c>
      <c r="E652" s="8" t="s">
        <v>22</v>
      </c>
      <c r="F652" s="9" t="s">
        <v>31</v>
      </c>
      <c r="G652" s="9" t="s">
        <v>32</v>
      </c>
      <c r="H652" s="9" t="s">
        <v>33</v>
      </c>
      <c r="I652" s="13" t="s">
        <v>34</v>
      </c>
      <c r="J652" s="14"/>
      <c r="K652" s="13" t="s">
        <v>28</v>
      </c>
      <c r="L652" s="14"/>
    </row>
    <row r="653" spans="1:12" ht="15" customHeight="1" x14ac:dyDescent="0.25">
      <c r="A653" s="21" t="s">
        <v>37</v>
      </c>
      <c r="B653" s="22"/>
      <c r="C653" s="23"/>
      <c r="D653" s="19" t="str">
        <f>"010146"</f>
        <v>010146</v>
      </c>
      <c r="E653" s="19" t="s">
        <v>36</v>
      </c>
      <c r="F653" s="20">
        <v>7.65</v>
      </c>
      <c r="G653" s="20">
        <v>157.27000000000001</v>
      </c>
      <c r="H653" s="20">
        <v>19.68</v>
      </c>
      <c r="I653" s="24">
        <v>3.5</v>
      </c>
      <c r="J653" s="25"/>
      <c r="K653" s="24">
        <v>68.88</v>
      </c>
      <c r="L653" s="25"/>
    </row>
    <row r="654" spans="1:12" ht="15" customHeight="1" x14ac:dyDescent="0.25">
      <c r="A654" s="15" t="s">
        <v>38</v>
      </c>
      <c r="B654" s="16"/>
      <c r="C654" s="16"/>
      <c r="D654" s="16"/>
      <c r="E654" s="16"/>
      <c r="F654" s="16"/>
      <c r="G654" s="16"/>
      <c r="H654" s="16"/>
      <c r="I654" s="16"/>
      <c r="J654" s="17"/>
      <c r="K654" s="15">
        <v>68.88</v>
      </c>
      <c r="L654" s="17"/>
    </row>
    <row r="655" spans="1:12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</row>
    <row r="656" spans="1:12" ht="15" customHeight="1" x14ac:dyDescent="0.25">
      <c r="A656" s="10" t="s">
        <v>39</v>
      </c>
      <c r="B656" s="11"/>
      <c r="C656" s="12"/>
      <c r="D656" s="8" t="s">
        <v>21</v>
      </c>
      <c r="E656" s="13" t="s">
        <v>40</v>
      </c>
      <c r="F656" s="14"/>
      <c r="G656" s="8" t="s">
        <v>41</v>
      </c>
      <c r="H656" s="8" t="s">
        <v>42</v>
      </c>
      <c r="I656" s="8" t="s">
        <v>43</v>
      </c>
      <c r="J656" s="13" t="s">
        <v>44</v>
      </c>
      <c r="K656" s="26"/>
      <c r="L656" s="14"/>
    </row>
    <row r="657" spans="1:12" ht="15" customHeight="1" x14ac:dyDescent="0.25">
      <c r="A657" s="15" t="s">
        <v>45</v>
      </c>
      <c r="B657" s="16"/>
      <c r="C657" s="16"/>
      <c r="D657" s="16"/>
      <c r="E657" s="16"/>
      <c r="F657" s="16"/>
      <c r="G657" s="16"/>
      <c r="H657" s="16"/>
      <c r="I657" s="16"/>
      <c r="J657" s="17"/>
      <c r="K657" s="15">
        <v>0</v>
      </c>
      <c r="L657" s="17"/>
    </row>
    <row r="658" spans="1:12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</row>
    <row r="659" spans="1:12" ht="15" customHeight="1" x14ac:dyDescent="0.25">
      <c r="A659" s="27" t="s">
        <v>46</v>
      </c>
      <c r="B659" s="27"/>
      <c r="C659" s="27"/>
      <c r="D659" s="27"/>
      <c r="E659" s="27"/>
      <c r="F659" s="27"/>
      <c r="G659" s="27"/>
      <c r="H659" s="27"/>
      <c r="I659" s="27"/>
      <c r="J659" s="27"/>
      <c r="K659" s="27">
        <v>68.88</v>
      </c>
      <c r="L659" s="27"/>
    </row>
    <row r="660" spans="1:12" ht="15" customHeight="1" x14ac:dyDescent="0.25">
      <c r="A660" s="27" t="s">
        <v>47</v>
      </c>
      <c r="B660" s="27"/>
      <c r="C660" s="27"/>
      <c r="D660" s="27"/>
      <c r="E660" s="27"/>
      <c r="F660" s="27"/>
      <c r="G660" s="27"/>
      <c r="H660" s="27"/>
      <c r="I660" s="27"/>
      <c r="J660" s="27"/>
      <c r="K660" s="27">
        <v>1</v>
      </c>
      <c r="L660" s="27"/>
    </row>
    <row r="661" spans="1:12" ht="15" customHeight="1" x14ac:dyDescent="0.25">
      <c r="A661" s="27" t="s">
        <v>48</v>
      </c>
      <c r="B661" s="27"/>
      <c r="C661" s="27"/>
      <c r="D661" s="27"/>
      <c r="E661" s="27"/>
      <c r="F661" s="27"/>
      <c r="G661" s="27"/>
      <c r="H661" s="27"/>
      <c r="I661" s="27"/>
      <c r="J661" s="27"/>
      <c r="K661" s="27">
        <v>68.88</v>
      </c>
      <c r="L661" s="27"/>
    </row>
    <row r="662" spans="1:1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" customHeight="1" x14ac:dyDescent="0.25">
      <c r="A663" s="10" t="s">
        <v>49</v>
      </c>
      <c r="B663" s="11"/>
      <c r="C663" s="11"/>
      <c r="D663" s="11"/>
      <c r="E663" s="12"/>
      <c r="F663" s="8" t="s">
        <v>21</v>
      </c>
      <c r="G663" s="8" t="s">
        <v>22</v>
      </c>
      <c r="H663" s="9" t="s">
        <v>44</v>
      </c>
      <c r="I663" s="13" t="s">
        <v>34</v>
      </c>
      <c r="J663" s="14"/>
      <c r="K663" s="13" t="s">
        <v>50</v>
      </c>
      <c r="L663" s="14"/>
    </row>
    <row r="664" spans="1:12" ht="15" customHeight="1" x14ac:dyDescent="0.25">
      <c r="A664" s="15" t="s">
        <v>51</v>
      </c>
      <c r="B664" s="16"/>
      <c r="C664" s="16"/>
      <c r="D664" s="16"/>
      <c r="E664" s="16"/>
      <c r="F664" s="16"/>
      <c r="G664" s="16"/>
      <c r="H664" s="16"/>
      <c r="I664" s="16"/>
      <c r="J664" s="17"/>
      <c r="K664" s="15">
        <v>0</v>
      </c>
      <c r="L664" s="17"/>
    </row>
    <row r="665" spans="1:12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</row>
    <row r="666" spans="1:12" ht="15" customHeight="1" x14ac:dyDescent="0.25">
      <c r="A666" s="10" t="s">
        <v>52</v>
      </c>
      <c r="B666" s="11"/>
      <c r="C666" s="11"/>
      <c r="D666" s="11"/>
      <c r="E666" s="12"/>
      <c r="F666" s="8" t="s">
        <v>21</v>
      </c>
      <c r="G666" s="8" t="s">
        <v>22</v>
      </c>
      <c r="H666" s="9" t="s">
        <v>44</v>
      </c>
      <c r="I666" s="13" t="s">
        <v>34</v>
      </c>
      <c r="J666" s="14"/>
      <c r="K666" s="13" t="s">
        <v>50</v>
      </c>
      <c r="L666" s="14"/>
    </row>
    <row r="667" spans="1:12" ht="15" customHeight="1" x14ac:dyDescent="0.25">
      <c r="A667" s="15" t="s">
        <v>53</v>
      </c>
      <c r="B667" s="16"/>
      <c r="C667" s="16"/>
      <c r="D667" s="16"/>
      <c r="E667" s="16"/>
      <c r="F667" s="16"/>
      <c r="G667" s="16"/>
      <c r="H667" s="16"/>
      <c r="I667" s="16"/>
      <c r="J667" s="17"/>
      <c r="K667" s="15">
        <v>0</v>
      </c>
      <c r="L667" s="17"/>
    </row>
    <row r="668" spans="1:12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</row>
    <row r="669" spans="1:12" ht="15" customHeight="1" x14ac:dyDescent="0.25">
      <c r="A669" s="10" t="s">
        <v>54</v>
      </c>
      <c r="B669" s="11"/>
      <c r="C669" s="12"/>
      <c r="D669" s="8" t="s">
        <v>21</v>
      </c>
      <c r="E669" s="8" t="s">
        <v>22</v>
      </c>
      <c r="F669" s="9" t="s">
        <v>55</v>
      </c>
      <c r="G669" s="8" t="s">
        <v>56</v>
      </c>
      <c r="H669" s="8" t="s">
        <v>57</v>
      </c>
      <c r="I669" s="8" t="s">
        <v>58</v>
      </c>
      <c r="J669" s="9" t="s">
        <v>59</v>
      </c>
      <c r="K669" s="9" t="s">
        <v>34</v>
      </c>
      <c r="L669" s="9" t="s">
        <v>50</v>
      </c>
    </row>
    <row r="670" spans="1:12" ht="15" customHeight="1" x14ac:dyDescent="0.25">
      <c r="A670" s="15" t="s">
        <v>60</v>
      </c>
      <c r="B670" s="16"/>
      <c r="C670" s="16"/>
      <c r="D670" s="16"/>
      <c r="E670" s="16"/>
      <c r="F670" s="16"/>
      <c r="G670" s="16"/>
      <c r="H670" s="16"/>
      <c r="I670" s="16"/>
      <c r="J670" s="17"/>
      <c r="K670" s="15">
        <v>0</v>
      </c>
      <c r="L670" s="17"/>
    </row>
    <row r="671" spans="1:12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</row>
    <row r="672" spans="1:12" ht="15" customHeight="1" x14ac:dyDescent="0.25">
      <c r="A672" s="27" t="s">
        <v>61</v>
      </c>
      <c r="B672" s="27"/>
      <c r="C672" s="27"/>
      <c r="D672" s="27"/>
      <c r="E672" s="27"/>
      <c r="F672" s="27"/>
      <c r="G672" s="27"/>
      <c r="H672" s="27"/>
      <c r="I672" s="27"/>
      <c r="J672" s="27"/>
      <c r="K672" s="27">
        <v>68.88</v>
      </c>
      <c r="L672" s="27"/>
    </row>
    <row r="673" spans="1:12" ht="15" customHeight="1" x14ac:dyDescent="0.25">
      <c r="A673" s="27" t="s">
        <v>62</v>
      </c>
      <c r="B673" s="27"/>
      <c r="C673" s="27"/>
      <c r="D673" s="27"/>
      <c r="E673" s="27"/>
      <c r="F673" s="27"/>
      <c r="G673" s="27"/>
      <c r="H673" s="27"/>
      <c r="I673" s="27"/>
      <c r="J673" s="27"/>
      <c r="K673" s="27">
        <v>22.9</v>
      </c>
      <c r="L673" s="27"/>
    </row>
    <row r="674" spans="1:12" ht="15" customHeight="1" x14ac:dyDescent="0.25">
      <c r="A674" s="27" t="s">
        <v>63</v>
      </c>
      <c r="B674" s="27"/>
      <c r="C674" s="27"/>
      <c r="D674" s="27"/>
      <c r="E674" s="27"/>
      <c r="F674" s="27"/>
      <c r="G674" s="27"/>
      <c r="H674" s="27"/>
      <c r="I674" s="27"/>
      <c r="J674" s="27"/>
      <c r="K674" s="27">
        <v>91.78</v>
      </c>
      <c r="L674" s="27"/>
    </row>
    <row r="675" spans="1:1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" customHeight="1" x14ac:dyDescent="0.25">
      <c r="A676" s="3" t="s">
        <v>8</v>
      </c>
      <c r="B676" s="6" t="s">
        <v>9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spans="1:12" ht="15" customHeight="1" x14ac:dyDescent="0.25">
      <c r="A677" s="3" t="s">
        <v>10</v>
      </c>
      <c r="B677" s="6" t="s">
        <v>103</v>
      </c>
      <c r="C677" s="6"/>
      <c r="D677" s="6"/>
      <c r="E677" s="6"/>
      <c r="F677" s="6"/>
      <c r="G677" s="6"/>
      <c r="H677" s="6"/>
      <c r="I677" s="6"/>
      <c r="J677" s="6"/>
      <c r="K677" s="3" t="s">
        <v>12</v>
      </c>
      <c r="L677" s="4" t="s">
        <v>68</v>
      </c>
    </row>
    <row r="678" spans="1:12" ht="15" customHeight="1" x14ac:dyDescent="0.25">
      <c r="A678" s="3" t="s">
        <v>14</v>
      </c>
      <c r="B678" s="6" t="s">
        <v>15</v>
      </c>
      <c r="C678" s="6"/>
      <c r="D678" s="7" t="s">
        <v>16</v>
      </c>
      <c r="E678" s="7"/>
      <c r="F678" s="6" t="str">
        <f>"030304"</f>
        <v>030304</v>
      </c>
      <c r="G678" s="6"/>
      <c r="H678" s="3" t="s">
        <v>17</v>
      </c>
      <c r="I678" s="6" t="s">
        <v>18</v>
      </c>
      <c r="J678" s="6"/>
      <c r="K678" s="3" t="s">
        <v>19</v>
      </c>
      <c r="L678" s="5">
        <v>1</v>
      </c>
    </row>
    <row r="679" spans="1:1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" customHeight="1" x14ac:dyDescent="0.25">
      <c r="A680" s="10" t="s">
        <v>20</v>
      </c>
      <c r="B680" s="11"/>
      <c r="C680" s="12"/>
      <c r="D680" s="8" t="s">
        <v>21</v>
      </c>
      <c r="E680" s="8" t="s">
        <v>22</v>
      </c>
      <c r="F680" s="9" t="s">
        <v>23</v>
      </c>
      <c r="G680" s="9" t="s">
        <v>24</v>
      </c>
      <c r="H680" s="9" t="s">
        <v>25</v>
      </c>
      <c r="I680" s="9" t="s">
        <v>26</v>
      </c>
      <c r="J680" s="9" t="s">
        <v>27</v>
      </c>
      <c r="K680" s="13" t="s">
        <v>28</v>
      </c>
      <c r="L680" s="14"/>
    </row>
    <row r="681" spans="1:12" ht="15" customHeight="1" x14ac:dyDescent="0.25">
      <c r="A681" s="15" t="s">
        <v>29</v>
      </c>
      <c r="B681" s="16"/>
      <c r="C681" s="16"/>
      <c r="D681" s="16"/>
      <c r="E681" s="16"/>
      <c r="F681" s="16"/>
      <c r="G681" s="16"/>
      <c r="H681" s="16"/>
      <c r="I681" s="16"/>
      <c r="J681" s="17"/>
      <c r="K681" s="15">
        <v>0</v>
      </c>
      <c r="L681" s="17"/>
    </row>
    <row r="682" spans="1:12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</row>
    <row r="683" spans="1:12" ht="15" customHeight="1" x14ac:dyDescent="0.25">
      <c r="A683" s="10" t="s">
        <v>30</v>
      </c>
      <c r="B683" s="11"/>
      <c r="C683" s="12"/>
      <c r="D683" s="8" t="s">
        <v>21</v>
      </c>
      <c r="E683" s="8" t="s">
        <v>22</v>
      </c>
      <c r="F683" s="9" t="s">
        <v>31</v>
      </c>
      <c r="G683" s="9" t="s">
        <v>32</v>
      </c>
      <c r="H683" s="9" t="s">
        <v>33</v>
      </c>
      <c r="I683" s="13" t="s">
        <v>34</v>
      </c>
      <c r="J683" s="14"/>
      <c r="K683" s="13" t="s">
        <v>28</v>
      </c>
      <c r="L683" s="14"/>
    </row>
    <row r="684" spans="1:12" ht="15" customHeight="1" x14ac:dyDescent="0.25">
      <c r="A684" s="21" t="s">
        <v>37</v>
      </c>
      <c r="B684" s="22"/>
      <c r="C684" s="23"/>
      <c r="D684" s="19" t="str">
        <f>"010146"</f>
        <v>010146</v>
      </c>
      <c r="E684" s="19" t="s">
        <v>36</v>
      </c>
      <c r="F684" s="20">
        <v>7.65</v>
      </c>
      <c r="G684" s="20">
        <v>157.27000000000001</v>
      </c>
      <c r="H684" s="20">
        <v>19.68</v>
      </c>
      <c r="I684" s="24">
        <v>0.63</v>
      </c>
      <c r="J684" s="25"/>
      <c r="K684" s="24">
        <v>12.39</v>
      </c>
      <c r="L684" s="25"/>
    </row>
    <row r="685" spans="1:12" ht="15" customHeight="1" x14ac:dyDescent="0.25">
      <c r="A685" s="15" t="s">
        <v>38</v>
      </c>
      <c r="B685" s="16"/>
      <c r="C685" s="16"/>
      <c r="D685" s="16"/>
      <c r="E685" s="16"/>
      <c r="F685" s="16"/>
      <c r="G685" s="16"/>
      <c r="H685" s="16"/>
      <c r="I685" s="16"/>
      <c r="J685" s="17"/>
      <c r="K685" s="15">
        <v>12.39</v>
      </c>
      <c r="L685" s="17"/>
    </row>
    <row r="686" spans="1:12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</row>
    <row r="687" spans="1:12" ht="15" customHeight="1" x14ac:dyDescent="0.25">
      <c r="A687" s="10" t="s">
        <v>39</v>
      </c>
      <c r="B687" s="11"/>
      <c r="C687" s="12"/>
      <c r="D687" s="8" t="s">
        <v>21</v>
      </c>
      <c r="E687" s="13" t="s">
        <v>40</v>
      </c>
      <c r="F687" s="14"/>
      <c r="G687" s="8" t="s">
        <v>41</v>
      </c>
      <c r="H687" s="8" t="s">
        <v>42</v>
      </c>
      <c r="I687" s="8" t="s">
        <v>43</v>
      </c>
      <c r="J687" s="13" t="s">
        <v>44</v>
      </c>
      <c r="K687" s="26"/>
      <c r="L687" s="14"/>
    </row>
    <row r="688" spans="1:12" ht="15" customHeight="1" x14ac:dyDescent="0.25">
      <c r="A688" s="15" t="s">
        <v>45</v>
      </c>
      <c r="B688" s="16"/>
      <c r="C688" s="16"/>
      <c r="D688" s="16"/>
      <c r="E688" s="16"/>
      <c r="F688" s="16"/>
      <c r="G688" s="16"/>
      <c r="H688" s="16"/>
      <c r="I688" s="16"/>
      <c r="J688" s="17"/>
      <c r="K688" s="15">
        <v>0</v>
      </c>
      <c r="L688" s="17"/>
    </row>
    <row r="689" spans="1:12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</row>
    <row r="690" spans="1:12" ht="15" customHeight="1" x14ac:dyDescent="0.25">
      <c r="A690" s="27" t="s">
        <v>46</v>
      </c>
      <c r="B690" s="27"/>
      <c r="C690" s="27"/>
      <c r="D690" s="27"/>
      <c r="E690" s="27"/>
      <c r="F690" s="27"/>
      <c r="G690" s="27"/>
      <c r="H690" s="27"/>
      <c r="I690" s="27"/>
      <c r="J690" s="27"/>
      <c r="K690" s="27">
        <v>12.39</v>
      </c>
      <c r="L690" s="27"/>
    </row>
    <row r="691" spans="1:12" ht="15" customHeight="1" x14ac:dyDescent="0.25">
      <c r="A691" s="27" t="s">
        <v>47</v>
      </c>
      <c r="B691" s="27"/>
      <c r="C691" s="27"/>
      <c r="D691" s="27"/>
      <c r="E691" s="27"/>
      <c r="F691" s="27"/>
      <c r="G691" s="27"/>
      <c r="H691" s="27"/>
      <c r="I691" s="27"/>
      <c r="J691" s="27"/>
      <c r="K691" s="27">
        <v>1</v>
      </c>
      <c r="L691" s="27"/>
    </row>
    <row r="692" spans="1:12" ht="15" customHeight="1" x14ac:dyDescent="0.25">
      <c r="A692" s="27" t="s">
        <v>48</v>
      </c>
      <c r="B692" s="27"/>
      <c r="C692" s="27"/>
      <c r="D692" s="27"/>
      <c r="E692" s="27"/>
      <c r="F692" s="27"/>
      <c r="G692" s="27"/>
      <c r="H692" s="27"/>
      <c r="I692" s="27"/>
      <c r="J692" s="27"/>
      <c r="K692" s="27">
        <v>12.39</v>
      </c>
      <c r="L692" s="27"/>
    </row>
    <row r="693" spans="1:1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" customHeight="1" x14ac:dyDescent="0.25">
      <c r="A694" s="10" t="s">
        <v>49</v>
      </c>
      <c r="B694" s="11"/>
      <c r="C694" s="11"/>
      <c r="D694" s="11"/>
      <c r="E694" s="12"/>
      <c r="F694" s="8" t="s">
        <v>21</v>
      </c>
      <c r="G694" s="8" t="s">
        <v>22</v>
      </c>
      <c r="H694" s="9" t="s">
        <v>44</v>
      </c>
      <c r="I694" s="13" t="s">
        <v>34</v>
      </c>
      <c r="J694" s="14"/>
      <c r="K694" s="13" t="s">
        <v>50</v>
      </c>
      <c r="L694" s="14"/>
    </row>
    <row r="695" spans="1:12" ht="15" customHeight="1" x14ac:dyDescent="0.25">
      <c r="A695" s="21" t="s">
        <v>104</v>
      </c>
      <c r="B695" s="22"/>
      <c r="C695" s="22"/>
      <c r="D695" s="22"/>
      <c r="E695" s="23"/>
      <c r="F695" s="19" t="str">
        <f>"070114"</f>
        <v>070114</v>
      </c>
      <c r="G695" s="19" t="s">
        <v>105</v>
      </c>
      <c r="H695" s="20">
        <v>72</v>
      </c>
      <c r="I695" s="24">
        <v>1</v>
      </c>
      <c r="J695" s="25"/>
      <c r="K695" s="24">
        <v>72</v>
      </c>
      <c r="L695" s="25"/>
    </row>
    <row r="696" spans="1:12" ht="15" customHeight="1" x14ac:dyDescent="0.25">
      <c r="A696" s="15" t="s">
        <v>51</v>
      </c>
      <c r="B696" s="16"/>
      <c r="C696" s="16"/>
      <c r="D696" s="16"/>
      <c r="E696" s="16"/>
      <c r="F696" s="16"/>
      <c r="G696" s="16"/>
      <c r="H696" s="16"/>
      <c r="I696" s="16"/>
      <c r="J696" s="17"/>
      <c r="K696" s="15">
        <v>72</v>
      </c>
      <c r="L696" s="17"/>
    </row>
    <row r="697" spans="1:12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</row>
    <row r="698" spans="1:12" ht="15" customHeight="1" x14ac:dyDescent="0.25">
      <c r="A698" s="10" t="s">
        <v>52</v>
      </c>
      <c r="B698" s="11"/>
      <c r="C698" s="11"/>
      <c r="D698" s="11"/>
      <c r="E698" s="12"/>
      <c r="F698" s="8" t="s">
        <v>21</v>
      </c>
      <c r="G698" s="8" t="s">
        <v>22</v>
      </c>
      <c r="H698" s="9" t="s">
        <v>44</v>
      </c>
      <c r="I698" s="13" t="s">
        <v>34</v>
      </c>
      <c r="J698" s="14"/>
      <c r="K698" s="13" t="s">
        <v>50</v>
      </c>
      <c r="L698" s="14"/>
    </row>
    <row r="699" spans="1:12" ht="15" customHeight="1" x14ac:dyDescent="0.25">
      <c r="A699" s="15" t="s">
        <v>53</v>
      </c>
      <c r="B699" s="16"/>
      <c r="C699" s="16"/>
      <c r="D699" s="16"/>
      <c r="E699" s="16"/>
      <c r="F699" s="16"/>
      <c r="G699" s="16"/>
      <c r="H699" s="16"/>
      <c r="I699" s="16"/>
      <c r="J699" s="17"/>
      <c r="K699" s="15">
        <v>0</v>
      </c>
      <c r="L699" s="17"/>
    </row>
    <row r="700" spans="1:12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</row>
    <row r="701" spans="1:12" ht="15" customHeight="1" x14ac:dyDescent="0.25">
      <c r="A701" s="10" t="s">
        <v>54</v>
      </c>
      <c r="B701" s="11"/>
      <c r="C701" s="12"/>
      <c r="D701" s="8" t="s">
        <v>21</v>
      </c>
      <c r="E701" s="8" t="s">
        <v>22</v>
      </c>
      <c r="F701" s="9" t="s">
        <v>55</v>
      </c>
      <c r="G701" s="8" t="s">
        <v>56</v>
      </c>
      <c r="H701" s="8" t="s">
        <v>57</v>
      </c>
      <c r="I701" s="8" t="s">
        <v>58</v>
      </c>
      <c r="J701" s="9" t="s">
        <v>59</v>
      </c>
      <c r="K701" s="9" t="s">
        <v>34</v>
      </c>
      <c r="L701" s="9" t="s">
        <v>50</v>
      </c>
    </row>
    <row r="702" spans="1:12" ht="15" customHeight="1" x14ac:dyDescent="0.25">
      <c r="A702" s="15" t="s">
        <v>60</v>
      </c>
      <c r="B702" s="16"/>
      <c r="C702" s="16"/>
      <c r="D702" s="16"/>
      <c r="E702" s="16"/>
      <c r="F702" s="16"/>
      <c r="G702" s="16"/>
      <c r="H702" s="16"/>
      <c r="I702" s="16"/>
      <c r="J702" s="17"/>
      <c r="K702" s="15">
        <v>0</v>
      </c>
      <c r="L702" s="17"/>
    </row>
    <row r="703" spans="1:12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</row>
    <row r="704" spans="1:12" ht="15" customHeight="1" x14ac:dyDescent="0.25">
      <c r="A704" s="27" t="s">
        <v>61</v>
      </c>
      <c r="B704" s="27"/>
      <c r="C704" s="27"/>
      <c r="D704" s="27"/>
      <c r="E704" s="27"/>
      <c r="F704" s="27"/>
      <c r="G704" s="27"/>
      <c r="H704" s="27"/>
      <c r="I704" s="27"/>
      <c r="J704" s="27"/>
      <c r="K704" s="27">
        <v>84.39</v>
      </c>
      <c r="L704" s="27"/>
    </row>
    <row r="705" spans="1:12" ht="15" customHeight="1" x14ac:dyDescent="0.25">
      <c r="A705" s="27" t="s">
        <v>62</v>
      </c>
      <c r="B705" s="27"/>
      <c r="C705" s="27"/>
      <c r="D705" s="27"/>
      <c r="E705" s="27"/>
      <c r="F705" s="27"/>
      <c r="G705" s="27"/>
      <c r="H705" s="27"/>
      <c r="I705" s="27"/>
      <c r="J705" s="27"/>
      <c r="K705" s="27">
        <v>28.06</v>
      </c>
      <c r="L705" s="27"/>
    </row>
    <row r="706" spans="1:12" ht="15" customHeight="1" x14ac:dyDescent="0.25">
      <c r="A706" s="27" t="s">
        <v>63</v>
      </c>
      <c r="B706" s="27"/>
      <c r="C706" s="27"/>
      <c r="D706" s="27"/>
      <c r="E706" s="27"/>
      <c r="F706" s="27"/>
      <c r="G706" s="27"/>
      <c r="H706" s="27"/>
      <c r="I706" s="27"/>
      <c r="J706" s="27"/>
      <c r="K706" s="27">
        <v>112.45</v>
      </c>
      <c r="L706" s="27"/>
    </row>
    <row r="707" spans="1:1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" customHeight="1" x14ac:dyDescent="0.25">
      <c r="A708" s="3" t="s">
        <v>8</v>
      </c>
      <c r="B708" s="6" t="s">
        <v>9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spans="1:12" ht="15" customHeight="1" x14ac:dyDescent="0.25">
      <c r="A709" s="3" t="s">
        <v>10</v>
      </c>
      <c r="B709" s="6" t="s">
        <v>106</v>
      </c>
      <c r="C709" s="6"/>
      <c r="D709" s="6"/>
      <c r="E709" s="6"/>
      <c r="F709" s="6"/>
      <c r="G709" s="6"/>
      <c r="H709" s="6"/>
      <c r="I709" s="6"/>
      <c r="J709" s="6"/>
      <c r="K709" s="3" t="s">
        <v>12</v>
      </c>
      <c r="L709" s="4" t="s">
        <v>87</v>
      </c>
    </row>
    <row r="710" spans="1:12" ht="15" customHeight="1" x14ac:dyDescent="0.25">
      <c r="A710" s="3" t="s">
        <v>14</v>
      </c>
      <c r="B710" s="6" t="s">
        <v>15</v>
      </c>
      <c r="C710" s="6"/>
      <c r="D710" s="7" t="s">
        <v>16</v>
      </c>
      <c r="E710" s="7"/>
      <c r="F710" s="6" t="str">
        <f>"050301"</f>
        <v>050301</v>
      </c>
      <c r="G710" s="6"/>
      <c r="H710" s="3" t="s">
        <v>17</v>
      </c>
      <c r="I710" s="6" t="s">
        <v>18</v>
      </c>
      <c r="J710" s="6"/>
      <c r="K710" s="3" t="s">
        <v>19</v>
      </c>
      <c r="L710" s="5">
        <v>2</v>
      </c>
    </row>
    <row r="711" spans="1:1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" customHeight="1" x14ac:dyDescent="0.25">
      <c r="A712" s="10" t="s">
        <v>20</v>
      </c>
      <c r="B712" s="11"/>
      <c r="C712" s="12"/>
      <c r="D712" s="8" t="s">
        <v>21</v>
      </c>
      <c r="E712" s="8" t="s">
        <v>22</v>
      </c>
      <c r="F712" s="9" t="s">
        <v>23</v>
      </c>
      <c r="G712" s="9" t="s">
        <v>24</v>
      </c>
      <c r="H712" s="9" t="s">
        <v>25</v>
      </c>
      <c r="I712" s="9" t="s">
        <v>26</v>
      </c>
      <c r="J712" s="9" t="s">
        <v>27</v>
      </c>
      <c r="K712" s="13" t="s">
        <v>28</v>
      </c>
      <c r="L712" s="14"/>
    </row>
    <row r="713" spans="1:12" ht="15" customHeight="1" x14ac:dyDescent="0.25">
      <c r="A713" s="15" t="s">
        <v>29</v>
      </c>
      <c r="B713" s="16"/>
      <c r="C713" s="16"/>
      <c r="D713" s="16"/>
      <c r="E713" s="16"/>
      <c r="F713" s="16"/>
      <c r="G713" s="16"/>
      <c r="H713" s="16"/>
      <c r="I713" s="16"/>
      <c r="J713" s="17"/>
      <c r="K713" s="15">
        <v>0</v>
      </c>
      <c r="L713" s="17"/>
    </row>
    <row r="714" spans="1:12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 spans="1:12" ht="15" customHeight="1" x14ac:dyDescent="0.25">
      <c r="A715" s="10" t="s">
        <v>30</v>
      </c>
      <c r="B715" s="11"/>
      <c r="C715" s="12"/>
      <c r="D715" s="8" t="s">
        <v>21</v>
      </c>
      <c r="E715" s="8" t="s">
        <v>22</v>
      </c>
      <c r="F715" s="9" t="s">
        <v>31</v>
      </c>
      <c r="G715" s="9" t="s">
        <v>32</v>
      </c>
      <c r="H715" s="9" t="s">
        <v>33</v>
      </c>
      <c r="I715" s="13" t="s">
        <v>34</v>
      </c>
      <c r="J715" s="14"/>
      <c r="K715" s="13" t="s">
        <v>28</v>
      </c>
      <c r="L715" s="14"/>
    </row>
    <row r="716" spans="1:12" ht="15" customHeight="1" x14ac:dyDescent="0.25">
      <c r="A716" s="21" t="s">
        <v>69</v>
      </c>
      <c r="B716" s="22"/>
      <c r="C716" s="23"/>
      <c r="D716" s="19" t="str">
        <f>"010139"</f>
        <v>010139</v>
      </c>
      <c r="E716" s="19" t="s">
        <v>36</v>
      </c>
      <c r="F716" s="20">
        <v>10.119999999999999</v>
      </c>
      <c r="G716" s="20">
        <v>157.27000000000001</v>
      </c>
      <c r="H716" s="20">
        <v>26.03</v>
      </c>
      <c r="I716" s="24">
        <v>0.21299999999999999</v>
      </c>
      <c r="J716" s="25"/>
      <c r="K716" s="24">
        <v>5.54</v>
      </c>
      <c r="L716" s="25"/>
    </row>
    <row r="717" spans="1:12" ht="15" customHeight="1" x14ac:dyDescent="0.25">
      <c r="A717" s="21" t="s">
        <v>37</v>
      </c>
      <c r="B717" s="22"/>
      <c r="C717" s="23"/>
      <c r="D717" s="19" t="str">
        <f>"010146"</f>
        <v>010146</v>
      </c>
      <c r="E717" s="19" t="s">
        <v>36</v>
      </c>
      <c r="F717" s="20">
        <v>7.65</v>
      </c>
      <c r="G717" s="20">
        <v>157.27000000000001</v>
      </c>
      <c r="H717" s="20">
        <v>19.68</v>
      </c>
      <c r="I717" s="24">
        <v>0.107</v>
      </c>
      <c r="J717" s="25"/>
      <c r="K717" s="24">
        <v>2.1</v>
      </c>
      <c r="L717" s="25"/>
    </row>
    <row r="718" spans="1:12" ht="15" customHeight="1" x14ac:dyDescent="0.25">
      <c r="A718" s="15" t="s">
        <v>38</v>
      </c>
      <c r="B718" s="16"/>
      <c r="C718" s="16"/>
      <c r="D718" s="16"/>
      <c r="E718" s="16"/>
      <c r="F718" s="16"/>
      <c r="G718" s="16"/>
      <c r="H718" s="16"/>
      <c r="I718" s="16"/>
      <c r="J718" s="17"/>
      <c r="K718" s="15">
        <v>7.64</v>
      </c>
      <c r="L718" s="17"/>
    </row>
    <row r="719" spans="1:12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</row>
    <row r="720" spans="1:12" ht="15" customHeight="1" x14ac:dyDescent="0.25">
      <c r="A720" s="10" t="s">
        <v>39</v>
      </c>
      <c r="B720" s="11"/>
      <c r="C720" s="12"/>
      <c r="D720" s="8" t="s">
        <v>21</v>
      </c>
      <c r="E720" s="13" t="s">
        <v>40</v>
      </c>
      <c r="F720" s="14"/>
      <c r="G720" s="8" t="s">
        <v>41</v>
      </c>
      <c r="H720" s="8" t="s">
        <v>42</v>
      </c>
      <c r="I720" s="8" t="s">
        <v>43</v>
      </c>
      <c r="J720" s="13" t="s">
        <v>44</v>
      </c>
      <c r="K720" s="26"/>
      <c r="L720" s="14"/>
    </row>
    <row r="721" spans="1:12" ht="15" customHeight="1" x14ac:dyDescent="0.25">
      <c r="A721" s="15" t="s">
        <v>45</v>
      </c>
      <c r="B721" s="16"/>
      <c r="C721" s="16"/>
      <c r="D721" s="16"/>
      <c r="E721" s="16"/>
      <c r="F721" s="16"/>
      <c r="G721" s="16"/>
      <c r="H721" s="16"/>
      <c r="I721" s="16"/>
      <c r="J721" s="17"/>
      <c r="K721" s="15">
        <v>0</v>
      </c>
      <c r="L721" s="17"/>
    </row>
    <row r="722" spans="1:12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</row>
    <row r="723" spans="1:12" ht="15" customHeight="1" x14ac:dyDescent="0.25">
      <c r="A723" s="27" t="s">
        <v>46</v>
      </c>
      <c r="B723" s="27"/>
      <c r="C723" s="27"/>
      <c r="D723" s="27"/>
      <c r="E723" s="27"/>
      <c r="F723" s="27"/>
      <c r="G723" s="27"/>
      <c r="H723" s="27"/>
      <c r="I723" s="27"/>
      <c r="J723" s="27"/>
      <c r="K723" s="27">
        <v>7.64</v>
      </c>
      <c r="L723" s="27"/>
    </row>
    <row r="724" spans="1:12" ht="15" customHeight="1" x14ac:dyDescent="0.25">
      <c r="A724" s="27" t="s">
        <v>47</v>
      </c>
      <c r="B724" s="27"/>
      <c r="C724" s="27"/>
      <c r="D724" s="27"/>
      <c r="E724" s="27"/>
      <c r="F724" s="27"/>
      <c r="G724" s="27"/>
      <c r="H724" s="27"/>
      <c r="I724" s="27"/>
      <c r="J724" s="27"/>
      <c r="K724" s="27">
        <v>1</v>
      </c>
      <c r="L724" s="27"/>
    </row>
    <row r="725" spans="1:12" ht="15" customHeight="1" x14ac:dyDescent="0.25">
      <c r="A725" s="27" t="s">
        <v>48</v>
      </c>
      <c r="B725" s="27"/>
      <c r="C725" s="27"/>
      <c r="D725" s="27"/>
      <c r="E725" s="27"/>
      <c r="F725" s="27"/>
      <c r="G725" s="27"/>
      <c r="H725" s="27"/>
      <c r="I725" s="27"/>
      <c r="J725" s="27"/>
      <c r="K725" s="27">
        <v>7.64</v>
      </c>
      <c r="L725" s="27"/>
    </row>
    <row r="726" spans="1:1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" customHeight="1" x14ac:dyDescent="0.25">
      <c r="A727" s="10" t="s">
        <v>49</v>
      </c>
      <c r="B727" s="11"/>
      <c r="C727" s="11"/>
      <c r="D727" s="11"/>
      <c r="E727" s="12"/>
      <c r="F727" s="8" t="s">
        <v>21</v>
      </c>
      <c r="G727" s="8" t="s">
        <v>22</v>
      </c>
      <c r="H727" s="9" t="s">
        <v>44</v>
      </c>
      <c r="I727" s="13" t="s">
        <v>34</v>
      </c>
      <c r="J727" s="14"/>
      <c r="K727" s="13" t="s">
        <v>50</v>
      </c>
      <c r="L727" s="14"/>
    </row>
    <row r="728" spans="1:12" ht="15" customHeight="1" x14ac:dyDescent="0.25">
      <c r="A728" s="21" t="s">
        <v>107</v>
      </c>
      <c r="B728" s="22"/>
      <c r="C728" s="22"/>
      <c r="D728" s="22"/>
      <c r="E728" s="23"/>
      <c r="F728" s="19" t="str">
        <f>"021566"</f>
        <v>021566</v>
      </c>
      <c r="G728" s="19" t="s">
        <v>81</v>
      </c>
      <c r="H728" s="20">
        <v>0.43</v>
      </c>
      <c r="I728" s="24">
        <v>6</v>
      </c>
      <c r="J728" s="25"/>
      <c r="K728" s="24">
        <v>2.58</v>
      </c>
      <c r="L728" s="25"/>
    </row>
    <row r="729" spans="1:12" ht="15" customHeight="1" x14ac:dyDescent="0.25">
      <c r="A729" s="21" t="s">
        <v>108</v>
      </c>
      <c r="B729" s="22"/>
      <c r="C729" s="22"/>
      <c r="D729" s="22"/>
      <c r="E729" s="23"/>
      <c r="F729" s="19" t="str">
        <f>"028008"</f>
        <v>028008</v>
      </c>
      <c r="G729" s="19" t="s">
        <v>109</v>
      </c>
      <c r="H729" s="20">
        <v>15.8</v>
      </c>
      <c r="I729" s="24">
        <v>8.0000000000000002E-3</v>
      </c>
      <c r="J729" s="25"/>
      <c r="K729" s="24">
        <v>0.12</v>
      </c>
      <c r="L729" s="25"/>
    </row>
    <row r="730" spans="1:12" ht="15" customHeight="1" x14ac:dyDescent="0.25">
      <c r="A730" s="15" t="s">
        <v>51</v>
      </c>
      <c r="B730" s="16"/>
      <c r="C730" s="16"/>
      <c r="D730" s="16"/>
      <c r="E730" s="16"/>
      <c r="F730" s="16"/>
      <c r="G730" s="16"/>
      <c r="H730" s="16"/>
      <c r="I730" s="16"/>
      <c r="J730" s="17"/>
      <c r="K730" s="15">
        <v>2.7</v>
      </c>
      <c r="L730" s="17"/>
    </row>
    <row r="731" spans="1:12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</row>
    <row r="732" spans="1:12" ht="15" customHeight="1" x14ac:dyDescent="0.25">
      <c r="A732" s="10" t="s">
        <v>52</v>
      </c>
      <c r="B732" s="11"/>
      <c r="C732" s="11"/>
      <c r="D732" s="11"/>
      <c r="E732" s="12"/>
      <c r="F732" s="8" t="s">
        <v>21</v>
      </c>
      <c r="G732" s="8" t="s">
        <v>22</v>
      </c>
      <c r="H732" s="9" t="s">
        <v>44</v>
      </c>
      <c r="I732" s="13" t="s">
        <v>34</v>
      </c>
      <c r="J732" s="14"/>
      <c r="K732" s="13" t="s">
        <v>50</v>
      </c>
      <c r="L732" s="14"/>
    </row>
    <row r="733" spans="1:12" ht="15" customHeight="1" x14ac:dyDescent="0.25">
      <c r="A733" s="21" t="s">
        <v>110</v>
      </c>
      <c r="B733" s="22"/>
      <c r="C733" s="22"/>
      <c r="D733" s="22"/>
      <c r="E733" s="23"/>
      <c r="F733" s="19" t="s">
        <v>111</v>
      </c>
      <c r="G733" s="19" t="s">
        <v>68</v>
      </c>
      <c r="H733" s="20">
        <v>2.1000000000000001E-2</v>
      </c>
      <c r="I733" s="24">
        <v>867.45</v>
      </c>
      <c r="J733" s="25"/>
      <c r="K733" s="24">
        <v>18.21</v>
      </c>
      <c r="L733" s="25"/>
    </row>
    <row r="734" spans="1:12" ht="15" customHeight="1" x14ac:dyDescent="0.25">
      <c r="A734" s="21" t="s">
        <v>112</v>
      </c>
      <c r="B734" s="22"/>
      <c r="C734" s="22"/>
      <c r="D734" s="22"/>
      <c r="E734" s="23"/>
      <c r="F734" s="19" t="s">
        <v>113</v>
      </c>
      <c r="G734" s="19" t="s">
        <v>114</v>
      </c>
      <c r="H734" s="20">
        <v>0.79</v>
      </c>
      <c r="I734" s="24">
        <v>10.56</v>
      </c>
      <c r="J734" s="25"/>
      <c r="K734" s="24">
        <v>8.34</v>
      </c>
      <c r="L734" s="25"/>
    </row>
    <row r="735" spans="1:12" ht="15" customHeight="1" x14ac:dyDescent="0.25">
      <c r="A735" s="21" t="s">
        <v>115</v>
      </c>
      <c r="B735" s="22"/>
      <c r="C735" s="22"/>
      <c r="D735" s="22"/>
      <c r="E735" s="23"/>
      <c r="F735" s="19" t="s">
        <v>116</v>
      </c>
      <c r="G735" s="19" t="s">
        <v>13</v>
      </c>
      <c r="H735" s="20">
        <v>7.5999999999999998E-2</v>
      </c>
      <c r="I735" s="24">
        <v>68.17</v>
      </c>
      <c r="J735" s="25"/>
      <c r="K735" s="24">
        <v>5.18</v>
      </c>
      <c r="L735" s="25"/>
    </row>
    <row r="736" spans="1:12" ht="15" customHeight="1" x14ac:dyDescent="0.25">
      <c r="A736" s="15" t="s">
        <v>53</v>
      </c>
      <c r="B736" s="16"/>
      <c r="C736" s="16"/>
      <c r="D736" s="16"/>
      <c r="E736" s="16"/>
      <c r="F736" s="16"/>
      <c r="G736" s="16"/>
      <c r="H736" s="16"/>
      <c r="I736" s="16"/>
      <c r="J736" s="17"/>
      <c r="K736" s="15">
        <v>31.73</v>
      </c>
      <c r="L736" s="17"/>
    </row>
    <row r="737" spans="1:12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</row>
    <row r="738" spans="1:12" ht="15" customHeight="1" x14ac:dyDescent="0.25">
      <c r="A738" s="10" t="s">
        <v>54</v>
      </c>
      <c r="B738" s="11"/>
      <c r="C738" s="12"/>
      <c r="D738" s="8" t="s">
        <v>21</v>
      </c>
      <c r="E738" s="8" t="s">
        <v>22</v>
      </c>
      <c r="F738" s="9" t="s">
        <v>55</v>
      </c>
      <c r="G738" s="8" t="s">
        <v>56</v>
      </c>
      <c r="H738" s="8" t="s">
        <v>57</v>
      </c>
      <c r="I738" s="8" t="s">
        <v>58</v>
      </c>
      <c r="J738" s="9" t="s">
        <v>59</v>
      </c>
      <c r="K738" s="9" t="s">
        <v>34</v>
      </c>
      <c r="L738" s="9" t="s">
        <v>50</v>
      </c>
    </row>
    <row r="739" spans="1:12" ht="15" customHeight="1" x14ac:dyDescent="0.25">
      <c r="A739" s="15" t="s">
        <v>60</v>
      </c>
      <c r="B739" s="16"/>
      <c r="C739" s="16"/>
      <c r="D739" s="16"/>
      <c r="E739" s="16"/>
      <c r="F739" s="16"/>
      <c r="G739" s="16"/>
      <c r="H739" s="16"/>
      <c r="I739" s="16"/>
      <c r="J739" s="17"/>
      <c r="K739" s="15">
        <v>0</v>
      </c>
      <c r="L739" s="17"/>
    </row>
    <row r="740" spans="1:12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</row>
    <row r="741" spans="1:12" ht="15" customHeight="1" x14ac:dyDescent="0.25">
      <c r="A741" s="27" t="s">
        <v>61</v>
      </c>
      <c r="B741" s="27"/>
      <c r="C741" s="27"/>
      <c r="D741" s="27"/>
      <c r="E741" s="27"/>
      <c r="F741" s="27"/>
      <c r="G741" s="27"/>
      <c r="H741" s="27"/>
      <c r="I741" s="27"/>
      <c r="J741" s="27"/>
      <c r="K741" s="27">
        <v>42.07</v>
      </c>
      <c r="L741" s="27"/>
    </row>
    <row r="742" spans="1:12" ht="15" customHeight="1" x14ac:dyDescent="0.25">
      <c r="A742" s="27" t="s">
        <v>62</v>
      </c>
      <c r="B742" s="27"/>
      <c r="C742" s="27"/>
      <c r="D742" s="27"/>
      <c r="E742" s="27"/>
      <c r="F742" s="27"/>
      <c r="G742" s="27"/>
      <c r="H742" s="27"/>
      <c r="I742" s="27"/>
      <c r="J742" s="27"/>
      <c r="K742" s="27">
        <v>13.99</v>
      </c>
      <c r="L742" s="27"/>
    </row>
    <row r="743" spans="1:12" ht="15" customHeight="1" x14ac:dyDescent="0.25">
      <c r="A743" s="27" t="s">
        <v>63</v>
      </c>
      <c r="B743" s="27"/>
      <c r="C743" s="27"/>
      <c r="D743" s="27"/>
      <c r="E743" s="27"/>
      <c r="F743" s="27"/>
      <c r="G743" s="27"/>
      <c r="H743" s="27"/>
      <c r="I743" s="27"/>
      <c r="J743" s="27"/>
      <c r="K743" s="27">
        <v>56.06</v>
      </c>
      <c r="L743" s="27"/>
    </row>
    <row r="744" spans="1:1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" customHeight="1" x14ac:dyDescent="0.25">
      <c r="A745" s="3" t="s">
        <v>8</v>
      </c>
      <c r="B745" s="6" t="s">
        <v>9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spans="1:12" ht="30" customHeight="1" x14ac:dyDescent="0.25">
      <c r="A746" s="3" t="s">
        <v>10</v>
      </c>
      <c r="B746" s="6" t="s">
        <v>117</v>
      </c>
      <c r="C746" s="6"/>
      <c r="D746" s="6"/>
      <c r="E746" s="6"/>
      <c r="F746" s="6"/>
      <c r="G746" s="6"/>
      <c r="H746" s="6"/>
      <c r="I746" s="6"/>
      <c r="J746" s="6"/>
      <c r="K746" s="3" t="s">
        <v>12</v>
      </c>
      <c r="L746" s="4" t="s">
        <v>13</v>
      </c>
    </row>
    <row r="747" spans="1:12" ht="15" customHeight="1" x14ac:dyDescent="0.25">
      <c r="A747" s="3" t="s">
        <v>14</v>
      </c>
      <c r="B747" s="6" t="s">
        <v>15</v>
      </c>
      <c r="C747" s="6"/>
      <c r="D747" s="7" t="s">
        <v>16</v>
      </c>
      <c r="E747" s="7"/>
      <c r="F747" s="6" t="str">
        <f>"050606"</f>
        <v>050606</v>
      </c>
      <c r="G747" s="6"/>
      <c r="H747" s="3" t="s">
        <v>17</v>
      </c>
      <c r="I747" s="6" t="s">
        <v>18</v>
      </c>
      <c r="J747" s="6"/>
      <c r="K747" s="3" t="s">
        <v>19</v>
      </c>
      <c r="L747" s="5">
        <v>2</v>
      </c>
    </row>
    <row r="748" spans="1:1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" customHeight="1" x14ac:dyDescent="0.25">
      <c r="A749" s="10" t="s">
        <v>20</v>
      </c>
      <c r="B749" s="11"/>
      <c r="C749" s="12"/>
      <c r="D749" s="8" t="s">
        <v>21</v>
      </c>
      <c r="E749" s="8" t="s">
        <v>22</v>
      </c>
      <c r="F749" s="9" t="s">
        <v>23</v>
      </c>
      <c r="G749" s="9" t="s">
        <v>24</v>
      </c>
      <c r="H749" s="9" t="s">
        <v>25</v>
      </c>
      <c r="I749" s="9" t="s">
        <v>26</v>
      </c>
      <c r="J749" s="9" t="s">
        <v>27</v>
      </c>
      <c r="K749" s="13" t="s">
        <v>28</v>
      </c>
      <c r="L749" s="14"/>
    </row>
    <row r="750" spans="1:12" ht="15" customHeight="1" x14ac:dyDescent="0.25">
      <c r="A750" s="15" t="s">
        <v>29</v>
      </c>
      <c r="B750" s="16"/>
      <c r="C750" s="16"/>
      <c r="D750" s="16"/>
      <c r="E750" s="16"/>
      <c r="F750" s="16"/>
      <c r="G750" s="16"/>
      <c r="H750" s="16"/>
      <c r="I750" s="16"/>
      <c r="J750" s="17"/>
      <c r="K750" s="15">
        <v>0</v>
      </c>
      <c r="L750" s="17"/>
    </row>
    <row r="751" spans="1:12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 spans="1:12" ht="15" customHeight="1" x14ac:dyDescent="0.25">
      <c r="A752" s="10" t="s">
        <v>30</v>
      </c>
      <c r="B752" s="11"/>
      <c r="C752" s="12"/>
      <c r="D752" s="8" t="s">
        <v>21</v>
      </c>
      <c r="E752" s="8" t="s">
        <v>22</v>
      </c>
      <c r="F752" s="9" t="s">
        <v>31</v>
      </c>
      <c r="G752" s="9" t="s">
        <v>32</v>
      </c>
      <c r="H752" s="9" t="s">
        <v>33</v>
      </c>
      <c r="I752" s="13" t="s">
        <v>34</v>
      </c>
      <c r="J752" s="14"/>
      <c r="K752" s="13" t="s">
        <v>28</v>
      </c>
      <c r="L752" s="14"/>
    </row>
    <row r="753" spans="1:12" ht="15" customHeight="1" x14ac:dyDescent="0.25">
      <c r="A753" s="21" t="s">
        <v>69</v>
      </c>
      <c r="B753" s="22"/>
      <c r="C753" s="23"/>
      <c r="D753" s="19" t="str">
        <f>"010139"</f>
        <v>010139</v>
      </c>
      <c r="E753" s="19" t="s">
        <v>36</v>
      </c>
      <c r="F753" s="20">
        <v>10.119999999999999</v>
      </c>
      <c r="G753" s="20">
        <v>157.27000000000001</v>
      </c>
      <c r="H753" s="20">
        <v>26.03</v>
      </c>
      <c r="I753" s="24">
        <v>0.64</v>
      </c>
      <c r="J753" s="25"/>
      <c r="K753" s="24">
        <v>16.649999999999999</v>
      </c>
      <c r="L753" s="25"/>
    </row>
    <row r="754" spans="1:12" ht="15" customHeight="1" x14ac:dyDescent="0.25">
      <c r="A754" s="21" t="s">
        <v>37</v>
      </c>
      <c r="B754" s="22"/>
      <c r="C754" s="23"/>
      <c r="D754" s="19" t="str">
        <f>"010146"</f>
        <v>010146</v>
      </c>
      <c r="E754" s="19" t="s">
        <v>36</v>
      </c>
      <c r="F754" s="20">
        <v>7.65</v>
      </c>
      <c r="G754" s="20">
        <v>157.27000000000001</v>
      </c>
      <c r="H754" s="20">
        <v>19.68</v>
      </c>
      <c r="I754" s="24">
        <v>0.38</v>
      </c>
      <c r="J754" s="25"/>
      <c r="K754" s="24">
        <v>7.47</v>
      </c>
      <c r="L754" s="25"/>
    </row>
    <row r="755" spans="1:12" ht="15" customHeight="1" x14ac:dyDescent="0.25">
      <c r="A755" s="15" t="s">
        <v>38</v>
      </c>
      <c r="B755" s="16"/>
      <c r="C755" s="16"/>
      <c r="D755" s="16"/>
      <c r="E755" s="16"/>
      <c r="F755" s="16"/>
      <c r="G755" s="16"/>
      <c r="H755" s="16"/>
      <c r="I755" s="16"/>
      <c r="J755" s="17"/>
      <c r="K755" s="15">
        <v>24.12</v>
      </c>
      <c r="L755" s="17"/>
    </row>
    <row r="756" spans="1:12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</row>
    <row r="757" spans="1:12" ht="15" customHeight="1" x14ac:dyDescent="0.25">
      <c r="A757" s="10" t="s">
        <v>39</v>
      </c>
      <c r="B757" s="11"/>
      <c r="C757" s="12"/>
      <c r="D757" s="8" t="s">
        <v>21</v>
      </c>
      <c r="E757" s="13" t="s">
        <v>40</v>
      </c>
      <c r="F757" s="14"/>
      <c r="G757" s="8" t="s">
        <v>41</v>
      </c>
      <c r="H757" s="8" t="s">
        <v>42</v>
      </c>
      <c r="I757" s="8" t="s">
        <v>43</v>
      </c>
      <c r="J757" s="13" t="s">
        <v>44</v>
      </c>
      <c r="K757" s="26"/>
      <c r="L757" s="14"/>
    </row>
    <row r="758" spans="1:12" ht="15" customHeight="1" x14ac:dyDescent="0.25">
      <c r="A758" s="15" t="s">
        <v>45</v>
      </c>
      <c r="B758" s="16"/>
      <c r="C758" s="16"/>
      <c r="D758" s="16"/>
      <c r="E758" s="16"/>
      <c r="F758" s="16"/>
      <c r="G758" s="16"/>
      <c r="H758" s="16"/>
      <c r="I758" s="16"/>
      <c r="J758" s="17"/>
      <c r="K758" s="15">
        <v>0</v>
      </c>
      <c r="L758" s="17"/>
    </row>
    <row r="759" spans="1:12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</row>
    <row r="760" spans="1:12" ht="15" customHeight="1" x14ac:dyDescent="0.25">
      <c r="A760" s="27" t="s">
        <v>46</v>
      </c>
      <c r="B760" s="27"/>
      <c r="C760" s="27"/>
      <c r="D760" s="27"/>
      <c r="E760" s="27"/>
      <c r="F760" s="27"/>
      <c r="G760" s="27"/>
      <c r="H760" s="27"/>
      <c r="I760" s="27"/>
      <c r="J760" s="27"/>
      <c r="K760" s="27">
        <v>24.12</v>
      </c>
      <c r="L760" s="27"/>
    </row>
    <row r="761" spans="1:12" ht="15" customHeight="1" x14ac:dyDescent="0.25">
      <c r="A761" s="27" t="s">
        <v>47</v>
      </c>
      <c r="B761" s="27"/>
      <c r="C761" s="27"/>
      <c r="D761" s="27"/>
      <c r="E761" s="27"/>
      <c r="F761" s="27"/>
      <c r="G761" s="27"/>
      <c r="H761" s="27"/>
      <c r="I761" s="27"/>
      <c r="J761" s="27"/>
      <c r="K761" s="27">
        <v>1</v>
      </c>
      <c r="L761" s="27"/>
    </row>
    <row r="762" spans="1:12" ht="15" customHeight="1" x14ac:dyDescent="0.25">
      <c r="A762" s="27" t="s">
        <v>48</v>
      </c>
      <c r="B762" s="27"/>
      <c r="C762" s="27"/>
      <c r="D762" s="27"/>
      <c r="E762" s="27"/>
      <c r="F762" s="27"/>
      <c r="G762" s="27"/>
      <c r="H762" s="27"/>
      <c r="I762" s="27"/>
      <c r="J762" s="27"/>
      <c r="K762" s="27">
        <v>24.12</v>
      </c>
      <c r="L762" s="27"/>
    </row>
    <row r="763" spans="1:1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" customHeight="1" x14ac:dyDescent="0.25">
      <c r="A764" s="10" t="s">
        <v>49</v>
      </c>
      <c r="B764" s="11"/>
      <c r="C764" s="11"/>
      <c r="D764" s="11"/>
      <c r="E764" s="12"/>
      <c r="F764" s="8" t="s">
        <v>21</v>
      </c>
      <c r="G764" s="8" t="s">
        <v>22</v>
      </c>
      <c r="H764" s="9" t="s">
        <v>44</v>
      </c>
      <c r="I764" s="13" t="s">
        <v>34</v>
      </c>
      <c r="J764" s="14"/>
      <c r="K764" s="13" t="s">
        <v>50</v>
      </c>
      <c r="L764" s="14"/>
    </row>
    <row r="765" spans="1:12" ht="15" customHeight="1" x14ac:dyDescent="0.25">
      <c r="A765" s="21" t="s">
        <v>118</v>
      </c>
      <c r="B765" s="22"/>
      <c r="C765" s="22"/>
      <c r="D765" s="22"/>
      <c r="E765" s="23"/>
      <c r="F765" s="19" t="str">
        <f>"022586"</f>
        <v>022586</v>
      </c>
      <c r="G765" s="19" t="s">
        <v>81</v>
      </c>
      <c r="H765" s="20">
        <v>0.78</v>
      </c>
      <c r="I765" s="24">
        <v>26.25</v>
      </c>
      <c r="J765" s="25"/>
      <c r="K765" s="24">
        <v>20.47</v>
      </c>
      <c r="L765" s="25"/>
    </row>
    <row r="766" spans="1:12" ht="15" customHeight="1" x14ac:dyDescent="0.25">
      <c r="A766" s="15" t="s">
        <v>51</v>
      </c>
      <c r="B766" s="16"/>
      <c r="C766" s="16"/>
      <c r="D766" s="16"/>
      <c r="E766" s="16"/>
      <c r="F766" s="16"/>
      <c r="G766" s="16"/>
      <c r="H766" s="16"/>
      <c r="I766" s="16"/>
      <c r="J766" s="17"/>
      <c r="K766" s="15">
        <v>20.47</v>
      </c>
      <c r="L766" s="17"/>
    </row>
    <row r="767" spans="1:12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</row>
    <row r="768" spans="1:12" ht="15" customHeight="1" x14ac:dyDescent="0.25">
      <c r="A768" s="10" t="s">
        <v>52</v>
      </c>
      <c r="B768" s="11"/>
      <c r="C768" s="11"/>
      <c r="D768" s="11"/>
      <c r="E768" s="12"/>
      <c r="F768" s="8" t="s">
        <v>21</v>
      </c>
      <c r="G768" s="8" t="s">
        <v>22</v>
      </c>
      <c r="H768" s="9" t="s">
        <v>44</v>
      </c>
      <c r="I768" s="13" t="s">
        <v>34</v>
      </c>
      <c r="J768" s="14"/>
      <c r="K768" s="13" t="s">
        <v>50</v>
      </c>
      <c r="L768" s="14"/>
    </row>
    <row r="769" spans="1:12" ht="15" customHeight="1" x14ac:dyDescent="0.25">
      <c r="A769" s="21" t="s">
        <v>119</v>
      </c>
      <c r="B769" s="22"/>
      <c r="C769" s="22"/>
      <c r="D769" s="22"/>
      <c r="E769" s="23"/>
      <c r="F769" s="19" t="s">
        <v>120</v>
      </c>
      <c r="G769" s="19" t="s">
        <v>68</v>
      </c>
      <c r="H769" s="20">
        <v>1.38E-2</v>
      </c>
      <c r="I769" s="24">
        <v>420.02</v>
      </c>
      <c r="J769" s="25"/>
      <c r="K769" s="24">
        <v>5.79</v>
      </c>
      <c r="L769" s="25"/>
    </row>
    <row r="770" spans="1:12" ht="15" customHeight="1" x14ac:dyDescent="0.25">
      <c r="A770" s="15" t="s">
        <v>53</v>
      </c>
      <c r="B770" s="16"/>
      <c r="C770" s="16"/>
      <c r="D770" s="16"/>
      <c r="E770" s="16"/>
      <c r="F770" s="16"/>
      <c r="G770" s="16"/>
      <c r="H770" s="16"/>
      <c r="I770" s="16"/>
      <c r="J770" s="17"/>
      <c r="K770" s="15">
        <v>5.79</v>
      </c>
      <c r="L770" s="17"/>
    </row>
    <row r="771" spans="1:1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</row>
    <row r="772" spans="1:12" ht="15" customHeight="1" x14ac:dyDescent="0.25">
      <c r="A772" s="10" t="s">
        <v>54</v>
      </c>
      <c r="B772" s="11"/>
      <c r="C772" s="12"/>
      <c r="D772" s="8" t="s">
        <v>21</v>
      </c>
      <c r="E772" s="8" t="s">
        <v>22</v>
      </c>
      <c r="F772" s="9" t="s">
        <v>55</v>
      </c>
      <c r="G772" s="8" t="s">
        <v>56</v>
      </c>
      <c r="H772" s="8" t="s">
        <v>57</v>
      </c>
      <c r="I772" s="8" t="s">
        <v>58</v>
      </c>
      <c r="J772" s="9" t="s">
        <v>59</v>
      </c>
      <c r="K772" s="9" t="s">
        <v>34</v>
      </c>
      <c r="L772" s="9" t="s">
        <v>50</v>
      </c>
    </row>
    <row r="773" spans="1:12" ht="15" customHeight="1" x14ac:dyDescent="0.25">
      <c r="A773" s="15" t="s">
        <v>60</v>
      </c>
      <c r="B773" s="16"/>
      <c r="C773" s="16"/>
      <c r="D773" s="16"/>
      <c r="E773" s="16"/>
      <c r="F773" s="16"/>
      <c r="G773" s="16"/>
      <c r="H773" s="16"/>
      <c r="I773" s="16"/>
      <c r="J773" s="17"/>
      <c r="K773" s="15">
        <v>0</v>
      </c>
      <c r="L773" s="17"/>
    </row>
    <row r="774" spans="1:12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</row>
    <row r="775" spans="1:12" ht="15" customHeight="1" x14ac:dyDescent="0.25">
      <c r="A775" s="27" t="s">
        <v>61</v>
      </c>
      <c r="B775" s="27"/>
      <c r="C775" s="27"/>
      <c r="D775" s="27"/>
      <c r="E775" s="27"/>
      <c r="F775" s="27"/>
      <c r="G775" s="27"/>
      <c r="H775" s="27"/>
      <c r="I775" s="27"/>
      <c r="J775" s="27"/>
      <c r="K775" s="27">
        <v>50.38</v>
      </c>
      <c r="L775" s="27"/>
    </row>
    <row r="776" spans="1:12" ht="15" customHeight="1" x14ac:dyDescent="0.25">
      <c r="A776" s="27" t="s">
        <v>62</v>
      </c>
      <c r="B776" s="27"/>
      <c r="C776" s="27"/>
      <c r="D776" s="27"/>
      <c r="E776" s="27"/>
      <c r="F776" s="27"/>
      <c r="G776" s="27"/>
      <c r="H776" s="27"/>
      <c r="I776" s="27"/>
      <c r="J776" s="27"/>
      <c r="K776" s="27">
        <v>16.75</v>
      </c>
      <c r="L776" s="27"/>
    </row>
    <row r="777" spans="1:12" ht="15" customHeight="1" x14ac:dyDescent="0.25">
      <c r="A777" s="27" t="s">
        <v>63</v>
      </c>
      <c r="B777" s="27"/>
      <c r="C777" s="27"/>
      <c r="D777" s="27"/>
      <c r="E777" s="27"/>
      <c r="F777" s="27"/>
      <c r="G777" s="27"/>
      <c r="H777" s="27"/>
      <c r="I777" s="27"/>
      <c r="J777" s="27"/>
      <c r="K777" s="27">
        <v>67.13</v>
      </c>
      <c r="L777" s="27"/>
    </row>
    <row r="778" spans="1:1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" customHeight="1" x14ac:dyDescent="0.25">
      <c r="A779" s="3" t="s">
        <v>8</v>
      </c>
      <c r="B779" s="6" t="s">
        <v>9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 spans="1:12" ht="15" customHeight="1" x14ac:dyDescent="0.25">
      <c r="A780" s="3" t="s">
        <v>10</v>
      </c>
      <c r="B780" s="6" t="s">
        <v>121</v>
      </c>
      <c r="C780" s="6"/>
      <c r="D780" s="6"/>
      <c r="E780" s="6"/>
      <c r="F780" s="6"/>
      <c r="G780" s="6"/>
      <c r="H780" s="6"/>
      <c r="I780" s="6"/>
      <c r="J780" s="6"/>
      <c r="K780" s="3" t="s">
        <v>12</v>
      </c>
      <c r="L780" s="4" t="s">
        <v>84</v>
      </c>
    </row>
    <row r="781" spans="1:12" ht="15" customHeight="1" x14ac:dyDescent="0.25">
      <c r="A781" s="3" t="s">
        <v>14</v>
      </c>
      <c r="B781" s="6" t="s">
        <v>15</v>
      </c>
      <c r="C781" s="6"/>
      <c r="D781" s="7" t="s">
        <v>16</v>
      </c>
      <c r="E781" s="7"/>
      <c r="F781" s="6" t="str">
        <f>"060103"</f>
        <v>060103</v>
      </c>
      <c r="G781" s="6"/>
      <c r="H781" s="3" t="s">
        <v>17</v>
      </c>
      <c r="I781" s="6" t="s">
        <v>18</v>
      </c>
      <c r="J781" s="6"/>
      <c r="K781" s="3" t="s">
        <v>19</v>
      </c>
      <c r="L781" s="5">
        <v>1</v>
      </c>
    </row>
    <row r="782" spans="1:1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" customHeight="1" x14ac:dyDescent="0.25">
      <c r="A783" s="10" t="s">
        <v>20</v>
      </c>
      <c r="B783" s="11"/>
      <c r="C783" s="12"/>
      <c r="D783" s="8" t="s">
        <v>21</v>
      </c>
      <c r="E783" s="8" t="s">
        <v>22</v>
      </c>
      <c r="F783" s="9" t="s">
        <v>23</v>
      </c>
      <c r="G783" s="9" t="s">
        <v>24</v>
      </c>
      <c r="H783" s="9" t="s">
        <v>25</v>
      </c>
      <c r="I783" s="9" t="s">
        <v>26</v>
      </c>
      <c r="J783" s="9" t="s">
        <v>27</v>
      </c>
      <c r="K783" s="13" t="s">
        <v>28</v>
      </c>
      <c r="L783" s="14"/>
    </row>
    <row r="784" spans="1:12" ht="15" customHeight="1" x14ac:dyDescent="0.25">
      <c r="A784" s="15" t="s">
        <v>29</v>
      </c>
      <c r="B784" s="16"/>
      <c r="C784" s="16"/>
      <c r="D784" s="16"/>
      <c r="E784" s="16"/>
      <c r="F784" s="16"/>
      <c r="G784" s="16"/>
      <c r="H784" s="16"/>
      <c r="I784" s="16"/>
      <c r="J784" s="17"/>
      <c r="K784" s="15">
        <v>0</v>
      </c>
      <c r="L784" s="17"/>
    </row>
    <row r="785" spans="1:12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</row>
    <row r="786" spans="1:12" ht="15" customHeight="1" x14ac:dyDescent="0.25">
      <c r="A786" s="10" t="s">
        <v>30</v>
      </c>
      <c r="B786" s="11"/>
      <c r="C786" s="12"/>
      <c r="D786" s="8" t="s">
        <v>21</v>
      </c>
      <c r="E786" s="8" t="s">
        <v>22</v>
      </c>
      <c r="F786" s="9" t="s">
        <v>31</v>
      </c>
      <c r="G786" s="9" t="s">
        <v>32</v>
      </c>
      <c r="H786" s="9" t="s">
        <v>33</v>
      </c>
      <c r="I786" s="13" t="s">
        <v>34</v>
      </c>
      <c r="J786" s="14"/>
      <c r="K786" s="13" t="s">
        <v>28</v>
      </c>
      <c r="L786" s="14"/>
    </row>
    <row r="787" spans="1:12" ht="15" customHeight="1" x14ac:dyDescent="0.25">
      <c r="A787" s="21" t="s">
        <v>69</v>
      </c>
      <c r="B787" s="22"/>
      <c r="C787" s="23"/>
      <c r="D787" s="19" t="str">
        <f>"010139"</f>
        <v>010139</v>
      </c>
      <c r="E787" s="19" t="s">
        <v>36</v>
      </c>
      <c r="F787" s="20">
        <v>10.119999999999999</v>
      </c>
      <c r="G787" s="20">
        <v>157.27000000000001</v>
      </c>
      <c r="H787" s="20">
        <v>26.03</v>
      </c>
      <c r="I787" s="24">
        <v>1.4</v>
      </c>
      <c r="J787" s="25"/>
      <c r="K787" s="24">
        <v>36.44</v>
      </c>
      <c r="L787" s="25"/>
    </row>
    <row r="788" spans="1:12" ht="15" customHeight="1" x14ac:dyDescent="0.25">
      <c r="A788" s="21" t="s">
        <v>37</v>
      </c>
      <c r="B788" s="22"/>
      <c r="C788" s="23"/>
      <c r="D788" s="19" t="str">
        <f>"010146"</f>
        <v>010146</v>
      </c>
      <c r="E788" s="19" t="s">
        <v>36</v>
      </c>
      <c r="F788" s="20">
        <v>7.65</v>
      </c>
      <c r="G788" s="20">
        <v>157.27000000000001</v>
      </c>
      <c r="H788" s="20">
        <v>19.68</v>
      </c>
      <c r="I788" s="24">
        <v>1.4</v>
      </c>
      <c r="J788" s="25"/>
      <c r="K788" s="24">
        <v>27.55</v>
      </c>
      <c r="L788" s="25"/>
    </row>
    <row r="789" spans="1:12" ht="15" customHeight="1" x14ac:dyDescent="0.25">
      <c r="A789" s="15" t="s">
        <v>38</v>
      </c>
      <c r="B789" s="16"/>
      <c r="C789" s="16"/>
      <c r="D789" s="16"/>
      <c r="E789" s="16"/>
      <c r="F789" s="16"/>
      <c r="G789" s="16"/>
      <c r="H789" s="16"/>
      <c r="I789" s="16"/>
      <c r="J789" s="17"/>
      <c r="K789" s="15">
        <v>63.99</v>
      </c>
      <c r="L789" s="17"/>
    </row>
    <row r="790" spans="1:12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</row>
    <row r="791" spans="1:12" ht="15" customHeight="1" x14ac:dyDescent="0.25">
      <c r="A791" s="10" t="s">
        <v>39</v>
      </c>
      <c r="B791" s="11"/>
      <c r="C791" s="12"/>
      <c r="D791" s="8" t="s">
        <v>21</v>
      </c>
      <c r="E791" s="13" t="s">
        <v>40</v>
      </c>
      <c r="F791" s="14"/>
      <c r="G791" s="8" t="s">
        <v>41</v>
      </c>
      <c r="H791" s="8" t="s">
        <v>42</v>
      </c>
      <c r="I791" s="8" t="s">
        <v>43</v>
      </c>
      <c r="J791" s="13" t="s">
        <v>44</v>
      </c>
      <c r="K791" s="26"/>
      <c r="L791" s="14"/>
    </row>
    <row r="792" spans="1:12" ht="15" customHeight="1" x14ac:dyDescent="0.25">
      <c r="A792" s="15" t="s">
        <v>45</v>
      </c>
      <c r="B792" s="16"/>
      <c r="C792" s="16"/>
      <c r="D792" s="16"/>
      <c r="E792" s="16"/>
      <c r="F792" s="16"/>
      <c r="G792" s="16"/>
      <c r="H792" s="16"/>
      <c r="I792" s="16"/>
      <c r="J792" s="17"/>
      <c r="K792" s="15">
        <v>0</v>
      </c>
      <c r="L792" s="17"/>
    </row>
    <row r="793" spans="1:12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</row>
    <row r="794" spans="1:12" ht="15" customHeight="1" x14ac:dyDescent="0.25">
      <c r="A794" s="27" t="s">
        <v>46</v>
      </c>
      <c r="B794" s="27"/>
      <c r="C794" s="27"/>
      <c r="D794" s="27"/>
      <c r="E794" s="27"/>
      <c r="F794" s="27"/>
      <c r="G794" s="27"/>
      <c r="H794" s="27"/>
      <c r="I794" s="27"/>
      <c r="J794" s="27"/>
      <c r="K794" s="27">
        <v>63.99</v>
      </c>
      <c r="L794" s="27"/>
    </row>
    <row r="795" spans="1:12" ht="15" customHeight="1" x14ac:dyDescent="0.25">
      <c r="A795" s="27" t="s">
        <v>47</v>
      </c>
      <c r="B795" s="27"/>
      <c r="C795" s="27"/>
      <c r="D795" s="27"/>
      <c r="E795" s="27"/>
      <c r="F795" s="27"/>
      <c r="G795" s="27"/>
      <c r="H795" s="27"/>
      <c r="I795" s="27"/>
      <c r="J795" s="27"/>
      <c r="K795" s="27">
        <v>1</v>
      </c>
      <c r="L795" s="27"/>
    </row>
    <row r="796" spans="1:12" ht="15" customHeight="1" x14ac:dyDescent="0.25">
      <c r="A796" s="27" t="s">
        <v>48</v>
      </c>
      <c r="B796" s="27"/>
      <c r="C796" s="27"/>
      <c r="D796" s="27"/>
      <c r="E796" s="27"/>
      <c r="F796" s="27"/>
      <c r="G796" s="27"/>
      <c r="H796" s="27"/>
      <c r="I796" s="27"/>
      <c r="J796" s="27"/>
      <c r="K796" s="27">
        <v>63.99</v>
      </c>
      <c r="L796" s="27"/>
    </row>
    <row r="797" spans="1:1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" customHeight="1" x14ac:dyDescent="0.25">
      <c r="A798" s="10" t="s">
        <v>49</v>
      </c>
      <c r="B798" s="11"/>
      <c r="C798" s="11"/>
      <c r="D798" s="11"/>
      <c r="E798" s="12"/>
      <c r="F798" s="8" t="s">
        <v>21</v>
      </c>
      <c r="G798" s="8" t="s">
        <v>22</v>
      </c>
      <c r="H798" s="9" t="s">
        <v>44</v>
      </c>
      <c r="I798" s="13" t="s">
        <v>34</v>
      </c>
      <c r="J798" s="14"/>
      <c r="K798" s="13" t="s">
        <v>50</v>
      </c>
      <c r="L798" s="14"/>
    </row>
    <row r="799" spans="1:12" ht="15" customHeight="1" x14ac:dyDescent="0.25">
      <c r="A799" s="21" t="s">
        <v>122</v>
      </c>
      <c r="B799" s="22"/>
      <c r="C799" s="22"/>
      <c r="D799" s="22"/>
      <c r="E799" s="23"/>
      <c r="F799" s="19" t="str">
        <f>"020503"</f>
        <v>020503</v>
      </c>
      <c r="G799" s="19" t="s">
        <v>105</v>
      </c>
      <c r="H799" s="20">
        <v>152</v>
      </c>
      <c r="I799" s="24">
        <v>1.06E-2</v>
      </c>
      <c r="J799" s="25"/>
      <c r="K799" s="24">
        <v>1.61</v>
      </c>
      <c r="L799" s="25"/>
    </row>
    <row r="800" spans="1:12" ht="15" customHeight="1" x14ac:dyDescent="0.25">
      <c r="A800" s="21" t="s">
        <v>123</v>
      </c>
      <c r="B800" s="22"/>
      <c r="C800" s="22"/>
      <c r="D800" s="22"/>
      <c r="E800" s="23"/>
      <c r="F800" s="19" t="str">
        <f>"020505"</f>
        <v>020505</v>
      </c>
      <c r="G800" s="19" t="s">
        <v>124</v>
      </c>
      <c r="H800" s="20">
        <v>1.07</v>
      </c>
      <c r="I800" s="24">
        <v>1.72</v>
      </c>
      <c r="J800" s="25"/>
      <c r="K800" s="24">
        <v>1.84</v>
      </c>
      <c r="L800" s="25"/>
    </row>
    <row r="801" spans="1:12" ht="15" customHeight="1" x14ac:dyDescent="0.25">
      <c r="A801" s="21" t="s">
        <v>125</v>
      </c>
      <c r="B801" s="22"/>
      <c r="C801" s="22"/>
      <c r="D801" s="22"/>
      <c r="E801" s="23"/>
      <c r="F801" s="19" t="str">
        <f>"020508"</f>
        <v>020508</v>
      </c>
      <c r="G801" s="19" t="s">
        <v>124</v>
      </c>
      <c r="H801" s="20">
        <v>0.59</v>
      </c>
      <c r="I801" s="24">
        <v>1.72</v>
      </c>
      <c r="J801" s="25"/>
      <c r="K801" s="24">
        <v>1.01</v>
      </c>
      <c r="L801" s="25"/>
    </row>
    <row r="802" spans="1:12" ht="15" customHeight="1" x14ac:dyDescent="0.25">
      <c r="A802" s="21" t="s">
        <v>126</v>
      </c>
      <c r="B802" s="22"/>
      <c r="C802" s="22"/>
      <c r="D802" s="22"/>
      <c r="E802" s="23"/>
      <c r="F802" s="19" t="str">
        <f>"021023"</f>
        <v>021023</v>
      </c>
      <c r="G802" s="19" t="s">
        <v>81</v>
      </c>
      <c r="H802" s="20">
        <v>4.2</v>
      </c>
      <c r="I802" s="24">
        <v>6</v>
      </c>
      <c r="J802" s="25"/>
      <c r="K802" s="24">
        <v>25.2</v>
      </c>
      <c r="L802" s="25"/>
    </row>
    <row r="803" spans="1:12" ht="15" customHeight="1" x14ac:dyDescent="0.25">
      <c r="A803" s="21" t="s">
        <v>127</v>
      </c>
      <c r="B803" s="22"/>
      <c r="C803" s="22"/>
      <c r="D803" s="22"/>
      <c r="E803" s="23"/>
      <c r="F803" s="19" t="str">
        <f>"026512"</f>
        <v>026512</v>
      </c>
      <c r="G803" s="19" t="s">
        <v>81</v>
      </c>
      <c r="H803" s="20">
        <v>1.0900000000000001</v>
      </c>
      <c r="I803" s="24">
        <v>6</v>
      </c>
      <c r="J803" s="25"/>
      <c r="K803" s="24">
        <v>6.54</v>
      </c>
      <c r="L803" s="25"/>
    </row>
    <row r="804" spans="1:12" ht="15" customHeight="1" x14ac:dyDescent="0.25">
      <c r="A804" s="21" t="s">
        <v>128</v>
      </c>
      <c r="B804" s="22"/>
      <c r="C804" s="22"/>
      <c r="D804" s="22"/>
      <c r="E804" s="23"/>
      <c r="F804" s="19" t="str">
        <f>"030175"</f>
        <v>030175</v>
      </c>
      <c r="G804" s="19" t="s">
        <v>81</v>
      </c>
      <c r="H804" s="20">
        <v>268.61</v>
      </c>
      <c r="I804" s="24">
        <v>1</v>
      </c>
      <c r="J804" s="25"/>
      <c r="K804" s="24">
        <v>268.61</v>
      </c>
      <c r="L804" s="25"/>
    </row>
    <row r="805" spans="1:12" ht="15" customHeight="1" x14ac:dyDescent="0.25">
      <c r="A805" s="15" t="s">
        <v>51</v>
      </c>
      <c r="B805" s="16"/>
      <c r="C805" s="16"/>
      <c r="D805" s="16"/>
      <c r="E805" s="16"/>
      <c r="F805" s="16"/>
      <c r="G805" s="16"/>
      <c r="H805" s="16"/>
      <c r="I805" s="16"/>
      <c r="J805" s="17"/>
      <c r="K805" s="15">
        <v>304.81</v>
      </c>
      <c r="L805" s="17"/>
    </row>
    <row r="806" spans="1:12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</row>
    <row r="807" spans="1:12" ht="15" customHeight="1" x14ac:dyDescent="0.25">
      <c r="A807" s="10" t="s">
        <v>52</v>
      </c>
      <c r="B807" s="11"/>
      <c r="C807" s="11"/>
      <c r="D807" s="11"/>
      <c r="E807" s="12"/>
      <c r="F807" s="8" t="s">
        <v>21</v>
      </c>
      <c r="G807" s="8" t="s">
        <v>22</v>
      </c>
      <c r="H807" s="9" t="s">
        <v>44</v>
      </c>
      <c r="I807" s="13" t="s">
        <v>34</v>
      </c>
      <c r="J807" s="14"/>
      <c r="K807" s="13" t="s">
        <v>50</v>
      </c>
      <c r="L807" s="14"/>
    </row>
    <row r="808" spans="1:12" ht="15" customHeight="1" x14ac:dyDescent="0.25">
      <c r="A808" s="15" t="s">
        <v>53</v>
      </c>
      <c r="B808" s="16"/>
      <c r="C808" s="16"/>
      <c r="D808" s="16"/>
      <c r="E808" s="16"/>
      <c r="F808" s="16"/>
      <c r="G808" s="16"/>
      <c r="H808" s="16"/>
      <c r="I808" s="16"/>
      <c r="J808" s="17"/>
      <c r="K808" s="15">
        <v>0</v>
      </c>
      <c r="L808" s="17"/>
    </row>
    <row r="809" spans="1:12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</row>
    <row r="810" spans="1:12" ht="15" customHeight="1" x14ac:dyDescent="0.25">
      <c r="A810" s="10" t="s">
        <v>54</v>
      </c>
      <c r="B810" s="11"/>
      <c r="C810" s="12"/>
      <c r="D810" s="8" t="s">
        <v>21</v>
      </c>
      <c r="E810" s="8" t="s">
        <v>22</v>
      </c>
      <c r="F810" s="9" t="s">
        <v>55</v>
      </c>
      <c r="G810" s="8" t="s">
        <v>56</v>
      </c>
      <c r="H810" s="8" t="s">
        <v>57</v>
      </c>
      <c r="I810" s="8" t="s">
        <v>58</v>
      </c>
      <c r="J810" s="9" t="s">
        <v>59</v>
      </c>
      <c r="K810" s="9" t="s">
        <v>34</v>
      </c>
      <c r="L810" s="9" t="s">
        <v>50</v>
      </c>
    </row>
    <row r="811" spans="1:12" ht="15" customHeight="1" x14ac:dyDescent="0.25">
      <c r="A811" s="15" t="s">
        <v>60</v>
      </c>
      <c r="B811" s="16"/>
      <c r="C811" s="16"/>
      <c r="D811" s="16"/>
      <c r="E811" s="16"/>
      <c r="F811" s="16"/>
      <c r="G811" s="16"/>
      <c r="H811" s="16"/>
      <c r="I811" s="16"/>
      <c r="J811" s="17"/>
      <c r="K811" s="15">
        <v>0</v>
      </c>
      <c r="L811" s="17"/>
    </row>
    <row r="812" spans="1:12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</row>
    <row r="813" spans="1:12" ht="15" customHeight="1" x14ac:dyDescent="0.25">
      <c r="A813" s="27" t="s">
        <v>61</v>
      </c>
      <c r="B813" s="27"/>
      <c r="C813" s="27"/>
      <c r="D813" s="27"/>
      <c r="E813" s="27"/>
      <c r="F813" s="27"/>
      <c r="G813" s="27"/>
      <c r="H813" s="27"/>
      <c r="I813" s="27"/>
      <c r="J813" s="27"/>
      <c r="K813" s="27">
        <v>368.8</v>
      </c>
      <c r="L813" s="27"/>
    </row>
    <row r="814" spans="1:12" ht="15" customHeight="1" x14ac:dyDescent="0.25">
      <c r="A814" s="27" t="s">
        <v>62</v>
      </c>
      <c r="B814" s="27"/>
      <c r="C814" s="27"/>
      <c r="D814" s="27"/>
      <c r="E814" s="27"/>
      <c r="F814" s="27"/>
      <c r="G814" s="27"/>
      <c r="H814" s="27"/>
      <c r="I814" s="27"/>
      <c r="J814" s="27"/>
      <c r="K814" s="27">
        <v>122.63</v>
      </c>
      <c r="L814" s="27"/>
    </row>
    <row r="815" spans="1:12" ht="15" customHeight="1" x14ac:dyDescent="0.25">
      <c r="A815" s="27" t="s">
        <v>63</v>
      </c>
      <c r="B815" s="27"/>
      <c r="C815" s="27"/>
      <c r="D815" s="27"/>
      <c r="E815" s="27"/>
      <c r="F815" s="27"/>
      <c r="G815" s="27"/>
      <c r="H815" s="27"/>
      <c r="I815" s="27"/>
      <c r="J815" s="27"/>
      <c r="K815" s="27">
        <v>491.43</v>
      </c>
      <c r="L815" s="27"/>
    </row>
    <row r="816" spans="1:1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" customHeight="1" x14ac:dyDescent="0.25">
      <c r="A817" s="3" t="s">
        <v>8</v>
      </c>
      <c r="B817" s="6" t="s">
        <v>9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 spans="1:12" ht="30" customHeight="1" x14ac:dyDescent="0.25">
      <c r="A818" s="3" t="s">
        <v>10</v>
      </c>
      <c r="B818" s="6" t="s">
        <v>129</v>
      </c>
      <c r="C818" s="6"/>
      <c r="D818" s="6"/>
      <c r="E818" s="6"/>
      <c r="F818" s="6"/>
      <c r="G818" s="6"/>
      <c r="H818" s="6"/>
      <c r="I818" s="6"/>
      <c r="J818" s="6"/>
      <c r="K818" s="3" t="s">
        <v>12</v>
      </c>
      <c r="L818" s="4" t="s">
        <v>84</v>
      </c>
    </row>
    <row r="819" spans="1:12" ht="15" customHeight="1" x14ac:dyDescent="0.25">
      <c r="A819" s="3" t="s">
        <v>14</v>
      </c>
      <c r="B819" s="6" t="s">
        <v>15</v>
      </c>
      <c r="C819" s="6"/>
      <c r="D819" s="7" t="s">
        <v>16</v>
      </c>
      <c r="E819" s="7"/>
      <c r="F819" s="6" t="str">
        <f>"062503"</f>
        <v>062503</v>
      </c>
      <c r="G819" s="6"/>
      <c r="H819" s="3" t="s">
        <v>17</v>
      </c>
      <c r="I819" s="6" t="s">
        <v>18</v>
      </c>
      <c r="J819" s="6"/>
      <c r="K819" s="3" t="s">
        <v>19</v>
      </c>
      <c r="L819" s="5">
        <v>1</v>
      </c>
    </row>
    <row r="820" spans="1:1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" customHeight="1" x14ac:dyDescent="0.25">
      <c r="A821" s="10" t="s">
        <v>20</v>
      </c>
      <c r="B821" s="11"/>
      <c r="C821" s="12"/>
      <c r="D821" s="8" t="s">
        <v>21</v>
      </c>
      <c r="E821" s="8" t="s">
        <v>22</v>
      </c>
      <c r="F821" s="9" t="s">
        <v>23</v>
      </c>
      <c r="G821" s="9" t="s">
        <v>24</v>
      </c>
      <c r="H821" s="9" t="s">
        <v>25</v>
      </c>
      <c r="I821" s="9" t="s">
        <v>26</v>
      </c>
      <c r="J821" s="9" t="s">
        <v>27</v>
      </c>
      <c r="K821" s="13" t="s">
        <v>28</v>
      </c>
      <c r="L821" s="14"/>
    </row>
    <row r="822" spans="1:12" ht="15" customHeight="1" x14ac:dyDescent="0.25">
      <c r="A822" s="15" t="s">
        <v>29</v>
      </c>
      <c r="B822" s="16"/>
      <c r="C822" s="16"/>
      <c r="D822" s="16"/>
      <c r="E822" s="16"/>
      <c r="F822" s="16"/>
      <c r="G822" s="16"/>
      <c r="H822" s="16"/>
      <c r="I822" s="16"/>
      <c r="J822" s="17"/>
      <c r="K822" s="15">
        <v>0</v>
      </c>
      <c r="L822" s="17"/>
    </row>
    <row r="823" spans="1:12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</row>
    <row r="824" spans="1:12" ht="15" customHeight="1" x14ac:dyDescent="0.25">
      <c r="A824" s="10" t="s">
        <v>30</v>
      </c>
      <c r="B824" s="11"/>
      <c r="C824" s="12"/>
      <c r="D824" s="8" t="s">
        <v>21</v>
      </c>
      <c r="E824" s="8" t="s">
        <v>22</v>
      </c>
      <c r="F824" s="9" t="s">
        <v>31</v>
      </c>
      <c r="G824" s="9" t="s">
        <v>32</v>
      </c>
      <c r="H824" s="9" t="s">
        <v>33</v>
      </c>
      <c r="I824" s="13" t="s">
        <v>34</v>
      </c>
      <c r="J824" s="14"/>
      <c r="K824" s="13" t="s">
        <v>28</v>
      </c>
      <c r="L824" s="14"/>
    </row>
    <row r="825" spans="1:12" ht="15" customHeight="1" x14ac:dyDescent="0.25">
      <c r="A825" s="21" t="s">
        <v>76</v>
      </c>
      <c r="B825" s="22"/>
      <c r="C825" s="23"/>
      <c r="D825" s="19" t="str">
        <f>"010101"</f>
        <v>010101</v>
      </c>
      <c r="E825" s="19" t="s">
        <v>36</v>
      </c>
      <c r="F825" s="20">
        <v>8.5299999999999994</v>
      </c>
      <c r="G825" s="20">
        <v>157.27000000000001</v>
      </c>
      <c r="H825" s="20">
        <v>21.94</v>
      </c>
      <c r="I825" s="24">
        <v>2.85</v>
      </c>
      <c r="J825" s="25"/>
      <c r="K825" s="24">
        <v>62.52</v>
      </c>
      <c r="L825" s="25"/>
    </row>
    <row r="826" spans="1:12" ht="15" customHeight="1" x14ac:dyDescent="0.25">
      <c r="A826" s="15" t="s">
        <v>38</v>
      </c>
      <c r="B826" s="16"/>
      <c r="C826" s="16"/>
      <c r="D826" s="16"/>
      <c r="E826" s="16"/>
      <c r="F826" s="16"/>
      <c r="G826" s="16"/>
      <c r="H826" s="16"/>
      <c r="I826" s="16"/>
      <c r="J826" s="17"/>
      <c r="K826" s="15">
        <v>62.52</v>
      </c>
      <c r="L826" s="17"/>
    </row>
    <row r="827" spans="1:12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</row>
    <row r="828" spans="1:12" ht="15" customHeight="1" x14ac:dyDescent="0.25">
      <c r="A828" s="10" t="s">
        <v>39</v>
      </c>
      <c r="B828" s="11"/>
      <c r="C828" s="12"/>
      <c r="D828" s="8" t="s">
        <v>21</v>
      </c>
      <c r="E828" s="13" t="s">
        <v>40</v>
      </c>
      <c r="F828" s="14"/>
      <c r="G828" s="8" t="s">
        <v>41</v>
      </c>
      <c r="H828" s="8" t="s">
        <v>42</v>
      </c>
      <c r="I828" s="8" t="s">
        <v>43</v>
      </c>
      <c r="J828" s="13" t="s">
        <v>44</v>
      </c>
      <c r="K828" s="26"/>
      <c r="L828" s="14"/>
    </row>
    <row r="829" spans="1:12" ht="15" customHeight="1" x14ac:dyDescent="0.25">
      <c r="A829" s="15" t="s">
        <v>45</v>
      </c>
      <c r="B829" s="16"/>
      <c r="C829" s="16"/>
      <c r="D829" s="16"/>
      <c r="E829" s="16"/>
      <c r="F829" s="16"/>
      <c r="G829" s="16"/>
      <c r="H829" s="16"/>
      <c r="I829" s="16"/>
      <c r="J829" s="17"/>
      <c r="K829" s="15">
        <v>0</v>
      </c>
      <c r="L829" s="17"/>
    </row>
    <row r="830" spans="1:12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</row>
    <row r="831" spans="1:12" ht="15" customHeight="1" x14ac:dyDescent="0.25">
      <c r="A831" s="27" t="s">
        <v>46</v>
      </c>
      <c r="B831" s="27"/>
      <c r="C831" s="27"/>
      <c r="D831" s="27"/>
      <c r="E831" s="27"/>
      <c r="F831" s="27"/>
      <c r="G831" s="27"/>
      <c r="H831" s="27"/>
      <c r="I831" s="27"/>
      <c r="J831" s="27"/>
      <c r="K831" s="27">
        <v>62.52</v>
      </c>
      <c r="L831" s="27"/>
    </row>
    <row r="832" spans="1:12" ht="15" customHeight="1" x14ac:dyDescent="0.25">
      <c r="A832" s="27" t="s">
        <v>47</v>
      </c>
      <c r="B832" s="27"/>
      <c r="C832" s="27"/>
      <c r="D832" s="27"/>
      <c r="E832" s="27"/>
      <c r="F832" s="27"/>
      <c r="G832" s="27"/>
      <c r="H832" s="27"/>
      <c r="I832" s="27"/>
      <c r="J832" s="27"/>
      <c r="K832" s="27">
        <v>1</v>
      </c>
      <c r="L832" s="27"/>
    </row>
    <row r="833" spans="1:12" ht="15" customHeight="1" x14ac:dyDescent="0.25">
      <c r="A833" s="27" t="s">
        <v>48</v>
      </c>
      <c r="B833" s="27"/>
      <c r="C833" s="27"/>
      <c r="D833" s="27"/>
      <c r="E833" s="27"/>
      <c r="F833" s="27"/>
      <c r="G833" s="27"/>
      <c r="H833" s="27"/>
      <c r="I833" s="27"/>
      <c r="J833" s="27"/>
      <c r="K833" s="27">
        <v>62.52</v>
      </c>
      <c r="L833" s="27"/>
    </row>
    <row r="834" spans="1:1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" customHeight="1" x14ac:dyDescent="0.25">
      <c r="A835" s="10" t="s">
        <v>49</v>
      </c>
      <c r="B835" s="11"/>
      <c r="C835" s="11"/>
      <c r="D835" s="11"/>
      <c r="E835" s="12"/>
      <c r="F835" s="8" t="s">
        <v>21</v>
      </c>
      <c r="G835" s="8" t="s">
        <v>22</v>
      </c>
      <c r="H835" s="9" t="s">
        <v>44</v>
      </c>
      <c r="I835" s="13" t="s">
        <v>34</v>
      </c>
      <c r="J835" s="14"/>
      <c r="K835" s="13" t="s">
        <v>50</v>
      </c>
      <c r="L835" s="14"/>
    </row>
    <row r="836" spans="1:12" ht="15" customHeight="1" x14ac:dyDescent="0.25">
      <c r="A836" s="21" t="s">
        <v>130</v>
      </c>
      <c r="B836" s="22"/>
      <c r="C836" s="22"/>
      <c r="D836" s="22"/>
      <c r="E836" s="23"/>
      <c r="F836" s="19" t="str">
        <f>"026560"</f>
        <v>026560</v>
      </c>
      <c r="G836" s="19" t="s">
        <v>124</v>
      </c>
      <c r="H836" s="20">
        <v>13.66</v>
      </c>
      <c r="I836" s="24">
        <v>0.2</v>
      </c>
      <c r="J836" s="25"/>
      <c r="K836" s="24">
        <v>2.73</v>
      </c>
      <c r="L836" s="25"/>
    </row>
    <row r="837" spans="1:12" ht="15" customHeight="1" x14ac:dyDescent="0.25">
      <c r="A837" s="21" t="s">
        <v>131</v>
      </c>
      <c r="B837" s="22"/>
      <c r="C837" s="22"/>
      <c r="D837" s="22"/>
      <c r="E837" s="23"/>
      <c r="F837" s="19" t="str">
        <f>"930213"</f>
        <v>930213</v>
      </c>
      <c r="G837" s="19" t="s">
        <v>81</v>
      </c>
      <c r="H837" s="20">
        <v>937.33</v>
      </c>
      <c r="I837" s="24">
        <v>1</v>
      </c>
      <c r="J837" s="25"/>
      <c r="K837" s="24">
        <v>937.33</v>
      </c>
      <c r="L837" s="25"/>
    </row>
    <row r="838" spans="1:12" ht="15" customHeight="1" x14ac:dyDescent="0.25">
      <c r="A838" s="15" t="s">
        <v>51</v>
      </c>
      <c r="B838" s="16"/>
      <c r="C838" s="16"/>
      <c r="D838" s="16"/>
      <c r="E838" s="16"/>
      <c r="F838" s="16"/>
      <c r="G838" s="16"/>
      <c r="H838" s="16"/>
      <c r="I838" s="16"/>
      <c r="J838" s="17"/>
      <c r="K838" s="15">
        <v>940.06</v>
      </c>
      <c r="L838" s="17"/>
    </row>
    <row r="839" spans="1:12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</row>
    <row r="840" spans="1:12" ht="15" customHeight="1" x14ac:dyDescent="0.25">
      <c r="A840" s="10" t="s">
        <v>52</v>
      </c>
      <c r="B840" s="11"/>
      <c r="C840" s="11"/>
      <c r="D840" s="11"/>
      <c r="E840" s="12"/>
      <c r="F840" s="8" t="s">
        <v>21</v>
      </c>
      <c r="G840" s="8" t="s">
        <v>22</v>
      </c>
      <c r="H840" s="9" t="s">
        <v>44</v>
      </c>
      <c r="I840" s="13" t="s">
        <v>34</v>
      </c>
      <c r="J840" s="14"/>
      <c r="K840" s="13" t="s">
        <v>50</v>
      </c>
      <c r="L840" s="14"/>
    </row>
    <row r="841" spans="1:12" ht="15" customHeight="1" x14ac:dyDescent="0.25">
      <c r="A841" s="21" t="s">
        <v>132</v>
      </c>
      <c r="B841" s="22"/>
      <c r="C841" s="22"/>
      <c r="D841" s="22"/>
      <c r="E841" s="23"/>
      <c r="F841" s="19" t="s">
        <v>133</v>
      </c>
      <c r="G841" s="19" t="s">
        <v>87</v>
      </c>
      <c r="H841" s="20">
        <v>10</v>
      </c>
      <c r="I841" s="24">
        <v>36.450000000000003</v>
      </c>
      <c r="J841" s="25"/>
      <c r="K841" s="24">
        <v>364.5</v>
      </c>
      <c r="L841" s="25"/>
    </row>
    <row r="842" spans="1:12" ht="15" customHeight="1" x14ac:dyDescent="0.25">
      <c r="A842" s="21" t="s">
        <v>134</v>
      </c>
      <c r="B842" s="22"/>
      <c r="C842" s="22"/>
      <c r="D842" s="22"/>
      <c r="E842" s="23"/>
      <c r="F842" s="19" t="s">
        <v>135</v>
      </c>
      <c r="G842" s="19" t="s">
        <v>84</v>
      </c>
      <c r="H842" s="20">
        <v>1</v>
      </c>
      <c r="I842" s="24">
        <v>139.83000000000001</v>
      </c>
      <c r="J842" s="25"/>
      <c r="K842" s="24">
        <v>139.83000000000001</v>
      </c>
      <c r="L842" s="25"/>
    </row>
    <row r="843" spans="1:12" ht="15" customHeight="1" x14ac:dyDescent="0.25">
      <c r="A843" s="21" t="s">
        <v>136</v>
      </c>
      <c r="B843" s="22"/>
      <c r="C843" s="22"/>
      <c r="D843" s="22"/>
      <c r="E843" s="23"/>
      <c r="F843" s="19" t="s">
        <v>137</v>
      </c>
      <c r="G843" s="19" t="s">
        <v>84</v>
      </c>
      <c r="H843" s="20">
        <v>3</v>
      </c>
      <c r="I843" s="24">
        <v>68.16</v>
      </c>
      <c r="J843" s="25"/>
      <c r="K843" s="24">
        <v>204.48</v>
      </c>
      <c r="L843" s="25"/>
    </row>
    <row r="844" spans="1:12" ht="15" customHeight="1" x14ac:dyDescent="0.25">
      <c r="A844" s="15" t="s">
        <v>53</v>
      </c>
      <c r="B844" s="16"/>
      <c r="C844" s="16"/>
      <c r="D844" s="16"/>
      <c r="E844" s="16"/>
      <c r="F844" s="16"/>
      <c r="G844" s="16"/>
      <c r="H844" s="16"/>
      <c r="I844" s="16"/>
      <c r="J844" s="17"/>
      <c r="K844" s="15">
        <v>708.81</v>
      </c>
      <c r="L844" s="17"/>
    </row>
    <row r="845" spans="1:12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</row>
    <row r="846" spans="1:12" ht="15" customHeight="1" x14ac:dyDescent="0.25">
      <c r="A846" s="10" t="s">
        <v>54</v>
      </c>
      <c r="B846" s="11"/>
      <c r="C846" s="12"/>
      <c r="D846" s="8" t="s">
        <v>21</v>
      </c>
      <c r="E846" s="8" t="s">
        <v>22</v>
      </c>
      <c r="F846" s="9" t="s">
        <v>55</v>
      </c>
      <c r="G846" s="8" t="s">
        <v>56</v>
      </c>
      <c r="H846" s="8" t="s">
        <v>57</v>
      </c>
      <c r="I846" s="8" t="s">
        <v>58</v>
      </c>
      <c r="J846" s="9" t="s">
        <v>59</v>
      </c>
      <c r="K846" s="9" t="s">
        <v>34</v>
      </c>
      <c r="L846" s="9" t="s">
        <v>50</v>
      </c>
    </row>
    <row r="847" spans="1:12" ht="15" customHeight="1" x14ac:dyDescent="0.25">
      <c r="A847" s="15" t="s">
        <v>60</v>
      </c>
      <c r="B847" s="16"/>
      <c r="C847" s="16"/>
      <c r="D847" s="16"/>
      <c r="E847" s="16"/>
      <c r="F847" s="16"/>
      <c r="G847" s="16"/>
      <c r="H847" s="16"/>
      <c r="I847" s="16"/>
      <c r="J847" s="17"/>
      <c r="K847" s="15">
        <v>0</v>
      </c>
      <c r="L847" s="17"/>
    </row>
    <row r="848" spans="1:12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</row>
    <row r="849" spans="1:12" ht="15" customHeight="1" x14ac:dyDescent="0.25">
      <c r="A849" s="27" t="s">
        <v>61</v>
      </c>
      <c r="B849" s="27"/>
      <c r="C849" s="27"/>
      <c r="D849" s="27"/>
      <c r="E849" s="27"/>
      <c r="F849" s="27"/>
      <c r="G849" s="27"/>
      <c r="H849" s="27"/>
      <c r="I849" s="27"/>
      <c r="J849" s="27"/>
      <c r="K849" s="28">
        <v>1711.39</v>
      </c>
      <c r="L849" s="28"/>
    </row>
    <row r="850" spans="1:12" ht="15" customHeight="1" x14ac:dyDescent="0.25">
      <c r="A850" s="27" t="s">
        <v>62</v>
      </c>
      <c r="B850" s="27"/>
      <c r="C850" s="27"/>
      <c r="D850" s="27"/>
      <c r="E850" s="27"/>
      <c r="F850" s="27"/>
      <c r="G850" s="27"/>
      <c r="H850" s="27"/>
      <c r="I850" s="27"/>
      <c r="J850" s="27"/>
      <c r="K850" s="27">
        <v>569.04</v>
      </c>
      <c r="L850" s="27"/>
    </row>
    <row r="851" spans="1:12" ht="15" customHeight="1" x14ac:dyDescent="0.25">
      <c r="A851" s="27" t="s">
        <v>63</v>
      </c>
      <c r="B851" s="27"/>
      <c r="C851" s="27"/>
      <c r="D851" s="27"/>
      <c r="E851" s="27"/>
      <c r="F851" s="27"/>
      <c r="G851" s="27"/>
      <c r="H851" s="27"/>
      <c r="I851" s="27"/>
      <c r="J851" s="27"/>
      <c r="K851" s="28">
        <v>2280.4299999999998</v>
      </c>
      <c r="L851" s="28"/>
    </row>
    <row r="852" spans="1:1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" customHeight="1" x14ac:dyDescent="0.25">
      <c r="A853" s="3" t="s">
        <v>8</v>
      </c>
      <c r="B853" s="6" t="s">
        <v>9</v>
      </c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 spans="1:12" ht="30" customHeight="1" x14ac:dyDescent="0.25">
      <c r="A854" s="3" t="s">
        <v>10</v>
      </c>
      <c r="B854" s="6" t="s">
        <v>138</v>
      </c>
      <c r="C854" s="6"/>
      <c r="D854" s="6"/>
      <c r="E854" s="6"/>
      <c r="F854" s="6"/>
      <c r="G854" s="6"/>
      <c r="H854" s="6"/>
      <c r="I854" s="6"/>
      <c r="J854" s="6"/>
      <c r="K854" s="3" t="s">
        <v>12</v>
      </c>
      <c r="L854" s="4" t="s">
        <v>84</v>
      </c>
    </row>
    <row r="855" spans="1:12" ht="15" customHeight="1" x14ac:dyDescent="0.25">
      <c r="A855" s="3" t="s">
        <v>14</v>
      </c>
      <c r="B855" s="6" t="s">
        <v>88</v>
      </c>
      <c r="C855" s="6"/>
      <c r="D855" s="7" t="s">
        <v>16</v>
      </c>
      <c r="E855" s="7"/>
      <c r="F855" s="6" t="str">
        <f>"3F78.000002"</f>
        <v>3F78.000002</v>
      </c>
      <c r="G855" s="6"/>
      <c r="H855" s="3" t="s">
        <v>17</v>
      </c>
      <c r="I855" s="6" t="s">
        <v>89</v>
      </c>
      <c r="J855" s="6"/>
      <c r="K855" s="3" t="s">
        <v>19</v>
      </c>
      <c r="L855" s="5">
        <v>1</v>
      </c>
    </row>
    <row r="856" spans="1:1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" customHeight="1" x14ac:dyDescent="0.25">
      <c r="A857" s="10" t="s">
        <v>20</v>
      </c>
      <c r="B857" s="11"/>
      <c r="C857" s="12"/>
      <c r="D857" s="8" t="s">
        <v>21</v>
      </c>
      <c r="E857" s="8" t="s">
        <v>22</v>
      </c>
      <c r="F857" s="9" t="s">
        <v>23</v>
      </c>
      <c r="G857" s="9" t="s">
        <v>24</v>
      </c>
      <c r="H857" s="9" t="s">
        <v>25</v>
      </c>
      <c r="I857" s="9" t="s">
        <v>26</v>
      </c>
      <c r="J857" s="9" t="s">
        <v>27</v>
      </c>
      <c r="K857" s="13" t="s">
        <v>28</v>
      </c>
      <c r="L857" s="14"/>
    </row>
    <row r="858" spans="1:12" ht="15" customHeight="1" x14ac:dyDescent="0.25">
      <c r="A858" s="15" t="s">
        <v>29</v>
      </c>
      <c r="B858" s="16"/>
      <c r="C858" s="16"/>
      <c r="D858" s="16"/>
      <c r="E858" s="16"/>
      <c r="F858" s="16"/>
      <c r="G858" s="16"/>
      <c r="H858" s="16"/>
      <c r="I858" s="16"/>
      <c r="J858" s="17"/>
      <c r="K858" s="15">
        <v>0</v>
      </c>
      <c r="L858" s="17"/>
    </row>
    <row r="859" spans="1:12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</row>
    <row r="860" spans="1:12" ht="15" customHeight="1" x14ac:dyDescent="0.25">
      <c r="A860" s="10" t="s">
        <v>30</v>
      </c>
      <c r="B860" s="11"/>
      <c r="C860" s="12"/>
      <c r="D860" s="8" t="s">
        <v>21</v>
      </c>
      <c r="E860" s="8" t="s">
        <v>22</v>
      </c>
      <c r="F860" s="9" t="s">
        <v>31</v>
      </c>
      <c r="G860" s="9" t="s">
        <v>32</v>
      </c>
      <c r="H860" s="9" t="s">
        <v>33</v>
      </c>
      <c r="I860" s="13" t="s">
        <v>34</v>
      </c>
      <c r="J860" s="14"/>
      <c r="K860" s="13" t="s">
        <v>28</v>
      </c>
      <c r="L860" s="14"/>
    </row>
    <row r="861" spans="1:12" ht="15" customHeight="1" x14ac:dyDescent="0.25">
      <c r="A861" s="15" t="s">
        <v>38</v>
      </c>
      <c r="B861" s="16"/>
      <c r="C861" s="16"/>
      <c r="D861" s="16"/>
      <c r="E861" s="16"/>
      <c r="F861" s="16"/>
      <c r="G861" s="16"/>
      <c r="H861" s="16"/>
      <c r="I861" s="16"/>
      <c r="J861" s="17"/>
      <c r="K861" s="15">
        <v>0</v>
      </c>
      <c r="L861" s="17"/>
    </row>
    <row r="862" spans="1:12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</row>
    <row r="863" spans="1:12" ht="15" customHeight="1" x14ac:dyDescent="0.25">
      <c r="A863" s="10" t="s">
        <v>39</v>
      </c>
      <c r="B863" s="11"/>
      <c r="C863" s="12"/>
      <c r="D863" s="8" t="s">
        <v>21</v>
      </c>
      <c r="E863" s="13" t="s">
        <v>40</v>
      </c>
      <c r="F863" s="14"/>
      <c r="G863" s="8" t="s">
        <v>41</v>
      </c>
      <c r="H863" s="8" t="s">
        <v>42</v>
      </c>
      <c r="I863" s="8" t="s">
        <v>43</v>
      </c>
      <c r="J863" s="13" t="s">
        <v>44</v>
      </c>
      <c r="K863" s="26"/>
      <c r="L863" s="14"/>
    </row>
    <row r="864" spans="1:12" ht="15" customHeight="1" x14ac:dyDescent="0.25">
      <c r="A864" s="15" t="s">
        <v>45</v>
      </c>
      <c r="B864" s="16"/>
      <c r="C864" s="16"/>
      <c r="D864" s="16"/>
      <c r="E864" s="16"/>
      <c r="F864" s="16"/>
      <c r="G864" s="16"/>
      <c r="H864" s="16"/>
      <c r="I864" s="16"/>
      <c r="J864" s="17"/>
      <c r="K864" s="15">
        <v>0</v>
      </c>
      <c r="L864" s="17"/>
    </row>
    <row r="865" spans="1:12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</row>
    <row r="866" spans="1:12" ht="15" customHeight="1" x14ac:dyDescent="0.25">
      <c r="A866" s="27" t="s">
        <v>46</v>
      </c>
      <c r="B866" s="27"/>
      <c r="C866" s="27"/>
      <c r="D866" s="27"/>
      <c r="E866" s="27"/>
      <c r="F866" s="27"/>
      <c r="G866" s="27"/>
      <c r="H866" s="27"/>
      <c r="I866" s="27"/>
      <c r="J866" s="27"/>
      <c r="K866" s="27">
        <v>0</v>
      </c>
      <c r="L866" s="27"/>
    </row>
    <row r="867" spans="1:12" ht="15" customHeight="1" x14ac:dyDescent="0.25">
      <c r="A867" s="27" t="s">
        <v>47</v>
      </c>
      <c r="B867" s="27"/>
      <c r="C867" s="27"/>
      <c r="D867" s="27"/>
      <c r="E867" s="27"/>
      <c r="F867" s="27"/>
      <c r="G867" s="27"/>
      <c r="H867" s="27"/>
      <c r="I867" s="27"/>
      <c r="J867" s="27"/>
      <c r="K867" s="27">
        <v>1</v>
      </c>
      <c r="L867" s="27"/>
    </row>
    <row r="868" spans="1:12" ht="15" customHeight="1" x14ac:dyDescent="0.25">
      <c r="A868" s="27" t="s">
        <v>48</v>
      </c>
      <c r="B868" s="27"/>
      <c r="C868" s="27"/>
      <c r="D868" s="27"/>
      <c r="E868" s="27"/>
      <c r="F868" s="27"/>
      <c r="G868" s="27"/>
      <c r="H868" s="27"/>
      <c r="I868" s="27"/>
      <c r="J868" s="27"/>
      <c r="K868" s="27">
        <v>0</v>
      </c>
      <c r="L868" s="27"/>
    </row>
    <row r="869" spans="1:1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" customHeight="1" x14ac:dyDescent="0.25">
      <c r="A870" s="10" t="s">
        <v>49</v>
      </c>
      <c r="B870" s="11"/>
      <c r="C870" s="11"/>
      <c r="D870" s="11"/>
      <c r="E870" s="12"/>
      <c r="F870" s="8" t="s">
        <v>21</v>
      </c>
      <c r="G870" s="8" t="s">
        <v>22</v>
      </c>
      <c r="H870" s="9" t="s">
        <v>44</v>
      </c>
      <c r="I870" s="13" t="s">
        <v>34</v>
      </c>
      <c r="J870" s="14"/>
      <c r="K870" s="13" t="s">
        <v>50</v>
      </c>
      <c r="L870" s="14"/>
    </row>
    <row r="871" spans="1:12" ht="15" customHeight="1" x14ac:dyDescent="0.25">
      <c r="A871" s="21" t="s">
        <v>139</v>
      </c>
      <c r="B871" s="22"/>
      <c r="C871" s="22"/>
      <c r="D871" s="22"/>
      <c r="E871" s="23"/>
      <c r="F871" s="19" t="str">
        <f>"035239"</f>
        <v>035239</v>
      </c>
      <c r="G871" s="19" t="s">
        <v>81</v>
      </c>
      <c r="H871" s="20">
        <v>62.8</v>
      </c>
      <c r="I871" s="24">
        <v>1</v>
      </c>
      <c r="J871" s="25"/>
      <c r="K871" s="24">
        <v>62.8</v>
      </c>
      <c r="L871" s="25"/>
    </row>
    <row r="872" spans="1:12" ht="15" customHeight="1" x14ac:dyDescent="0.25">
      <c r="A872" s="15" t="s">
        <v>51</v>
      </c>
      <c r="B872" s="16"/>
      <c r="C872" s="16"/>
      <c r="D872" s="16"/>
      <c r="E872" s="16"/>
      <c r="F872" s="16"/>
      <c r="G872" s="16"/>
      <c r="H872" s="16"/>
      <c r="I872" s="16"/>
      <c r="J872" s="17"/>
      <c r="K872" s="15">
        <v>62.8</v>
      </c>
      <c r="L872" s="17"/>
    </row>
    <row r="873" spans="1:12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</row>
    <row r="874" spans="1:12" ht="15" customHeight="1" x14ac:dyDescent="0.25">
      <c r="A874" s="10" t="s">
        <v>52</v>
      </c>
      <c r="B874" s="11"/>
      <c r="C874" s="11"/>
      <c r="D874" s="11"/>
      <c r="E874" s="12"/>
      <c r="F874" s="8" t="s">
        <v>21</v>
      </c>
      <c r="G874" s="8" t="s">
        <v>22</v>
      </c>
      <c r="H874" s="9" t="s">
        <v>44</v>
      </c>
      <c r="I874" s="13" t="s">
        <v>34</v>
      </c>
      <c r="J874" s="14"/>
      <c r="K874" s="13" t="s">
        <v>50</v>
      </c>
      <c r="L874" s="14"/>
    </row>
    <row r="875" spans="1:12" ht="45" customHeight="1" x14ac:dyDescent="0.25">
      <c r="A875" s="21" t="s">
        <v>140</v>
      </c>
      <c r="B875" s="22"/>
      <c r="C875" s="22"/>
      <c r="D875" s="22"/>
      <c r="E875" s="23"/>
      <c r="F875" s="19" t="s">
        <v>141</v>
      </c>
      <c r="G875" s="19" t="s">
        <v>84</v>
      </c>
      <c r="H875" s="20">
        <v>1</v>
      </c>
      <c r="I875" s="29">
        <v>1978.67</v>
      </c>
      <c r="J875" s="30"/>
      <c r="K875" s="29">
        <v>1978.67</v>
      </c>
      <c r="L875" s="30"/>
    </row>
    <row r="876" spans="1:12" ht="15" customHeight="1" x14ac:dyDescent="0.25">
      <c r="A876" s="15" t="s">
        <v>53</v>
      </c>
      <c r="B876" s="16"/>
      <c r="C876" s="16"/>
      <c r="D876" s="16"/>
      <c r="E876" s="16"/>
      <c r="F876" s="16"/>
      <c r="G876" s="16"/>
      <c r="H876" s="16"/>
      <c r="I876" s="16"/>
      <c r="J876" s="17"/>
      <c r="K876" s="31">
        <v>1978.67</v>
      </c>
      <c r="L876" s="32"/>
    </row>
    <row r="877" spans="1:12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</row>
    <row r="878" spans="1:12" ht="15" customHeight="1" x14ac:dyDescent="0.25">
      <c r="A878" s="10" t="s">
        <v>54</v>
      </c>
      <c r="B878" s="11"/>
      <c r="C878" s="12"/>
      <c r="D878" s="8" t="s">
        <v>21</v>
      </c>
      <c r="E878" s="8" t="s">
        <v>22</v>
      </c>
      <c r="F878" s="9" t="s">
        <v>55</v>
      </c>
      <c r="G878" s="8" t="s">
        <v>56</v>
      </c>
      <c r="H878" s="8" t="s">
        <v>57</v>
      </c>
      <c r="I878" s="8" t="s">
        <v>58</v>
      </c>
      <c r="J878" s="9" t="s">
        <v>59</v>
      </c>
      <c r="K878" s="9" t="s">
        <v>34</v>
      </c>
      <c r="L878" s="9" t="s">
        <v>50</v>
      </c>
    </row>
    <row r="879" spans="1:12" ht="15" customHeight="1" x14ac:dyDescent="0.25">
      <c r="A879" s="15" t="s">
        <v>60</v>
      </c>
      <c r="B879" s="16"/>
      <c r="C879" s="16"/>
      <c r="D879" s="16"/>
      <c r="E879" s="16"/>
      <c r="F879" s="16"/>
      <c r="G879" s="16"/>
      <c r="H879" s="16"/>
      <c r="I879" s="16"/>
      <c r="J879" s="17"/>
      <c r="K879" s="15">
        <v>0</v>
      </c>
      <c r="L879" s="17"/>
    </row>
    <row r="880" spans="1:12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</row>
    <row r="881" spans="1:12" ht="15" customHeight="1" x14ac:dyDescent="0.25">
      <c r="A881" s="27" t="s">
        <v>61</v>
      </c>
      <c r="B881" s="27"/>
      <c r="C881" s="27"/>
      <c r="D881" s="27"/>
      <c r="E881" s="27"/>
      <c r="F881" s="27"/>
      <c r="G881" s="27"/>
      <c r="H881" s="27"/>
      <c r="I881" s="27"/>
      <c r="J881" s="27"/>
      <c r="K881" s="28">
        <v>2041.47</v>
      </c>
      <c r="L881" s="28"/>
    </row>
    <row r="882" spans="1:12" ht="15" customHeight="1" x14ac:dyDescent="0.25">
      <c r="A882" s="27" t="s">
        <v>62</v>
      </c>
      <c r="B882" s="27"/>
      <c r="C882" s="27"/>
      <c r="D882" s="27"/>
      <c r="E882" s="27"/>
      <c r="F882" s="27"/>
      <c r="G882" s="27"/>
      <c r="H882" s="27"/>
      <c r="I882" s="27"/>
      <c r="J882" s="27"/>
      <c r="K882" s="27">
        <v>678.79</v>
      </c>
      <c r="L882" s="27"/>
    </row>
    <row r="883" spans="1:12" ht="15" customHeight="1" x14ac:dyDescent="0.25">
      <c r="A883" s="27" t="s">
        <v>63</v>
      </c>
      <c r="B883" s="27"/>
      <c r="C883" s="27"/>
      <c r="D883" s="27"/>
      <c r="E883" s="27"/>
      <c r="F883" s="27"/>
      <c r="G883" s="27"/>
      <c r="H883" s="27"/>
      <c r="I883" s="27"/>
      <c r="J883" s="27"/>
      <c r="K883" s="28">
        <v>2720.26</v>
      </c>
      <c r="L883" s="28"/>
    </row>
    <row r="884" spans="1:1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" customHeight="1" x14ac:dyDescent="0.25">
      <c r="A885" s="3" t="s">
        <v>8</v>
      </c>
      <c r="B885" s="6" t="s">
        <v>9</v>
      </c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 spans="1:12" ht="15" customHeight="1" x14ac:dyDescent="0.25">
      <c r="A886" s="3" t="s">
        <v>10</v>
      </c>
      <c r="B886" s="6" t="s">
        <v>142</v>
      </c>
      <c r="C886" s="6"/>
      <c r="D886" s="6"/>
      <c r="E886" s="6"/>
      <c r="F886" s="6"/>
      <c r="G886" s="6"/>
      <c r="H886" s="6"/>
      <c r="I886" s="6"/>
      <c r="J886" s="6"/>
      <c r="K886" s="3" t="s">
        <v>12</v>
      </c>
      <c r="L886" s="4" t="s">
        <v>13</v>
      </c>
    </row>
    <row r="887" spans="1:12" ht="15" customHeight="1" x14ac:dyDescent="0.25">
      <c r="A887" s="3" t="s">
        <v>14</v>
      </c>
      <c r="B887" s="6" t="s">
        <v>88</v>
      </c>
      <c r="C887" s="6"/>
      <c r="D887" s="7" t="s">
        <v>16</v>
      </c>
      <c r="E887" s="7"/>
      <c r="F887" s="6" t="str">
        <f>"2AD3.000151"</f>
        <v>2AD3.000151</v>
      </c>
      <c r="G887" s="6"/>
      <c r="H887" s="3" t="s">
        <v>17</v>
      </c>
      <c r="I887" s="6" t="s">
        <v>89</v>
      </c>
      <c r="J887" s="6"/>
      <c r="K887" s="3" t="s">
        <v>19</v>
      </c>
      <c r="L887" s="5">
        <v>1</v>
      </c>
    </row>
    <row r="888" spans="1:1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" customHeight="1" x14ac:dyDescent="0.25">
      <c r="A889" s="10" t="s">
        <v>20</v>
      </c>
      <c r="B889" s="11"/>
      <c r="C889" s="12"/>
      <c r="D889" s="8" t="s">
        <v>21</v>
      </c>
      <c r="E889" s="8" t="s">
        <v>22</v>
      </c>
      <c r="F889" s="9" t="s">
        <v>23</v>
      </c>
      <c r="G889" s="9" t="s">
        <v>24</v>
      </c>
      <c r="H889" s="9" t="s">
        <v>25</v>
      </c>
      <c r="I889" s="9" t="s">
        <v>26</v>
      </c>
      <c r="J889" s="9" t="s">
        <v>27</v>
      </c>
      <c r="K889" s="13" t="s">
        <v>28</v>
      </c>
      <c r="L889" s="14"/>
    </row>
    <row r="890" spans="1:12" ht="15" customHeight="1" x14ac:dyDescent="0.25">
      <c r="A890" s="15" t="s">
        <v>29</v>
      </c>
      <c r="B890" s="16"/>
      <c r="C890" s="16"/>
      <c r="D890" s="16"/>
      <c r="E890" s="16"/>
      <c r="F890" s="16"/>
      <c r="G890" s="16"/>
      <c r="H890" s="16"/>
      <c r="I890" s="16"/>
      <c r="J890" s="17"/>
      <c r="K890" s="15">
        <v>0</v>
      </c>
      <c r="L890" s="17"/>
    </row>
    <row r="891" spans="1:12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</row>
    <row r="892" spans="1:12" ht="15" customHeight="1" x14ac:dyDescent="0.25">
      <c r="A892" s="10" t="s">
        <v>30</v>
      </c>
      <c r="B892" s="11"/>
      <c r="C892" s="12"/>
      <c r="D892" s="8" t="s">
        <v>21</v>
      </c>
      <c r="E892" s="8" t="s">
        <v>22</v>
      </c>
      <c r="F892" s="9" t="s">
        <v>31</v>
      </c>
      <c r="G892" s="9" t="s">
        <v>32</v>
      </c>
      <c r="H892" s="9" t="s">
        <v>33</v>
      </c>
      <c r="I892" s="13" t="s">
        <v>34</v>
      </c>
      <c r="J892" s="14"/>
      <c r="K892" s="13" t="s">
        <v>28</v>
      </c>
      <c r="L892" s="14"/>
    </row>
    <row r="893" spans="1:12" ht="15" customHeight="1" x14ac:dyDescent="0.25">
      <c r="A893" s="15" t="s">
        <v>38</v>
      </c>
      <c r="B893" s="16"/>
      <c r="C893" s="16"/>
      <c r="D893" s="16"/>
      <c r="E893" s="16"/>
      <c r="F893" s="16"/>
      <c r="G893" s="16"/>
      <c r="H893" s="16"/>
      <c r="I893" s="16"/>
      <c r="J893" s="17"/>
      <c r="K893" s="15">
        <v>0</v>
      </c>
      <c r="L893" s="17"/>
    </row>
    <row r="894" spans="1:12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</row>
    <row r="895" spans="1:12" ht="15" customHeight="1" x14ac:dyDescent="0.25">
      <c r="A895" s="10" t="s">
        <v>39</v>
      </c>
      <c r="B895" s="11"/>
      <c r="C895" s="12"/>
      <c r="D895" s="8" t="s">
        <v>21</v>
      </c>
      <c r="E895" s="13" t="s">
        <v>40</v>
      </c>
      <c r="F895" s="14"/>
      <c r="G895" s="8" t="s">
        <v>41</v>
      </c>
      <c r="H895" s="8" t="s">
        <v>42</v>
      </c>
      <c r="I895" s="8" t="s">
        <v>43</v>
      </c>
      <c r="J895" s="13" t="s">
        <v>44</v>
      </c>
      <c r="K895" s="26"/>
      <c r="L895" s="14"/>
    </row>
    <row r="896" spans="1:12" ht="15" customHeight="1" x14ac:dyDescent="0.25">
      <c r="A896" s="15" t="s">
        <v>45</v>
      </c>
      <c r="B896" s="16"/>
      <c r="C896" s="16"/>
      <c r="D896" s="16"/>
      <c r="E896" s="16"/>
      <c r="F896" s="16"/>
      <c r="G896" s="16"/>
      <c r="H896" s="16"/>
      <c r="I896" s="16"/>
      <c r="J896" s="17"/>
      <c r="K896" s="15">
        <v>0</v>
      </c>
      <c r="L896" s="17"/>
    </row>
    <row r="897" spans="1:12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</row>
    <row r="898" spans="1:12" ht="15" customHeight="1" x14ac:dyDescent="0.25">
      <c r="A898" s="27" t="s">
        <v>46</v>
      </c>
      <c r="B898" s="27"/>
      <c r="C898" s="27"/>
      <c r="D898" s="27"/>
      <c r="E898" s="27"/>
      <c r="F898" s="27"/>
      <c r="G898" s="27"/>
      <c r="H898" s="27"/>
      <c r="I898" s="27"/>
      <c r="J898" s="27"/>
      <c r="K898" s="27">
        <v>0</v>
      </c>
      <c r="L898" s="27"/>
    </row>
    <row r="899" spans="1:12" ht="15" customHeight="1" x14ac:dyDescent="0.25">
      <c r="A899" s="27" t="s">
        <v>47</v>
      </c>
      <c r="B899" s="27"/>
      <c r="C899" s="27"/>
      <c r="D899" s="27"/>
      <c r="E899" s="27"/>
      <c r="F899" s="27"/>
      <c r="G899" s="27"/>
      <c r="H899" s="27"/>
      <c r="I899" s="27"/>
      <c r="J899" s="27"/>
      <c r="K899" s="27">
        <v>1</v>
      </c>
      <c r="L899" s="27"/>
    </row>
    <row r="900" spans="1:12" ht="15" customHeight="1" x14ac:dyDescent="0.25">
      <c r="A900" s="27" t="s">
        <v>48</v>
      </c>
      <c r="B900" s="27"/>
      <c r="C900" s="27"/>
      <c r="D900" s="27"/>
      <c r="E900" s="27"/>
      <c r="F900" s="27"/>
      <c r="G900" s="27"/>
      <c r="H900" s="27"/>
      <c r="I900" s="27"/>
      <c r="J900" s="27"/>
      <c r="K900" s="27">
        <v>0</v>
      </c>
      <c r="L900" s="27"/>
    </row>
    <row r="901" spans="1:1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" customHeight="1" x14ac:dyDescent="0.25">
      <c r="A902" s="10" t="s">
        <v>49</v>
      </c>
      <c r="B902" s="11"/>
      <c r="C902" s="11"/>
      <c r="D902" s="11"/>
      <c r="E902" s="12"/>
      <c r="F902" s="8" t="s">
        <v>21</v>
      </c>
      <c r="G902" s="8" t="s">
        <v>22</v>
      </c>
      <c r="H902" s="9" t="s">
        <v>44</v>
      </c>
      <c r="I902" s="13" t="s">
        <v>34</v>
      </c>
      <c r="J902" s="14"/>
      <c r="K902" s="13" t="s">
        <v>50</v>
      </c>
      <c r="L902" s="14"/>
    </row>
    <row r="903" spans="1:12" ht="15" customHeight="1" x14ac:dyDescent="0.25">
      <c r="A903" s="15" t="s">
        <v>51</v>
      </c>
      <c r="B903" s="16"/>
      <c r="C903" s="16"/>
      <c r="D903" s="16"/>
      <c r="E903" s="16"/>
      <c r="F903" s="16"/>
      <c r="G903" s="16"/>
      <c r="H903" s="16"/>
      <c r="I903" s="16"/>
      <c r="J903" s="17"/>
      <c r="K903" s="15">
        <v>0</v>
      </c>
      <c r="L903" s="17"/>
    </row>
    <row r="904" spans="1:12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</row>
    <row r="905" spans="1:12" ht="15" customHeight="1" x14ac:dyDescent="0.25">
      <c r="A905" s="10" t="s">
        <v>52</v>
      </c>
      <c r="B905" s="11"/>
      <c r="C905" s="11"/>
      <c r="D905" s="11"/>
      <c r="E905" s="12"/>
      <c r="F905" s="8" t="s">
        <v>21</v>
      </c>
      <c r="G905" s="8" t="s">
        <v>22</v>
      </c>
      <c r="H905" s="9" t="s">
        <v>44</v>
      </c>
      <c r="I905" s="13" t="s">
        <v>34</v>
      </c>
      <c r="J905" s="14"/>
      <c r="K905" s="13" t="s">
        <v>50</v>
      </c>
      <c r="L905" s="14"/>
    </row>
    <row r="906" spans="1:12" ht="15" customHeight="1" x14ac:dyDescent="0.25">
      <c r="A906" s="21" t="s">
        <v>143</v>
      </c>
      <c r="B906" s="22"/>
      <c r="C906" s="22"/>
      <c r="D906" s="22"/>
      <c r="E906" s="23"/>
      <c r="F906" s="19" t="s">
        <v>144</v>
      </c>
      <c r="G906" s="19" t="s">
        <v>13</v>
      </c>
      <c r="H906" s="20">
        <v>1</v>
      </c>
      <c r="I906" s="24">
        <v>402.96</v>
      </c>
      <c r="J906" s="25"/>
      <c r="K906" s="24">
        <v>402.96</v>
      </c>
      <c r="L906" s="25"/>
    </row>
    <row r="907" spans="1:12" ht="15" customHeight="1" x14ac:dyDescent="0.25">
      <c r="A907" s="15" t="s">
        <v>53</v>
      </c>
      <c r="B907" s="16"/>
      <c r="C907" s="16"/>
      <c r="D907" s="16"/>
      <c r="E907" s="16"/>
      <c r="F907" s="16"/>
      <c r="G907" s="16"/>
      <c r="H907" s="16"/>
      <c r="I907" s="16"/>
      <c r="J907" s="17"/>
      <c r="K907" s="15">
        <v>402.96</v>
      </c>
      <c r="L907" s="17"/>
    </row>
    <row r="908" spans="1:12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</row>
    <row r="909" spans="1:12" ht="15" customHeight="1" x14ac:dyDescent="0.25">
      <c r="A909" s="10" t="s">
        <v>54</v>
      </c>
      <c r="B909" s="11"/>
      <c r="C909" s="12"/>
      <c r="D909" s="8" t="s">
        <v>21</v>
      </c>
      <c r="E909" s="8" t="s">
        <v>22</v>
      </c>
      <c r="F909" s="9" t="s">
        <v>55</v>
      </c>
      <c r="G909" s="8" t="s">
        <v>56</v>
      </c>
      <c r="H909" s="8" t="s">
        <v>57</v>
      </c>
      <c r="I909" s="8" t="s">
        <v>58</v>
      </c>
      <c r="J909" s="9" t="s">
        <v>59</v>
      </c>
      <c r="K909" s="9" t="s">
        <v>34</v>
      </c>
      <c r="L909" s="9" t="s">
        <v>50</v>
      </c>
    </row>
    <row r="910" spans="1:12" ht="15" customHeight="1" x14ac:dyDescent="0.25">
      <c r="A910" s="15" t="s">
        <v>60</v>
      </c>
      <c r="B910" s="16"/>
      <c r="C910" s="16"/>
      <c r="D910" s="16"/>
      <c r="E910" s="16"/>
      <c r="F910" s="16"/>
      <c r="G910" s="16"/>
      <c r="H910" s="16"/>
      <c r="I910" s="16"/>
      <c r="J910" s="17"/>
      <c r="K910" s="15">
        <v>0</v>
      </c>
      <c r="L910" s="17"/>
    </row>
    <row r="911" spans="1:12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</row>
    <row r="912" spans="1:12" ht="15" customHeight="1" x14ac:dyDescent="0.25">
      <c r="A912" s="27" t="s">
        <v>61</v>
      </c>
      <c r="B912" s="27"/>
      <c r="C912" s="27"/>
      <c r="D912" s="27"/>
      <c r="E912" s="27"/>
      <c r="F912" s="27"/>
      <c r="G912" s="27"/>
      <c r="H912" s="27"/>
      <c r="I912" s="27"/>
      <c r="J912" s="27"/>
      <c r="K912" s="27">
        <v>402.96</v>
      </c>
      <c r="L912" s="27"/>
    </row>
    <row r="913" spans="1:12" ht="15" customHeight="1" x14ac:dyDescent="0.25">
      <c r="A913" s="27" t="s">
        <v>62</v>
      </c>
      <c r="B913" s="27"/>
      <c r="C913" s="27"/>
      <c r="D913" s="27"/>
      <c r="E913" s="27"/>
      <c r="F913" s="27"/>
      <c r="G913" s="27"/>
      <c r="H913" s="27"/>
      <c r="I913" s="27"/>
      <c r="J913" s="27"/>
      <c r="K913" s="27">
        <v>133.97999999999999</v>
      </c>
      <c r="L913" s="27"/>
    </row>
    <row r="914" spans="1:12" ht="15" customHeight="1" x14ac:dyDescent="0.25">
      <c r="A914" s="27" t="s">
        <v>63</v>
      </c>
      <c r="B914" s="27"/>
      <c r="C914" s="27"/>
      <c r="D914" s="27"/>
      <c r="E914" s="27"/>
      <c r="F914" s="27"/>
      <c r="G914" s="27"/>
      <c r="H914" s="27"/>
      <c r="I914" s="27"/>
      <c r="J914" s="27"/>
      <c r="K914" s="27">
        <v>536.94000000000005</v>
      </c>
      <c r="L914" s="27"/>
    </row>
    <row r="915" spans="1:1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" customHeight="1" x14ac:dyDescent="0.25">
      <c r="A916" s="3" t="s">
        <v>8</v>
      </c>
      <c r="B916" s="6" t="s">
        <v>9</v>
      </c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 spans="1:12" ht="15" customHeight="1" x14ac:dyDescent="0.25">
      <c r="A917" s="3" t="s">
        <v>10</v>
      </c>
      <c r="B917" s="6" t="s">
        <v>145</v>
      </c>
      <c r="C917" s="6"/>
      <c r="D917" s="6"/>
      <c r="E917" s="6"/>
      <c r="F917" s="6"/>
      <c r="G917" s="6"/>
      <c r="H917" s="6"/>
      <c r="I917" s="6"/>
      <c r="J917" s="6"/>
      <c r="K917" s="3" t="s">
        <v>12</v>
      </c>
      <c r="L917" s="4" t="s">
        <v>13</v>
      </c>
    </row>
    <row r="918" spans="1:12" ht="15" customHeight="1" x14ac:dyDescent="0.25">
      <c r="A918" s="3" t="s">
        <v>14</v>
      </c>
      <c r="B918" s="6" t="s">
        <v>15</v>
      </c>
      <c r="C918" s="6"/>
      <c r="D918" s="7" t="s">
        <v>16</v>
      </c>
      <c r="E918" s="7"/>
      <c r="F918" s="6" t="str">
        <f>"071105"</f>
        <v>071105</v>
      </c>
      <c r="G918" s="6"/>
      <c r="H918" s="3" t="s">
        <v>17</v>
      </c>
      <c r="I918" s="6" t="s">
        <v>18</v>
      </c>
      <c r="J918" s="6"/>
      <c r="K918" s="3" t="s">
        <v>19</v>
      </c>
      <c r="L918" s="5">
        <v>1</v>
      </c>
    </row>
    <row r="919" spans="1:1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" customHeight="1" x14ac:dyDescent="0.25">
      <c r="A920" s="10" t="s">
        <v>20</v>
      </c>
      <c r="B920" s="11"/>
      <c r="C920" s="12"/>
      <c r="D920" s="8" t="s">
        <v>21</v>
      </c>
      <c r="E920" s="8" t="s">
        <v>22</v>
      </c>
      <c r="F920" s="9" t="s">
        <v>23</v>
      </c>
      <c r="G920" s="9" t="s">
        <v>24</v>
      </c>
      <c r="H920" s="9" t="s">
        <v>25</v>
      </c>
      <c r="I920" s="9" t="s">
        <v>26</v>
      </c>
      <c r="J920" s="9" t="s">
        <v>27</v>
      </c>
      <c r="K920" s="13" t="s">
        <v>28</v>
      </c>
      <c r="L920" s="14"/>
    </row>
    <row r="921" spans="1:12" ht="15" customHeight="1" x14ac:dyDescent="0.25">
      <c r="A921" s="15" t="s">
        <v>29</v>
      </c>
      <c r="B921" s="16"/>
      <c r="C921" s="16"/>
      <c r="D921" s="16"/>
      <c r="E921" s="16"/>
      <c r="F921" s="16"/>
      <c r="G921" s="16"/>
      <c r="H921" s="16"/>
      <c r="I921" s="16"/>
      <c r="J921" s="17"/>
      <c r="K921" s="15">
        <v>0</v>
      </c>
      <c r="L921" s="17"/>
    </row>
    <row r="922" spans="1:12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</row>
    <row r="923" spans="1:12" ht="15" customHeight="1" x14ac:dyDescent="0.25">
      <c r="A923" s="10" t="s">
        <v>30</v>
      </c>
      <c r="B923" s="11"/>
      <c r="C923" s="12"/>
      <c r="D923" s="8" t="s">
        <v>21</v>
      </c>
      <c r="E923" s="8" t="s">
        <v>22</v>
      </c>
      <c r="F923" s="9" t="s">
        <v>31</v>
      </c>
      <c r="G923" s="9" t="s">
        <v>32</v>
      </c>
      <c r="H923" s="9" t="s">
        <v>33</v>
      </c>
      <c r="I923" s="13" t="s">
        <v>34</v>
      </c>
      <c r="J923" s="14"/>
      <c r="K923" s="13" t="s">
        <v>28</v>
      </c>
      <c r="L923" s="14"/>
    </row>
    <row r="924" spans="1:12" ht="15" customHeight="1" x14ac:dyDescent="0.25">
      <c r="A924" s="21" t="s">
        <v>69</v>
      </c>
      <c r="B924" s="22"/>
      <c r="C924" s="23"/>
      <c r="D924" s="19" t="str">
        <f>"010139"</f>
        <v>010139</v>
      </c>
      <c r="E924" s="19" t="s">
        <v>36</v>
      </c>
      <c r="F924" s="20">
        <v>10.119999999999999</v>
      </c>
      <c r="G924" s="20">
        <v>157.27000000000001</v>
      </c>
      <c r="H924" s="20">
        <v>26.03</v>
      </c>
      <c r="I924" s="24">
        <v>3</v>
      </c>
      <c r="J924" s="25"/>
      <c r="K924" s="24">
        <v>78.09</v>
      </c>
      <c r="L924" s="25"/>
    </row>
    <row r="925" spans="1:12" ht="15" customHeight="1" x14ac:dyDescent="0.25">
      <c r="A925" s="21" t="s">
        <v>37</v>
      </c>
      <c r="B925" s="22"/>
      <c r="C925" s="23"/>
      <c r="D925" s="19" t="str">
        <f>"010146"</f>
        <v>010146</v>
      </c>
      <c r="E925" s="19" t="s">
        <v>36</v>
      </c>
      <c r="F925" s="20">
        <v>7.65</v>
      </c>
      <c r="G925" s="20">
        <v>157.27000000000001</v>
      </c>
      <c r="H925" s="20">
        <v>19.68</v>
      </c>
      <c r="I925" s="24">
        <v>3</v>
      </c>
      <c r="J925" s="25"/>
      <c r="K925" s="24">
        <v>59.04</v>
      </c>
      <c r="L925" s="25"/>
    </row>
    <row r="926" spans="1:12" ht="15" customHeight="1" x14ac:dyDescent="0.25">
      <c r="A926" s="15" t="s">
        <v>38</v>
      </c>
      <c r="B926" s="16"/>
      <c r="C926" s="16"/>
      <c r="D926" s="16"/>
      <c r="E926" s="16"/>
      <c r="F926" s="16"/>
      <c r="G926" s="16"/>
      <c r="H926" s="16"/>
      <c r="I926" s="16"/>
      <c r="J926" s="17"/>
      <c r="K926" s="15">
        <v>137.13</v>
      </c>
      <c r="L926" s="17"/>
    </row>
    <row r="927" spans="1:12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</row>
    <row r="928" spans="1:12" ht="15" customHeight="1" x14ac:dyDescent="0.25">
      <c r="A928" s="10" t="s">
        <v>39</v>
      </c>
      <c r="B928" s="11"/>
      <c r="C928" s="12"/>
      <c r="D928" s="8" t="s">
        <v>21</v>
      </c>
      <c r="E928" s="13" t="s">
        <v>40</v>
      </c>
      <c r="F928" s="14"/>
      <c r="G928" s="8" t="s">
        <v>41</v>
      </c>
      <c r="H928" s="8" t="s">
        <v>42</v>
      </c>
      <c r="I928" s="8" t="s">
        <v>43</v>
      </c>
      <c r="J928" s="13" t="s">
        <v>44</v>
      </c>
      <c r="K928" s="26"/>
      <c r="L928" s="14"/>
    </row>
    <row r="929" spans="1:12" ht="15" customHeight="1" x14ac:dyDescent="0.25">
      <c r="A929" s="21" t="s">
        <v>146</v>
      </c>
      <c r="B929" s="22"/>
      <c r="C929" s="23"/>
      <c r="D929" s="19" t="s">
        <v>147</v>
      </c>
      <c r="E929" s="24">
        <v>0.51200000000000001</v>
      </c>
      <c r="F929" s="25"/>
      <c r="G929" s="20"/>
      <c r="H929" s="20"/>
      <c r="I929" s="20" t="s">
        <v>148</v>
      </c>
      <c r="J929" s="24">
        <v>85.68</v>
      </c>
      <c r="K929" s="33"/>
      <c r="L929" s="25"/>
    </row>
    <row r="930" spans="1:12" ht="15" customHeight="1" x14ac:dyDescent="0.25">
      <c r="A930" s="15" t="s">
        <v>45</v>
      </c>
      <c r="B930" s="16"/>
      <c r="C930" s="16"/>
      <c r="D930" s="16"/>
      <c r="E930" s="16"/>
      <c r="F930" s="16"/>
      <c r="G930" s="16"/>
      <c r="H930" s="16"/>
      <c r="I930" s="16"/>
      <c r="J930" s="17"/>
      <c r="K930" s="15">
        <v>85.68</v>
      </c>
      <c r="L930" s="17"/>
    </row>
    <row r="931" spans="1:12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</row>
    <row r="932" spans="1:12" ht="15" customHeight="1" x14ac:dyDescent="0.25">
      <c r="A932" s="27" t="s">
        <v>46</v>
      </c>
      <c r="B932" s="27"/>
      <c r="C932" s="27"/>
      <c r="D932" s="27"/>
      <c r="E932" s="27"/>
      <c r="F932" s="27"/>
      <c r="G932" s="27"/>
      <c r="H932" s="27"/>
      <c r="I932" s="27"/>
      <c r="J932" s="27"/>
      <c r="K932" s="27">
        <v>222.81</v>
      </c>
      <c r="L932" s="27"/>
    </row>
    <row r="933" spans="1:12" ht="15" customHeight="1" x14ac:dyDescent="0.25">
      <c r="A933" s="27" t="s">
        <v>47</v>
      </c>
      <c r="B933" s="27"/>
      <c r="C933" s="27"/>
      <c r="D933" s="27"/>
      <c r="E933" s="27"/>
      <c r="F933" s="27"/>
      <c r="G933" s="27"/>
      <c r="H933" s="27"/>
      <c r="I933" s="27"/>
      <c r="J933" s="27"/>
      <c r="K933" s="27">
        <v>1</v>
      </c>
      <c r="L933" s="27"/>
    </row>
    <row r="934" spans="1:12" ht="15" customHeight="1" x14ac:dyDescent="0.25">
      <c r="A934" s="27" t="s">
        <v>48</v>
      </c>
      <c r="B934" s="27"/>
      <c r="C934" s="27"/>
      <c r="D934" s="27"/>
      <c r="E934" s="27"/>
      <c r="F934" s="27"/>
      <c r="G934" s="27"/>
      <c r="H934" s="27"/>
      <c r="I934" s="27"/>
      <c r="J934" s="27"/>
      <c r="K934" s="27">
        <v>222.81</v>
      </c>
      <c r="L934" s="27"/>
    </row>
    <row r="935" spans="1:1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" customHeight="1" x14ac:dyDescent="0.25">
      <c r="A936" s="10" t="s">
        <v>49</v>
      </c>
      <c r="B936" s="11"/>
      <c r="C936" s="11"/>
      <c r="D936" s="11"/>
      <c r="E936" s="12"/>
      <c r="F936" s="8" t="s">
        <v>21</v>
      </c>
      <c r="G936" s="8" t="s">
        <v>22</v>
      </c>
      <c r="H936" s="9" t="s">
        <v>44</v>
      </c>
      <c r="I936" s="13" t="s">
        <v>34</v>
      </c>
      <c r="J936" s="14"/>
      <c r="K936" s="13" t="s">
        <v>50</v>
      </c>
      <c r="L936" s="14"/>
    </row>
    <row r="937" spans="1:12" ht="15" customHeight="1" x14ac:dyDescent="0.25">
      <c r="A937" s="21" t="s">
        <v>122</v>
      </c>
      <c r="B937" s="22"/>
      <c r="C937" s="22"/>
      <c r="D937" s="22"/>
      <c r="E937" s="23"/>
      <c r="F937" s="19" t="str">
        <f>"020503"</f>
        <v>020503</v>
      </c>
      <c r="G937" s="19" t="s">
        <v>105</v>
      </c>
      <c r="H937" s="20">
        <v>152</v>
      </c>
      <c r="I937" s="24">
        <v>9.4850000000000004E-3</v>
      </c>
      <c r="J937" s="25"/>
      <c r="K937" s="24">
        <v>1.44</v>
      </c>
      <c r="L937" s="25"/>
    </row>
    <row r="938" spans="1:12" ht="15" customHeight="1" x14ac:dyDescent="0.25">
      <c r="A938" s="21" t="s">
        <v>123</v>
      </c>
      <c r="B938" s="22"/>
      <c r="C938" s="22"/>
      <c r="D938" s="22"/>
      <c r="E938" s="23"/>
      <c r="F938" s="19" t="str">
        <f>"020505"</f>
        <v>020505</v>
      </c>
      <c r="G938" s="19" t="s">
        <v>124</v>
      </c>
      <c r="H938" s="20">
        <v>1.07</v>
      </c>
      <c r="I938" s="24">
        <v>0.56420000000000003</v>
      </c>
      <c r="J938" s="25"/>
      <c r="K938" s="24">
        <v>0.6</v>
      </c>
      <c r="L938" s="25"/>
    </row>
    <row r="939" spans="1:12" ht="15" customHeight="1" x14ac:dyDescent="0.25">
      <c r="A939" s="21" t="s">
        <v>125</v>
      </c>
      <c r="B939" s="22"/>
      <c r="C939" s="22"/>
      <c r="D939" s="22"/>
      <c r="E939" s="23"/>
      <c r="F939" s="19" t="str">
        <f>"020508"</f>
        <v>020508</v>
      </c>
      <c r="G939" s="19" t="s">
        <v>124</v>
      </c>
      <c r="H939" s="20">
        <v>0.59</v>
      </c>
      <c r="I939" s="24">
        <v>2.8483999999999998</v>
      </c>
      <c r="J939" s="25"/>
      <c r="K939" s="24">
        <v>1.68</v>
      </c>
      <c r="L939" s="25"/>
    </row>
    <row r="940" spans="1:12" ht="15" customHeight="1" x14ac:dyDescent="0.25">
      <c r="A940" s="21" t="s">
        <v>149</v>
      </c>
      <c r="B940" s="22"/>
      <c r="C940" s="22"/>
      <c r="D940" s="22"/>
      <c r="E940" s="23"/>
      <c r="F940" s="19" t="str">
        <f>"028125"</f>
        <v>028125</v>
      </c>
      <c r="G940" s="19" t="s">
        <v>99</v>
      </c>
      <c r="H940" s="20">
        <v>11.13</v>
      </c>
      <c r="I940" s="24">
        <v>7.5221229999999997</v>
      </c>
      <c r="J940" s="25"/>
      <c r="K940" s="24">
        <v>83.72</v>
      </c>
      <c r="L940" s="25"/>
    </row>
    <row r="941" spans="1:12" ht="15" customHeight="1" x14ac:dyDescent="0.25">
      <c r="A941" s="21" t="s">
        <v>150</v>
      </c>
      <c r="B941" s="22"/>
      <c r="C941" s="22"/>
      <c r="D941" s="22"/>
      <c r="E941" s="23"/>
      <c r="F941" s="19" t="str">
        <f>"070276"</f>
        <v>070276</v>
      </c>
      <c r="G941" s="19" t="s">
        <v>99</v>
      </c>
      <c r="H941" s="20">
        <v>13.88</v>
      </c>
      <c r="I941" s="24">
        <v>2.5870799999999998</v>
      </c>
      <c r="J941" s="25"/>
      <c r="K941" s="24">
        <v>35.9</v>
      </c>
      <c r="L941" s="25"/>
    </row>
    <row r="942" spans="1:12" ht="15" customHeight="1" x14ac:dyDescent="0.25">
      <c r="A942" s="21" t="s">
        <v>151</v>
      </c>
      <c r="B942" s="22"/>
      <c r="C942" s="22"/>
      <c r="D942" s="22"/>
      <c r="E942" s="23"/>
      <c r="F942" s="19" t="str">
        <f>"079375"</f>
        <v>079375</v>
      </c>
      <c r="G942" s="19" t="s">
        <v>124</v>
      </c>
      <c r="H942" s="20">
        <v>3.5</v>
      </c>
      <c r="I942" s="24">
        <v>13.64</v>
      </c>
      <c r="J942" s="25"/>
      <c r="K942" s="24">
        <v>47.74</v>
      </c>
      <c r="L942" s="25"/>
    </row>
    <row r="943" spans="1:12" ht="15" customHeight="1" x14ac:dyDescent="0.25">
      <c r="A943" s="15" t="s">
        <v>51</v>
      </c>
      <c r="B943" s="16"/>
      <c r="C943" s="16"/>
      <c r="D943" s="16"/>
      <c r="E943" s="16"/>
      <c r="F943" s="16"/>
      <c r="G943" s="16"/>
      <c r="H943" s="16"/>
      <c r="I943" s="16"/>
      <c r="J943" s="17"/>
      <c r="K943" s="15">
        <v>171.08</v>
      </c>
      <c r="L943" s="17"/>
    </row>
    <row r="944" spans="1:12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</row>
    <row r="945" spans="1:12" ht="15" customHeight="1" x14ac:dyDescent="0.25">
      <c r="A945" s="10" t="s">
        <v>52</v>
      </c>
      <c r="B945" s="11"/>
      <c r="C945" s="11"/>
      <c r="D945" s="11"/>
      <c r="E945" s="12"/>
      <c r="F945" s="8" t="s">
        <v>21</v>
      </c>
      <c r="G945" s="8" t="s">
        <v>22</v>
      </c>
      <c r="H945" s="9" t="s">
        <v>44</v>
      </c>
      <c r="I945" s="13" t="s">
        <v>34</v>
      </c>
      <c r="J945" s="14"/>
      <c r="K945" s="13" t="s">
        <v>50</v>
      </c>
      <c r="L945" s="14"/>
    </row>
    <row r="946" spans="1:12" ht="15" customHeight="1" x14ac:dyDescent="0.25">
      <c r="A946" s="15" t="s">
        <v>53</v>
      </c>
      <c r="B946" s="16"/>
      <c r="C946" s="16"/>
      <c r="D946" s="16"/>
      <c r="E946" s="16"/>
      <c r="F946" s="16"/>
      <c r="G946" s="16"/>
      <c r="H946" s="16"/>
      <c r="I946" s="16"/>
      <c r="J946" s="17"/>
      <c r="K946" s="15">
        <v>0</v>
      </c>
      <c r="L946" s="17"/>
    </row>
    <row r="947" spans="1:12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</row>
    <row r="948" spans="1:12" ht="15" customHeight="1" x14ac:dyDescent="0.25">
      <c r="A948" s="10" t="s">
        <v>54</v>
      </c>
      <c r="B948" s="11"/>
      <c r="C948" s="12"/>
      <c r="D948" s="8" t="s">
        <v>21</v>
      </c>
      <c r="E948" s="8" t="s">
        <v>22</v>
      </c>
      <c r="F948" s="9" t="s">
        <v>55</v>
      </c>
      <c r="G948" s="8" t="s">
        <v>56</v>
      </c>
      <c r="H948" s="8" t="s">
        <v>57</v>
      </c>
      <c r="I948" s="8" t="s">
        <v>58</v>
      </c>
      <c r="J948" s="9" t="s">
        <v>59</v>
      </c>
      <c r="K948" s="9" t="s">
        <v>34</v>
      </c>
      <c r="L948" s="9" t="s">
        <v>50</v>
      </c>
    </row>
    <row r="949" spans="1:12" ht="15" customHeight="1" x14ac:dyDescent="0.25">
      <c r="A949" s="15" t="s">
        <v>60</v>
      </c>
      <c r="B949" s="16"/>
      <c r="C949" s="16"/>
      <c r="D949" s="16"/>
      <c r="E949" s="16"/>
      <c r="F949" s="16"/>
      <c r="G949" s="16"/>
      <c r="H949" s="16"/>
      <c r="I949" s="16"/>
      <c r="J949" s="17"/>
      <c r="K949" s="15">
        <v>0</v>
      </c>
      <c r="L949" s="17"/>
    </row>
    <row r="950" spans="1:12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</row>
    <row r="951" spans="1:12" ht="15" customHeight="1" x14ac:dyDescent="0.25">
      <c r="A951" s="27" t="s">
        <v>61</v>
      </c>
      <c r="B951" s="27"/>
      <c r="C951" s="27"/>
      <c r="D951" s="27"/>
      <c r="E951" s="27"/>
      <c r="F951" s="27"/>
      <c r="G951" s="27"/>
      <c r="H951" s="27"/>
      <c r="I951" s="27"/>
      <c r="J951" s="27"/>
      <c r="K951" s="27">
        <v>393.89</v>
      </c>
      <c r="L951" s="27"/>
    </row>
    <row r="952" spans="1:12" ht="15" customHeight="1" x14ac:dyDescent="0.25">
      <c r="A952" s="27" t="s">
        <v>62</v>
      </c>
      <c r="B952" s="27"/>
      <c r="C952" s="27"/>
      <c r="D952" s="27"/>
      <c r="E952" s="27"/>
      <c r="F952" s="27"/>
      <c r="G952" s="27"/>
      <c r="H952" s="27"/>
      <c r="I952" s="27"/>
      <c r="J952" s="27"/>
      <c r="K952" s="27">
        <v>130.97</v>
      </c>
      <c r="L952" s="27"/>
    </row>
    <row r="953" spans="1:12" ht="15" customHeight="1" x14ac:dyDescent="0.25">
      <c r="A953" s="27" t="s">
        <v>63</v>
      </c>
      <c r="B953" s="27"/>
      <c r="C953" s="27"/>
      <c r="D953" s="27"/>
      <c r="E953" s="27"/>
      <c r="F953" s="27"/>
      <c r="G953" s="27"/>
      <c r="H953" s="27"/>
      <c r="I953" s="27"/>
      <c r="J953" s="27"/>
      <c r="K953" s="27">
        <v>524.86</v>
      </c>
      <c r="L953" s="27"/>
    </row>
    <row r="954" spans="1:1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" customHeight="1" x14ac:dyDescent="0.25">
      <c r="A955" s="3" t="s">
        <v>8</v>
      </c>
      <c r="B955" s="6" t="s">
        <v>9</v>
      </c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 spans="1:12" ht="15" customHeight="1" x14ac:dyDescent="0.25">
      <c r="A956" s="3" t="s">
        <v>10</v>
      </c>
      <c r="B956" s="6" t="s">
        <v>152</v>
      </c>
      <c r="C956" s="6"/>
      <c r="D956" s="6"/>
      <c r="E956" s="6"/>
      <c r="F956" s="6"/>
      <c r="G956" s="6"/>
      <c r="H956" s="6"/>
      <c r="I956" s="6"/>
      <c r="J956" s="6"/>
      <c r="K956" s="3" t="s">
        <v>12</v>
      </c>
      <c r="L956" s="4" t="s">
        <v>13</v>
      </c>
    </row>
    <row r="957" spans="1:12" ht="15" customHeight="1" x14ac:dyDescent="0.25">
      <c r="A957" s="3" t="s">
        <v>14</v>
      </c>
      <c r="B957" s="6" t="s">
        <v>15</v>
      </c>
      <c r="C957" s="6"/>
      <c r="D957" s="7" t="s">
        <v>16</v>
      </c>
      <c r="E957" s="7"/>
      <c r="F957" s="6" t="str">
        <f>"071107"</f>
        <v>071107</v>
      </c>
      <c r="G957" s="6"/>
      <c r="H957" s="3" t="s">
        <v>17</v>
      </c>
      <c r="I957" s="6" t="s">
        <v>18</v>
      </c>
      <c r="J957" s="6"/>
      <c r="K957" s="3" t="s">
        <v>19</v>
      </c>
      <c r="L957" s="5">
        <v>1</v>
      </c>
    </row>
    <row r="958" spans="1:1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" customHeight="1" x14ac:dyDescent="0.25">
      <c r="A959" s="10" t="s">
        <v>20</v>
      </c>
      <c r="B959" s="11"/>
      <c r="C959" s="12"/>
      <c r="D959" s="8" t="s">
        <v>21</v>
      </c>
      <c r="E959" s="8" t="s">
        <v>22</v>
      </c>
      <c r="F959" s="9" t="s">
        <v>23</v>
      </c>
      <c r="G959" s="9" t="s">
        <v>24</v>
      </c>
      <c r="H959" s="9" t="s">
        <v>25</v>
      </c>
      <c r="I959" s="9" t="s">
        <v>26</v>
      </c>
      <c r="J959" s="9" t="s">
        <v>27</v>
      </c>
      <c r="K959" s="13" t="s">
        <v>28</v>
      </c>
      <c r="L959" s="14"/>
    </row>
    <row r="960" spans="1:12" ht="15" customHeight="1" x14ac:dyDescent="0.25">
      <c r="A960" s="15" t="s">
        <v>29</v>
      </c>
      <c r="B960" s="16"/>
      <c r="C960" s="16"/>
      <c r="D960" s="16"/>
      <c r="E960" s="16"/>
      <c r="F960" s="16"/>
      <c r="G960" s="16"/>
      <c r="H960" s="16"/>
      <c r="I960" s="16"/>
      <c r="J960" s="17"/>
      <c r="K960" s="15">
        <v>0</v>
      </c>
      <c r="L960" s="17"/>
    </row>
    <row r="961" spans="1:12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</row>
    <row r="962" spans="1:12" ht="15" customHeight="1" x14ac:dyDescent="0.25">
      <c r="A962" s="10" t="s">
        <v>30</v>
      </c>
      <c r="B962" s="11"/>
      <c r="C962" s="12"/>
      <c r="D962" s="8" t="s">
        <v>21</v>
      </c>
      <c r="E962" s="8" t="s">
        <v>22</v>
      </c>
      <c r="F962" s="9" t="s">
        <v>31</v>
      </c>
      <c r="G962" s="9" t="s">
        <v>32</v>
      </c>
      <c r="H962" s="9" t="s">
        <v>33</v>
      </c>
      <c r="I962" s="13" t="s">
        <v>34</v>
      </c>
      <c r="J962" s="14"/>
      <c r="K962" s="13" t="s">
        <v>28</v>
      </c>
      <c r="L962" s="14"/>
    </row>
    <row r="963" spans="1:12" ht="15" customHeight="1" x14ac:dyDescent="0.25">
      <c r="A963" s="21" t="s">
        <v>69</v>
      </c>
      <c r="B963" s="22"/>
      <c r="C963" s="23"/>
      <c r="D963" s="19" t="str">
        <f>"010139"</f>
        <v>010139</v>
      </c>
      <c r="E963" s="19" t="s">
        <v>36</v>
      </c>
      <c r="F963" s="20">
        <v>10.119999999999999</v>
      </c>
      <c r="G963" s="20">
        <v>157.27000000000001</v>
      </c>
      <c r="H963" s="20">
        <v>26.03</v>
      </c>
      <c r="I963" s="24">
        <v>3</v>
      </c>
      <c r="J963" s="25"/>
      <c r="K963" s="24">
        <v>78.09</v>
      </c>
      <c r="L963" s="25"/>
    </row>
    <row r="964" spans="1:12" ht="15" customHeight="1" x14ac:dyDescent="0.25">
      <c r="A964" s="21" t="s">
        <v>37</v>
      </c>
      <c r="B964" s="22"/>
      <c r="C964" s="23"/>
      <c r="D964" s="19" t="str">
        <f>"010146"</f>
        <v>010146</v>
      </c>
      <c r="E964" s="19" t="s">
        <v>36</v>
      </c>
      <c r="F964" s="20">
        <v>7.65</v>
      </c>
      <c r="G964" s="20">
        <v>157.27000000000001</v>
      </c>
      <c r="H964" s="20">
        <v>19.68</v>
      </c>
      <c r="I964" s="24">
        <v>3.06</v>
      </c>
      <c r="J964" s="25"/>
      <c r="K964" s="24">
        <v>60.22</v>
      </c>
      <c r="L964" s="25"/>
    </row>
    <row r="965" spans="1:12" ht="15" customHeight="1" x14ac:dyDescent="0.25">
      <c r="A965" s="15" t="s">
        <v>38</v>
      </c>
      <c r="B965" s="16"/>
      <c r="C965" s="16"/>
      <c r="D965" s="16"/>
      <c r="E965" s="16"/>
      <c r="F965" s="16"/>
      <c r="G965" s="16"/>
      <c r="H965" s="16"/>
      <c r="I965" s="16"/>
      <c r="J965" s="17"/>
      <c r="K965" s="15">
        <v>138.31</v>
      </c>
      <c r="L965" s="17"/>
    </row>
    <row r="966" spans="1:12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</row>
    <row r="967" spans="1:12" ht="15" customHeight="1" x14ac:dyDescent="0.25">
      <c r="A967" s="10" t="s">
        <v>39</v>
      </c>
      <c r="B967" s="11"/>
      <c r="C967" s="12"/>
      <c r="D967" s="8" t="s">
        <v>21</v>
      </c>
      <c r="E967" s="13" t="s">
        <v>40</v>
      </c>
      <c r="F967" s="14"/>
      <c r="G967" s="8" t="s">
        <v>41</v>
      </c>
      <c r="H967" s="8" t="s">
        <v>42</v>
      </c>
      <c r="I967" s="8" t="s">
        <v>43</v>
      </c>
      <c r="J967" s="13" t="s">
        <v>44</v>
      </c>
      <c r="K967" s="26"/>
      <c r="L967" s="14"/>
    </row>
    <row r="968" spans="1:12" ht="15" customHeight="1" x14ac:dyDescent="0.25">
      <c r="A968" s="21" t="s">
        <v>146</v>
      </c>
      <c r="B968" s="22"/>
      <c r="C968" s="23"/>
      <c r="D968" s="19" t="s">
        <v>147</v>
      </c>
      <c r="E968" s="24">
        <v>0.51200000000000001</v>
      </c>
      <c r="F968" s="25"/>
      <c r="G968" s="20"/>
      <c r="H968" s="20"/>
      <c r="I968" s="20" t="s">
        <v>148</v>
      </c>
      <c r="J968" s="24">
        <v>239.92</v>
      </c>
      <c r="K968" s="33"/>
      <c r="L968" s="25"/>
    </row>
    <row r="969" spans="1:12" ht="15" customHeight="1" x14ac:dyDescent="0.25">
      <c r="A969" s="15" t="s">
        <v>45</v>
      </c>
      <c r="B969" s="16"/>
      <c r="C969" s="16"/>
      <c r="D969" s="16"/>
      <c r="E969" s="16"/>
      <c r="F969" s="16"/>
      <c r="G969" s="16"/>
      <c r="H969" s="16"/>
      <c r="I969" s="16"/>
      <c r="J969" s="17"/>
      <c r="K969" s="15">
        <v>239.92</v>
      </c>
      <c r="L969" s="17"/>
    </row>
    <row r="970" spans="1:12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</row>
    <row r="971" spans="1:12" ht="15" customHeight="1" x14ac:dyDescent="0.25">
      <c r="A971" s="27" t="s">
        <v>46</v>
      </c>
      <c r="B971" s="27"/>
      <c r="C971" s="27"/>
      <c r="D971" s="27"/>
      <c r="E971" s="27"/>
      <c r="F971" s="27"/>
      <c r="G971" s="27"/>
      <c r="H971" s="27"/>
      <c r="I971" s="27"/>
      <c r="J971" s="27"/>
      <c r="K971" s="27">
        <v>378.23</v>
      </c>
      <c r="L971" s="27"/>
    </row>
    <row r="972" spans="1:12" ht="15" customHeight="1" x14ac:dyDescent="0.25">
      <c r="A972" s="27" t="s">
        <v>47</v>
      </c>
      <c r="B972" s="27"/>
      <c r="C972" s="27"/>
      <c r="D972" s="27"/>
      <c r="E972" s="27"/>
      <c r="F972" s="27"/>
      <c r="G972" s="27"/>
      <c r="H972" s="27"/>
      <c r="I972" s="27"/>
      <c r="J972" s="27"/>
      <c r="K972" s="27">
        <v>1</v>
      </c>
      <c r="L972" s="27"/>
    </row>
    <row r="973" spans="1:12" ht="15" customHeight="1" x14ac:dyDescent="0.25">
      <c r="A973" s="27" t="s">
        <v>48</v>
      </c>
      <c r="B973" s="27"/>
      <c r="C973" s="27"/>
      <c r="D973" s="27"/>
      <c r="E973" s="27"/>
      <c r="F973" s="27"/>
      <c r="G973" s="27"/>
      <c r="H973" s="27"/>
      <c r="I973" s="27"/>
      <c r="J973" s="27"/>
      <c r="K973" s="27">
        <v>378.23</v>
      </c>
      <c r="L973" s="27"/>
    </row>
    <row r="974" spans="1:1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" customHeight="1" x14ac:dyDescent="0.25">
      <c r="A975" s="10" t="s">
        <v>49</v>
      </c>
      <c r="B975" s="11"/>
      <c r="C975" s="11"/>
      <c r="D975" s="11"/>
      <c r="E975" s="12"/>
      <c r="F975" s="8" t="s">
        <v>21</v>
      </c>
      <c r="G975" s="8" t="s">
        <v>22</v>
      </c>
      <c r="H975" s="9" t="s">
        <v>44</v>
      </c>
      <c r="I975" s="13" t="s">
        <v>34</v>
      </c>
      <c r="J975" s="14"/>
      <c r="K975" s="13" t="s">
        <v>50</v>
      </c>
      <c r="L975" s="14"/>
    </row>
    <row r="976" spans="1:12" ht="15" customHeight="1" x14ac:dyDescent="0.25">
      <c r="A976" s="21" t="s">
        <v>122</v>
      </c>
      <c r="B976" s="22"/>
      <c r="C976" s="22"/>
      <c r="D976" s="22"/>
      <c r="E976" s="23"/>
      <c r="F976" s="19" t="str">
        <f>"020503"</f>
        <v>020503</v>
      </c>
      <c r="G976" s="19" t="s">
        <v>105</v>
      </c>
      <c r="H976" s="20">
        <v>152</v>
      </c>
      <c r="I976" s="24">
        <v>7.1739999999999998E-3</v>
      </c>
      <c r="J976" s="25"/>
      <c r="K976" s="24">
        <v>1.0900000000000001</v>
      </c>
      <c r="L976" s="25"/>
    </row>
    <row r="977" spans="1:12" ht="15" customHeight="1" x14ac:dyDescent="0.25">
      <c r="A977" s="21" t="s">
        <v>123</v>
      </c>
      <c r="B977" s="22"/>
      <c r="C977" s="22"/>
      <c r="D977" s="22"/>
      <c r="E977" s="23"/>
      <c r="F977" s="19" t="str">
        <f>"020505"</f>
        <v>020505</v>
      </c>
      <c r="G977" s="19" t="s">
        <v>124</v>
      </c>
      <c r="H977" s="20">
        <v>1.07</v>
      </c>
      <c r="I977" s="24">
        <v>0.4914</v>
      </c>
      <c r="J977" s="25"/>
      <c r="K977" s="24">
        <v>0.52</v>
      </c>
      <c r="L977" s="25"/>
    </row>
    <row r="978" spans="1:12" ht="15" customHeight="1" x14ac:dyDescent="0.25">
      <c r="A978" s="21" t="s">
        <v>125</v>
      </c>
      <c r="B978" s="22"/>
      <c r="C978" s="22"/>
      <c r="D978" s="22"/>
      <c r="E978" s="23"/>
      <c r="F978" s="19" t="str">
        <f>"020508"</f>
        <v>020508</v>
      </c>
      <c r="G978" s="19" t="s">
        <v>124</v>
      </c>
      <c r="H978" s="20">
        <v>0.59</v>
      </c>
      <c r="I978" s="24">
        <v>2.0466000000000002</v>
      </c>
      <c r="J978" s="25"/>
      <c r="K978" s="24">
        <v>1.2</v>
      </c>
      <c r="L978" s="25"/>
    </row>
    <row r="979" spans="1:12" ht="15" customHeight="1" x14ac:dyDescent="0.25">
      <c r="A979" s="21" t="s">
        <v>153</v>
      </c>
      <c r="B979" s="22"/>
      <c r="C979" s="22"/>
      <c r="D979" s="22"/>
      <c r="E979" s="23"/>
      <c r="F979" s="19" t="str">
        <f>"028068"</f>
        <v>028068</v>
      </c>
      <c r="G979" s="19" t="s">
        <v>99</v>
      </c>
      <c r="H979" s="20">
        <v>7.81</v>
      </c>
      <c r="I979" s="24">
        <v>2.79</v>
      </c>
      <c r="J979" s="25"/>
      <c r="K979" s="24">
        <v>21.78</v>
      </c>
      <c r="L979" s="25"/>
    </row>
    <row r="980" spans="1:12" ht="15" customHeight="1" x14ac:dyDescent="0.25">
      <c r="A980" s="21" t="s">
        <v>154</v>
      </c>
      <c r="B980" s="22"/>
      <c r="C980" s="22"/>
      <c r="D980" s="22"/>
      <c r="E980" s="23"/>
      <c r="F980" s="19" t="str">
        <f>"031515"</f>
        <v>031515</v>
      </c>
      <c r="G980" s="19" t="s">
        <v>81</v>
      </c>
      <c r="H980" s="20">
        <v>73.3</v>
      </c>
      <c r="I980" s="24">
        <v>0.126</v>
      </c>
      <c r="J980" s="25"/>
      <c r="K980" s="24">
        <v>9.23</v>
      </c>
      <c r="L980" s="25"/>
    </row>
    <row r="981" spans="1:12" ht="15" customHeight="1" x14ac:dyDescent="0.25">
      <c r="A981" s="21" t="s">
        <v>155</v>
      </c>
      <c r="B981" s="22"/>
      <c r="C981" s="22"/>
      <c r="D981" s="22"/>
      <c r="E981" s="23"/>
      <c r="F981" s="19" t="str">
        <f>"049666"</f>
        <v>049666</v>
      </c>
      <c r="G981" s="19" t="s">
        <v>99</v>
      </c>
      <c r="H981" s="20">
        <v>19.63</v>
      </c>
      <c r="I981" s="24">
        <v>2.66</v>
      </c>
      <c r="J981" s="25"/>
      <c r="K981" s="24">
        <v>52.21</v>
      </c>
      <c r="L981" s="25"/>
    </row>
    <row r="982" spans="1:12" ht="15" customHeight="1" x14ac:dyDescent="0.25">
      <c r="A982" s="21" t="s">
        <v>156</v>
      </c>
      <c r="B982" s="22"/>
      <c r="C982" s="22"/>
      <c r="D982" s="22"/>
      <c r="E982" s="23"/>
      <c r="F982" s="19" t="str">
        <f>"068047"</f>
        <v>068047</v>
      </c>
      <c r="G982" s="19" t="s">
        <v>157</v>
      </c>
      <c r="H982" s="20">
        <v>172.46</v>
      </c>
      <c r="I982" s="24">
        <v>0.42</v>
      </c>
      <c r="J982" s="25"/>
      <c r="K982" s="24">
        <v>72.430000000000007</v>
      </c>
      <c r="L982" s="25"/>
    </row>
    <row r="983" spans="1:12" ht="15" customHeight="1" x14ac:dyDescent="0.25">
      <c r="A983" s="21" t="s">
        <v>158</v>
      </c>
      <c r="B983" s="22"/>
      <c r="C983" s="22"/>
      <c r="D983" s="22"/>
      <c r="E983" s="23"/>
      <c r="F983" s="19" t="str">
        <f>"070328"</f>
        <v>070328</v>
      </c>
      <c r="G983" s="19" t="s">
        <v>99</v>
      </c>
      <c r="H983" s="20">
        <v>76.56</v>
      </c>
      <c r="I983" s="24">
        <v>3.7</v>
      </c>
      <c r="J983" s="25"/>
      <c r="K983" s="24">
        <v>283.27</v>
      </c>
      <c r="L983" s="25"/>
    </row>
    <row r="984" spans="1:12" ht="15" customHeight="1" x14ac:dyDescent="0.25">
      <c r="A984" s="21" t="s">
        <v>151</v>
      </c>
      <c r="B984" s="22"/>
      <c r="C984" s="22"/>
      <c r="D984" s="22"/>
      <c r="E984" s="23"/>
      <c r="F984" s="19" t="str">
        <f>"079375"</f>
        <v>079375</v>
      </c>
      <c r="G984" s="19" t="s">
        <v>124</v>
      </c>
      <c r="H984" s="20">
        <v>3.5</v>
      </c>
      <c r="I984" s="24">
        <v>8.48</v>
      </c>
      <c r="J984" s="25"/>
      <c r="K984" s="24">
        <v>29.68</v>
      </c>
      <c r="L984" s="25"/>
    </row>
    <row r="985" spans="1:12" ht="15" customHeight="1" x14ac:dyDescent="0.25">
      <c r="A985" s="15" t="s">
        <v>51</v>
      </c>
      <c r="B985" s="16"/>
      <c r="C985" s="16"/>
      <c r="D985" s="16"/>
      <c r="E985" s="16"/>
      <c r="F985" s="16"/>
      <c r="G985" s="16"/>
      <c r="H985" s="16"/>
      <c r="I985" s="16"/>
      <c r="J985" s="17"/>
      <c r="K985" s="15">
        <v>471.41</v>
      </c>
      <c r="L985" s="17"/>
    </row>
    <row r="986" spans="1:12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</row>
    <row r="987" spans="1:12" ht="15" customHeight="1" x14ac:dyDescent="0.25">
      <c r="A987" s="10" t="s">
        <v>52</v>
      </c>
      <c r="B987" s="11"/>
      <c r="C987" s="11"/>
      <c r="D987" s="11"/>
      <c r="E987" s="12"/>
      <c r="F987" s="8" t="s">
        <v>21</v>
      </c>
      <c r="G987" s="8" t="s">
        <v>22</v>
      </c>
      <c r="H987" s="9" t="s">
        <v>44</v>
      </c>
      <c r="I987" s="13" t="s">
        <v>34</v>
      </c>
      <c r="J987" s="14"/>
      <c r="K987" s="13" t="s">
        <v>50</v>
      </c>
      <c r="L987" s="14"/>
    </row>
    <row r="988" spans="1:12" ht="15" customHeight="1" x14ac:dyDescent="0.25">
      <c r="A988" s="15" t="s">
        <v>53</v>
      </c>
      <c r="B988" s="16"/>
      <c r="C988" s="16"/>
      <c r="D988" s="16"/>
      <c r="E988" s="16"/>
      <c r="F988" s="16"/>
      <c r="G988" s="16"/>
      <c r="H988" s="16"/>
      <c r="I988" s="16"/>
      <c r="J988" s="17"/>
      <c r="K988" s="15">
        <v>0</v>
      </c>
      <c r="L988" s="17"/>
    </row>
    <row r="989" spans="1:12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</row>
    <row r="990" spans="1:12" ht="15" customHeight="1" x14ac:dyDescent="0.25">
      <c r="A990" s="10" t="s">
        <v>54</v>
      </c>
      <c r="B990" s="11"/>
      <c r="C990" s="12"/>
      <c r="D990" s="8" t="s">
        <v>21</v>
      </c>
      <c r="E990" s="8" t="s">
        <v>22</v>
      </c>
      <c r="F990" s="9" t="s">
        <v>55</v>
      </c>
      <c r="G990" s="8" t="s">
        <v>56</v>
      </c>
      <c r="H990" s="8" t="s">
        <v>57</v>
      </c>
      <c r="I990" s="8" t="s">
        <v>58</v>
      </c>
      <c r="J990" s="9" t="s">
        <v>59</v>
      </c>
      <c r="K990" s="9" t="s">
        <v>34</v>
      </c>
      <c r="L990" s="9" t="s">
        <v>50</v>
      </c>
    </row>
    <row r="991" spans="1:12" ht="15" customHeight="1" x14ac:dyDescent="0.25">
      <c r="A991" s="15" t="s">
        <v>60</v>
      </c>
      <c r="B991" s="16"/>
      <c r="C991" s="16"/>
      <c r="D991" s="16"/>
      <c r="E991" s="16"/>
      <c r="F991" s="16"/>
      <c r="G991" s="16"/>
      <c r="H991" s="16"/>
      <c r="I991" s="16"/>
      <c r="J991" s="17"/>
      <c r="K991" s="15">
        <v>0</v>
      </c>
      <c r="L991" s="17"/>
    </row>
    <row r="992" spans="1:12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</row>
    <row r="993" spans="1:12" ht="15" customHeight="1" x14ac:dyDescent="0.25">
      <c r="A993" s="27" t="s">
        <v>61</v>
      </c>
      <c r="B993" s="27"/>
      <c r="C993" s="27"/>
      <c r="D993" s="27"/>
      <c r="E993" s="27"/>
      <c r="F993" s="27"/>
      <c r="G993" s="27"/>
      <c r="H993" s="27"/>
      <c r="I993" s="27"/>
      <c r="J993" s="27"/>
      <c r="K993" s="27">
        <v>849.64</v>
      </c>
      <c r="L993" s="27"/>
    </row>
    <row r="994" spans="1:12" ht="15" customHeight="1" x14ac:dyDescent="0.25">
      <c r="A994" s="27" t="s">
        <v>62</v>
      </c>
      <c r="B994" s="27"/>
      <c r="C994" s="27"/>
      <c r="D994" s="27"/>
      <c r="E994" s="27"/>
      <c r="F994" s="27"/>
      <c r="G994" s="27"/>
      <c r="H994" s="27"/>
      <c r="I994" s="27"/>
      <c r="J994" s="27"/>
      <c r="K994" s="27">
        <v>282.51</v>
      </c>
      <c r="L994" s="27"/>
    </row>
    <row r="995" spans="1:12" ht="15" customHeight="1" x14ac:dyDescent="0.25">
      <c r="A995" s="27" t="s">
        <v>63</v>
      </c>
      <c r="B995" s="27"/>
      <c r="C995" s="27"/>
      <c r="D995" s="27"/>
      <c r="E995" s="27"/>
      <c r="F995" s="27"/>
      <c r="G995" s="27"/>
      <c r="H995" s="27"/>
      <c r="I995" s="27"/>
      <c r="J995" s="27"/>
      <c r="K995" s="28">
        <v>1132.1500000000001</v>
      </c>
      <c r="L995" s="28"/>
    </row>
    <row r="996" spans="1:1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5" customHeight="1" x14ac:dyDescent="0.25">
      <c r="A997" s="3" t="s">
        <v>8</v>
      </c>
      <c r="B997" s="6" t="s">
        <v>9</v>
      </c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 spans="1:12" ht="30" customHeight="1" x14ac:dyDescent="0.25">
      <c r="A998" s="3" t="s">
        <v>10</v>
      </c>
      <c r="B998" s="6" t="s">
        <v>159</v>
      </c>
      <c r="C998" s="6"/>
      <c r="D998" s="6"/>
      <c r="E998" s="6"/>
      <c r="F998" s="6"/>
      <c r="G998" s="6"/>
      <c r="H998" s="6"/>
      <c r="I998" s="6"/>
      <c r="J998" s="6"/>
      <c r="K998" s="3" t="s">
        <v>12</v>
      </c>
      <c r="L998" s="4" t="s">
        <v>84</v>
      </c>
    </row>
    <row r="999" spans="1:12" ht="15" customHeight="1" x14ac:dyDescent="0.25">
      <c r="A999" s="3" t="s">
        <v>14</v>
      </c>
      <c r="B999" s="6" t="s">
        <v>88</v>
      </c>
      <c r="C999" s="6"/>
      <c r="D999" s="7" t="s">
        <v>16</v>
      </c>
      <c r="E999" s="7"/>
      <c r="F999" s="6" t="str">
        <f>"3CA5.000447"</f>
        <v>3CA5.000447</v>
      </c>
      <c r="G999" s="6"/>
      <c r="H999" s="3" t="s">
        <v>17</v>
      </c>
      <c r="I999" s="6" t="s">
        <v>89</v>
      </c>
      <c r="J999" s="6"/>
      <c r="K999" s="3" t="s">
        <v>19</v>
      </c>
      <c r="L999" s="5">
        <v>1</v>
      </c>
    </row>
    <row r="1000" spans="1:1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1:12" ht="15" customHeight="1" x14ac:dyDescent="0.25">
      <c r="A1001" s="10" t="s">
        <v>20</v>
      </c>
      <c r="B1001" s="11"/>
      <c r="C1001" s="12"/>
      <c r="D1001" s="8" t="s">
        <v>21</v>
      </c>
      <c r="E1001" s="8" t="s">
        <v>22</v>
      </c>
      <c r="F1001" s="9" t="s">
        <v>23</v>
      </c>
      <c r="G1001" s="9" t="s">
        <v>24</v>
      </c>
      <c r="H1001" s="9" t="s">
        <v>25</v>
      </c>
      <c r="I1001" s="9" t="s">
        <v>26</v>
      </c>
      <c r="J1001" s="9" t="s">
        <v>27</v>
      </c>
      <c r="K1001" s="13" t="s">
        <v>28</v>
      </c>
      <c r="L1001" s="14"/>
    </row>
    <row r="1002" spans="1:12" ht="15" customHeight="1" x14ac:dyDescent="0.25">
      <c r="A1002" s="15" t="s">
        <v>29</v>
      </c>
      <c r="B1002" s="16"/>
      <c r="C1002" s="16"/>
      <c r="D1002" s="16"/>
      <c r="E1002" s="16"/>
      <c r="F1002" s="16"/>
      <c r="G1002" s="16"/>
      <c r="H1002" s="16"/>
      <c r="I1002" s="16"/>
      <c r="J1002" s="17"/>
      <c r="K1002" s="15">
        <v>0</v>
      </c>
      <c r="L1002" s="17"/>
    </row>
    <row r="1003" spans="1:12" x14ac:dyDescent="0.2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</row>
    <row r="1004" spans="1:12" ht="15" customHeight="1" x14ac:dyDescent="0.25">
      <c r="A1004" s="10" t="s">
        <v>30</v>
      </c>
      <c r="B1004" s="11"/>
      <c r="C1004" s="12"/>
      <c r="D1004" s="8" t="s">
        <v>21</v>
      </c>
      <c r="E1004" s="8" t="s">
        <v>22</v>
      </c>
      <c r="F1004" s="9" t="s">
        <v>31</v>
      </c>
      <c r="G1004" s="9" t="s">
        <v>32</v>
      </c>
      <c r="H1004" s="9" t="s">
        <v>33</v>
      </c>
      <c r="I1004" s="13" t="s">
        <v>34</v>
      </c>
      <c r="J1004" s="14"/>
      <c r="K1004" s="13" t="s">
        <v>28</v>
      </c>
      <c r="L1004" s="14"/>
    </row>
    <row r="1005" spans="1:12" ht="15" customHeight="1" x14ac:dyDescent="0.25">
      <c r="A1005" s="15" t="s">
        <v>38</v>
      </c>
      <c r="B1005" s="16"/>
      <c r="C1005" s="16"/>
      <c r="D1005" s="16"/>
      <c r="E1005" s="16"/>
      <c r="F1005" s="16"/>
      <c r="G1005" s="16"/>
      <c r="H1005" s="16"/>
      <c r="I1005" s="16"/>
      <c r="J1005" s="17"/>
      <c r="K1005" s="15">
        <v>0</v>
      </c>
      <c r="L1005" s="17"/>
    </row>
    <row r="1006" spans="1:12" x14ac:dyDescent="0.2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</row>
    <row r="1007" spans="1:12" ht="15" customHeight="1" x14ac:dyDescent="0.25">
      <c r="A1007" s="10" t="s">
        <v>39</v>
      </c>
      <c r="B1007" s="11"/>
      <c r="C1007" s="12"/>
      <c r="D1007" s="8" t="s">
        <v>21</v>
      </c>
      <c r="E1007" s="13" t="s">
        <v>40</v>
      </c>
      <c r="F1007" s="14"/>
      <c r="G1007" s="8" t="s">
        <v>41</v>
      </c>
      <c r="H1007" s="8" t="s">
        <v>42</v>
      </c>
      <c r="I1007" s="8" t="s">
        <v>43</v>
      </c>
      <c r="J1007" s="13" t="s">
        <v>44</v>
      </c>
      <c r="K1007" s="26"/>
      <c r="L1007" s="14"/>
    </row>
    <row r="1008" spans="1:12" ht="15" customHeight="1" x14ac:dyDescent="0.25">
      <c r="A1008" s="15" t="s">
        <v>45</v>
      </c>
      <c r="B1008" s="16"/>
      <c r="C1008" s="16"/>
      <c r="D1008" s="16"/>
      <c r="E1008" s="16"/>
      <c r="F1008" s="16"/>
      <c r="G1008" s="16"/>
      <c r="H1008" s="16"/>
      <c r="I1008" s="16"/>
      <c r="J1008" s="17"/>
      <c r="K1008" s="15">
        <v>0</v>
      </c>
      <c r="L1008" s="17"/>
    </row>
    <row r="1009" spans="1:12" x14ac:dyDescent="0.2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</row>
    <row r="1010" spans="1:12" ht="15" customHeight="1" x14ac:dyDescent="0.25">
      <c r="A1010" s="27" t="s">
        <v>46</v>
      </c>
      <c r="B1010" s="27"/>
      <c r="C1010" s="27"/>
      <c r="D1010" s="27"/>
      <c r="E1010" s="27"/>
      <c r="F1010" s="27"/>
      <c r="G1010" s="27"/>
      <c r="H1010" s="27"/>
      <c r="I1010" s="27"/>
      <c r="J1010" s="27"/>
      <c r="K1010" s="27">
        <v>0</v>
      </c>
      <c r="L1010" s="27"/>
    </row>
    <row r="1011" spans="1:12" ht="15" customHeight="1" x14ac:dyDescent="0.25">
      <c r="A1011" s="27" t="s">
        <v>47</v>
      </c>
      <c r="B1011" s="27"/>
      <c r="C1011" s="27"/>
      <c r="D1011" s="27"/>
      <c r="E1011" s="27"/>
      <c r="F1011" s="27"/>
      <c r="G1011" s="27"/>
      <c r="H1011" s="27"/>
      <c r="I1011" s="27"/>
      <c r="J1011" s="27"/>
      <c r="K1011" s="27">
        <v>1</v>
      </c>
      <c r="L1011" s="27"/>
    </row>
    <row r="1012" spans="1:12" ht="15" customHeight="1" x14ac:dyDescent="0.25">
      <c r="A1012" s="27" t="s">
        <v>48</v>
      </c>
      <c r="B1012" s="27"/>
      <c r="C1012" s="27"/>
      <c r="D1012" s="27"/>
      <c r="E1012" s="27"/>
      <c r="F1012" s="27"/>
      <c r="G1012" s="27"/>
      <c r="H1012" s="27"/>
      <c r="I1012" s="27"/>
      <c r="J1012" s="27"/>
      <c r="K1012" s="27">
        <v>0</v>
      </c>
      <c r="L1012" s="27"/>
    </row>
    <row r="1013" spans="1:12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</row>
    <row r="1014" spans="1:12" ht="15" customHeight="1" x14ac:dyDescent="0.25">
      <c r="A1014" s="10" t="s">
        <v>49</v>
      </c>
      <c r="B1014" s="11"/>
      <c r="C1014" s="11"/>
      <c r="D1014" s="11"/>
      <c r="E1014" s="12"/>
      <c r="F1014" s="8" t="s">
        <v>21</v>
      </c>
      <c r="G1014" s="8" t="s">
        <v>22</v>
      </c>
      <c r="H1014" s="9" t="s">
        <v>44</v>
      </c>
      <c r="I1014" s="13" t="s">
        <v>34</v>
      </c>
      <c r="J1014" s="14"/>
      <c r="K1014" s="13" t="s">
        <v>50</v>
      </c>
      <c r="L1014" s="14"/>
    </row>
    <row r="1015" spans="1:12" ht="15" customHeight="1" x14ac:dyDescent="0.25">
      <c r="A1015" s="21" t="s">
        <v>160</v>
      </c>
      <c r="B1015" s="22"/>
      <c r="C1015" s="22"/>
      <c r="D1015" s="22"/>
      <c r="E1015" s="23"/>
      <c r="F1015" s="19" t="str">
        <f>"031584"</f>
        <v>031584</v>
      </c>
      <c r="G1015" s="19" t="s">
        <v>81</v>
      </c>
      <c r="H1015" s="20">
        <v>11.07</v>
      </c>
      <c r="I1015" s="24">
        <v>3</v>
      </c>
      <c r="J1015" s="25"/>
      <c r="K1015" s="24">
        <v>33.21</v>
      </c>
      <c r="L1015" s="25"/>
    </row>
    <row r="1016" spans="1:12" ht="15" customHeight="1" x14ac:dyDescent="0.25">
      <c r="A1016" s="21" t="s">
        <v>161</v>
      </c>
      <c r="B1016" s="22"/>
      <c r="C1016" s="22"/>
      <c r="D1016" s="22"/>
      <c r="E1016" s="23"/>
      <c r="F1016" s="19" t="str">
        <f>"145A.0003"</f>
        <v>145A.0003</v>
      </c>
      <c r="G1016" s="19" t="s">
        <v>81</v>
      </c>
      <c r="H1016" s="20">
        <v>517.58000000000004</v>
      </c>
      <c r="I1016" s="24">
        <v>1</v>
      </c>
      <c r="J1016" s="25"/>
      <c r="K1016" s="24">
        <v>517.58000000000004</v>
      </c>
      <c r="L1016" s="25"/>
    </row>
    <row r="1017" spans="1:12" ht="15" customHeight="1" x14ac:dyDescent="0.25">
      <c r="A1017" s="15" t="s">
        <v>51</v>
      </c>
      <c r="B1017" s="16"/>
      <c r="C1017" s="16"/>
      <c r="D1017" s="16"/>
      <c r="E1017" s="16"/>
      <c r="F1017" s="16"/>
      <c r="G1017" s="16"/>
      <c r="H1017" s="16"/>
      <c r="I1017" s="16"/>
      <c r="J1017" s="17"/>
      <c r="K1017" s="15">
        <v>550.79</v>
      </c>
      <c r="L1017" s="17"/>
    </row>
    <row r="1018" spans="1:12" x14ac:dyDescent="0.2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</row>
    <row r="1019" spans="1:12" ht="15" customHeight="1" x14ac:dyDescent="0.25">
      <c r="A1019" s="10" t="s">
        <v>52</v>
      </c>
      <c r="B1019" s="11"/>
      <c r="C1019" s="11"/>
      <c r="D1019" s="11"/>
      <c r="E1019" s="12"/>
      <c r="F1019" s="8" t="s">
        <v>21</v>
      </c>
      <c r="G1019" s="8" t="s">
        <v>22</v>
      </c>
      <c r="H1019" s="9" t="s">
        <v>44</v>
      </c>
      <c r="I1019" s="13" t="s">
        <v>34</v>
      </c>
      <c r="J1019" s="14"/>
      <c r="K1019" s="13" t="s">
        <v>50</v>
      </c>
      <c r="L1019" s="14"/>
    </row>
    <row r="1020" spans="1:12" ht="30" customHeight="1" x14ac:dyDescent="0.25">
      <c r="A1020" s="21" t="s">
        <v>162</v>
      </c>
      <c r="B1020" s="22"/>
      <c r="C1020" s="22"/>
      <c r="D1020" s="22"/>
      <c r="E1020" s="23"/>
      <c r="F1020" s="19" t="s">
        <v>163</v>
      </c>
      <c r="G1020" s="19" t="s">
        <v>13</v>
      </c>
      <c r="H1020" s="20">
        <v>1.68</v>
      </c>
      <c r="I1020" s="24" t="s">
        <v>164</v>
      </c>
      <c r="J1020" s="25"/>
      <c r="K1020" s="24" t="s">
        <v>164</v>
      </c>
      <c r="L1020" s="25"/>
    </row>
    <row r="1021" spans="1:12" ht="15" customHeight="1" x14ac:dyDescent="0.25">
      <c r="A1021" s="15" t="s">
        <v>53</v>
      </c>
      <c r="B1021" s="16"/>
      <c r="C1021" s="16"/>
      <c r="D1021" s="16"/>
      <c r="E1021" s="16"/>
      <c r="F1021" s="16"/>
      <c r="G1021" s="16"/>
      <c r="H1021" s="16"/>
      <c r="I1021" s="16"/>
      <c r="J1021" s="17"/>
      <c r="K1021" s="15">
        <v>101.84</v>
      </c>
      <c r="L1021" s="17"/>
    </row>
    <row r="1022" spans="1:12" x14ac:dyDescent="0.25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</row>
    <row r="1023" spans="1:12" ht="15" customHeight="1" x14ac:dyDescent="0.25">
      <c r="A1023" s="10" t="s">
        <v>54</v>
      </c>
      <c r="B1023" s="11"/>
      <c r="C1023" s="12"/>
      <c r="D1023" s="8" t="s">
        <v>21</v>
      </c>
      <c r="E1023" s="8" t="s">
        <v>22</v>
      </c>
      <c r="F1023" s="9" t="s">
        <v>55</v>
      </c>
      <c r="G1023" s="8" t="s">
        <v>56</v>
      </c>
      <c r="H1023" s="8" t="s">
        <v>57</v>
      </c>
      <c r="I1023" s="8" t="s">
        <v>58</v>
      </c>
      <c r="J1023" s="9" t="s">
        <v>59</v>
      </c>
      <c r="K1023" s="9" t="s">
        <v>34</v>
      </c>
      <c r="L1023" s="9" t="s">
        <v>50</v>
      </c>
    </row>
    <row r="1024" spans="1:12" ht="15" customHeight="1" x14ac:dyDescent="0.25">
      <c r="A1024" s="15" t="s">
        <v>60</v>
      </c>
      <c r="B1024" s="16"/>
      <c r="C1024" s="16"/>
      <c r="D1024" s="16"/>
      <c r="E1024" s="16"/>
      <c r="F1024" s="16"/>
      <c r="G1024" s="16"/>
      <c r="H1024" s="16"/>
      <c r="I1024" s="16"/>
      <c r="J1024" s="17"/>
      <c r="K1024" s="15">
        <v>0</v>
      </c>
      <c r="L1024" s="17"/>
    </row>
    <row r="1025" spans="1:12" x14ac:dyDescent="0.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</row>
    <row r="1026" spans="1:12" ht="15" customHeight="1" x14ac:dyDescent="0.25">
      <c r="A1026" s="27" t="s">
        <v>61</v>
      </c>
      <c r="B1026" s="27"/>
      <c r="C1026" s="27"/>
      <c r="D1026" s="27"/>
      <c r="E1026" s="27"/>
      <c r="F1026" s="27"/>
      <c r="G1026" s="27"/>
      <c r="H1026" s="27"/>
      <c r="I1026" s="27"/>
      <c r="J1026" s="27"/>
      <c r="K1026" s="27">
        <v>652.63</v>
      </c>
      <c r="L1026" s="27"/>
    </row>
    <row r="1027" spans="1:12" ht="15" customHeight="1" x14ac:dyDescent="0.25">
      <c r="A1027" s="27" t="s">
        <v>62</v>
      </c>
      <c r="B1027" s="27"/>
      <c r="C1027" s="27"/>
      <c r="D1027" s="27"/>
      <c r="E1027" s="27"/>
      <c r="F1027" s="27"/>
      <c r="G1027" s="27"/>
      <c r="H1027" s="27"/>
      <c r="I1027" s="27"/>
      <c r="J1027" s="27"/>
      <c r="K1027" s="27">
        <v>217</v>
      </c>
      <c r="L1027" s="27"/>
    </row>
    <row r="1028" spans="1:12" ht="15" customHeight="1" x14ac:dyDescent="0.25">
      <c r="A1028" s="27" t="s">
        <v>63</v>
      </c>
      <c r="B1028" s="27"/>
      <c r="C1028" s="27"/>
      <c r="D1028" s="27"/>
      <c r="E1028" s="27"/>
      <c r="F1028" s="27"/>
      <c r="G1028" s="27"/>
      <c r="H1028" s="27"/>
      <c r="I1028" s="27"/>
      <c r="J1028" s="27"/>
      <c r="K1028" s="27">
        <v>869.63</v>
      </c>
      <c r="L1028" s="27"/>
    </row>
    <row r="1029" spans="1:12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</row>
    <row r="1030" spans="1:12" ht="15" customHeight="1" x14ac:dyDescent="0.25">
      <c r="A1030" s="3" t="s">
        <v>8</v>
      </c>
      <c r="B1030" s="6" t="s">
        <v>9</v>
      </c>
      <c r="C1030" s="6"/>
      <c r="D1030" s="6"/>
      <c r="E1030" s="6"/>
      <c r="F1030" s="6"/>
      <c r="G1030" s="6"/>
      <c r="H1030" s="6"/>
      <c r="I1030" s="6"/>
      <c r="J1030" s="6"/>
      <c r="K1030" s="6"/>
      <c r="L1030" s="6"/>
    </row>
    <row r="1031" spans="1:12" ht="15" customHeight="1" x14ac:dyDescent="0.25">
      <c r="A1031" s="3" t="s">
        <v>10</v>
      </c>
      <c r="B1031" s="6" t="s">
        <v>165</v>
      </c>
      <c r="C1031" s="6"/>
      <c r="D1031" s="6"/>
      <c r="E1031" s="6"/>
      <c r="F1031" s="6"/>
      <c r="G1031" s="6"/>
      <c r="H1031" s="6"/>
      <c r="I1031" s="6"/>
      <c r="J1031" s="6"/>
      <c r="K1031" s="3" t="s">
        <v>12</v>
      </c>
      <c r="L1031" s="4" t="s">
        <v>13</v>
      </c>
    </row>
    <row r="1032" spans="1:12" ht="15" customHeight="1" x14ac:dyDescent="0.25">
      <c r="A1032" s="3" t="s">
        <v>14</v>
      </c>
      <c r="B1032" s="6" t="s">
        <v>15</v>
      </c>
      <c r="C1032" s="6"/>
      <c r="D1032" s="7" t="s">
        <v>16</v>
      </c>
      <c r="E1032" s="7"/>
      <c r="F1032" s="6" t="str">
        <f>"071702"</f>
        <v>071702</v>
      </c>
      <c r="G1032" s="6"/>
      <c r="H1032" s="3" t="s">
        <v>17</v>
      </c>
      <c r="I1032" s="6" t="s">
        <v>18</v>
      </c>
      <c r="J1032" s="6"/>
      <c r="K1032" s="3" t="s">
        <v>19</v>
      </c>
      <c r="L1032" s="5">
        <v>1</v>
      </c>
    </row>
    <row r="1033" spans="1:12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</row>
    <row r="1034" spans="1:12" ht="15" customHeight="1" x14ac:dyDescent="0.25">
      <c r="A1034" s="10" t="s">
        <v>20</v>
      </c>
      <c r="B1034" s="11"/>
      <c r="C1034" s="12"/>
      <c r="D1034" s="8" t="s">
        <v>21</v>
      </c>
      <c r="E1034" s="8" t="s">
        <v>22</v>
      </c>
      <c r="F1034" s="9" t="s">
        <v>23</v>
      </c>
      <c r="G1034" s="9" t="s">
        <v>24</v>
      </c>
      <c r="H1034" s="9" t="s">
        <v>25</v>
      </c>
      <c r="I1034" s="9" t="s">
        <v>26</v>
      </c>
      <c r="J1034" s="9" t="s">
        <v>27</v>
      </c>
      <c r="K1034" s="13" t="s">
        <v>28</v>
      </c>
      <c r="L1034" s="14"/>
    </row>
    <row r="1035" spans="1:12" ht="15" customHeight="1" x14ac:dyDescent="0.25">
      <c r="A1035" s="15" t="s">
        <v>29</v>
      </c>
      <c r="B1035" s="16"/>
      <c r="C1035" s="16"/>
      <c r="D1035" s="16"/>
      <c r="E1035" s="16"/>
      <c r="F1035" s="16"/>
      <c r="G1035" s="16"/>
      <c r="H1035" s="16"/>
      <c r="I1035" s="16"/>
      <c r="J1035" s="17"/>
      <c r="K1035" s="15">
        <v>0</v>
      </c>
      <c r="L1035" s="17"/>
    </row>
    <row r="1036" spans="1:12" x14ac:dyDescent="0.2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</row>
    <row r="1037" spans="1:12" ht="15" customHeight="1" x14ac:dyDescent="0.25">
      <c r="A1037" s="10" t="s">
        <v>30</v>
      </c>
      <c r="B1037" s="11"/>
      <c r="C1037" s="12"/>
      <c r="D1037" s="8" t="s">
        <v>21</v>
      </c>
      <c r="E1037" s="8" t="s">
        <v>22</v>
      </c>
      <c r="F1037" s="9" t="s">
        <v>31</v>
      </c>
      <c r="G1037" s="9" t="s">
        <v>32</v>
      </c>
      <c r="H1037" s="9" t="s">
        <v>33</v>
      </c>
      <c r="I1037" s="13" t="s">
        <v>34</v>
      </c>
      <c r="J1037" s="14"/>
      <c r="K1037" s="13" t="s">
        <v>28</v>
      </c>
      <c r="L1037" s="14"/>
    </row>
    <row r="1038" spans="1:12" ht="15" customHeight="1" x14ac:dyDescent="0.25">
      <c r="A1038" s="21" t="s">
        <v>69</v>
      </c>
      <c r="B1038" s="22"/>
      <c r="C1038" s="23"/>
      <c r="D1038" s="19" t="str">
        <f>"010139"</f>
        <v>010139</v>
      </c>
      <c r="E1038" s="19" t="s">
        <v>36</v>
      </c>
      <c r="F1038" s="20">
        <v>10.119999999999999</v>
      </c>
      <c r="G1038" s="20">
        <v>157.27000000000001</v>
      </c>
      <c r="H1038" s="20">
        <v>26.03</v>
      </c>
      <c r="I1038" s="24">
        <v>1.5</v>
      </c>
      <c r="J1038" s="25"/>
      <c r="K1038" s="24">
        <v>39.04</v>
      </c>
      <c r="L1038" s="25"/>
    </row>
    <row r="1039" spans="1:12" ht="15" customHeight="1" x14ac:dyDescent="0.25">
      <c r="A1039" s="21" t="s">
        <v>37</v>
      </c>
      <c r="B1039" s="22"/>
      <c r="C1039" s="23"/>
      <c r="D1039" s="19" t="str">
        <f>"010146"</f>
        <v>010146</v>
      </c>
      <c r="E1039" s="19" t="s">
        <v>36</v>
      </c>
      <c r="F1039" s="20">
        <v>7.65</v>
      </c>
      <c r="G1039" s="20">
        <v>157.27000000000001</v>
      </c>
      <c r="H1039" s="20">
        <v>19.68</v>
      </c>
      <c r="I1039" s="24">
        <v>1</v>
      </c>
      <c r="J1039" s="25"/>
      <c r="K1039" s="24">
        <v>19.68</v>
      </c>
      <c r="L1039" s="25"/>
    </row>
    <row r="1040" spans="1:12" ht="15" customHeight="1" x14ac:dyDescent="0.25">
      <c r="A1040" s="15" t="s">
        <v>38</v>
      </c>
      <c r="B1040" s="16"/>
      <c r="C1040" s="16"/>
      <c r="D1040" s="16"/>
      <c r="E1040" s="16"/>
      <c r="F1040" s="16"/>
      <c r="G1040" s="16"/>
      <c r="H1040" s="16"/>
      <c r="I1040" s="16"/>
      <c r="J1040" s="17"/>
      <c r="K1040" s="15">
        <v>58.72</v>
      </c>
      <c r="L1040" s="17"/>
    </row>
    <row r="1041" spans="1:12" x14ac:dyDescent="0.25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</row>
    <row r="1042" spans="1:12" ht="15" customHeight="1" x14ac:dyDescent="0.25">
      <c r="A1042" s="10" t="s">
        <v>39</v>
      </c>
      <c r="B1042" s="11"/>
      <c r="C1042" s="12"/>
      <c r="D1042" s="8" t="s">
        <v>21</v>
      </c>
      <c r="E1042" s="13" t="s">
        <v>40</v>
      </c>
      <c r="F1042" s="14"/>
      <c r="G1042" s="8" t="s">
        <v>41</v>
      </c>
      <c r="H1042" s="8" t="s">
        <v>42</v>
      </c>
      <c r="I1042" s="8" t="s">
        <v>43</v>
      </c>
      <c r="J1042" s="13" t="s">
        <v>44</v>
      </c>
      <c r="K1042" s="26"/>
      <c r="L1042" s="14"/>
    </row>
    <row r="1043" spans="1:12" ht="15" customHeight="1" x14ac:dyDescent="0.25">
      <c r="A1043" s="15" t="s">
        <v>45</v>
      </c>
      <c r="B1043" s="16"/>
      <c r="C1043" s="16"/>
      <c r="D1043" s="16"/>
      <c r="E1043" s="16"/>
      <c r="F1043" s="16"/>
      <c r="G1043" s="16"/>
      <c r="H1043" s="16"/>
      <c r="I1043" s="16"/>
      <c r="J1043" s="17"/>
      <c r="K1043" s="15">
        <v>0</v>
      </c>
      <c r="L1043" s="17"/>
    </row>
    <row r="1044" spans="1:12" x14ac:dyDescent="0.25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</row>
    <row r="1045" spans="1:12" ht="15" customHeight="1" x14ac:dyDescent="0.25">
      <c r="A1045" s="27" t="s">
        <v>46</v>
      </c>
      <c r="B1045" s="27"/>
      <c r="C1045" s="27"/>
      <c r="D1045" s="27"/>
      <c r="E1045" s="27"/>
      <c r="F1045" s="27"/>
      <c r="G1045" s="27"/>
      <c r="H1045" s="27"/>
      <c r="I1045" s="27"/>
      <c r="J1045" s="27"/>
      <c r="K1045" s="27">
        <v>58.72</v>
      </c>
      <c r="L1045" s="27"/>
    </row>
    <row r="1046" spans="1:12" ht="15" customHeight="1" x14ac:dyDescent="0.25">
      <c r="A1046" s="27" t="s">
        <v>47</v>
      </c>
      <c r="B1046" s="27"/>
      <c r="C1046" s="27"/>
      <c r="D1046" s="27"/>
      <c r="E1046" s="27"/>
      <c r="F1046" s="27"/>
      <c r="G1046" s="27"/>
      <c r="H1046" s="27"/>
      <c r="I1046" s="27"/>
      <c r="J1046" s="27"/>
      <c r="K1046" s="27">
        <v>1</v>
      </c>
      <c r="L1046" s="27"/>
    </row>
    <row r="1047" spans="1:12" ht="15" customHeight="1" x14ac:dyDescent="0.25">
      <c r="A1047" s="27" t="s">
        <v>48</v>
      </c>
      <c r="B1047" s="27"/>
      <c r="C1047" s="27"/>
      <c r="D1047" s="27"/>
      <c r="E1047" s="27"/>
      <c r="F1047" s="27"/>
      <c r="G1047" s="27"/>
      <c r="H1047" s="27"/>
      <c r="I1047" s="27"/>
      <c r="J1047" s="27"/>
      <c r="K1047" s="27">
        <v>58.72</v>
      </c>
      <c r="L1047" s="27"/>
    </row>
    <row r="1048" spans="1:12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</row>
    <row r="1049" spans="1:12" ht="15" customHeight="1" x14ac:dyDescent="0.25">
      <c r="A1049" s="10" t="s">
        <v>49</v>
      </c>
      <c r="B1049" s="11"/>
      <c r="C1049" s="11"/>
      <c r="D1049" s="11"/>
      <c r="E1049" s="12"/>
      <c r="F1049" s="8" t="s">
        <v>21</v>
      </c>
      <c r="G1049" s="8" t="s">
        <v>22</v>
      </c>
      <c r="H1049" s="9" t="s">
        <v>44</v>
      </c>
      <c r="I1049" s="13" t="s">
        <v>34</v>
      </c>
      <c r="J1049" s="14"/>
      <c r="K1049" s="13" t="s">
        <v>50</v>
      </c>
      <c r="L1049" s="14"/>
    </row>
    <row r="1050" spans="1:12" ht="15" customHeight="1" x14ac:dyDescent="0.25">
      <c r="A1050" s="21" t="s">
        <v>122</v>
      </c>
      <c r="B1050" s="22"/>
      <c r="C1050" s="22"/>
      <c r="D1050" s="22"/>
      <c r="E1050" s="23"/>
      <c r="F1050" s="19" t="str">
        <f>"020503"</f>
        <v>020503</v>
      </c>
      <c r="G1050" s="19" t="s">
        <v>105</v>
      </c>
      <c r="H1050" s="20">
        <v>152</v>
      </c>
      <c r="I1050" s="24">
        <v>4.8999999999999998E-3</v>
      </c>
      <c r="J1050" s="25"/>
      <c r="K1050" s="24">
        <v>0.74</v>
      </c>
      <c r="L1050" s="25"/>
    </row>
    <row r="1051" spans="1:12" ht="15" customHeight="1" x14ac:dyDescent="0.25">
      <c r="A1051" s="21" t="s">
        <v>125</v>
      </c>
      <c r="B1051" s="22"/>
      <c r="C1051" s="22"/>
      <c r="D1051" s="22"/>
      <c r="E1051" s="23"/>
      <c r="F1051" s="19" t="str">
        <f>"020508"</f>
        <v>020508</v>
      </c>
      <c r="G1051" s="19" t="s">
        <v>124</v>
      </c>
      <c r="H1051" s="20">
        <v>0.59</v>
      </c>
      <c r="I1051" s="24">
        <v>1.94</v>
      </c>
      <c r="J1051" s="25"/>
      <c r="K1051" s="24">
        <v>1.1399999999999999</v>
      </c>
      <c r="L1051" s="25"/>
    </row>
    <row r="1052" spans="1:12" ht="15" customHeight="1" x14ac:dyDescent="0.25">
      <c r="A1052" s="21" t="s">
        <v>166</v>
      </c>
      <c r="B1052" s="22"/>
      <c r="C1052" s="22"/>
      <c r="D1052" s="22"/>
      <c r="E1052" s="23"/>
      <c r="F1052" s="19" t="str">
        <f>"031733"</f>
        <v>031733</v>
      </c>
      <c r="G1052" s="19" t="s">
        <v>157</v>
      </c>
      <c r="H1052" s="20">
        <v>640.25</v>
      </c>
      <c r="I1052" s="24">
        <v>1</v>
      </c>
      <c r="J1052" s="25"/>
      <c r="K1052" s="24">
        <v>640.25</v>
      </c>
      <c r="L1052" s="25"/>
    </row>
    <row r="1053" spans="1:12" ht="15" customHeight="1" x14ac:dyDescent="0.25">
      <c r="A1053" s="15" t="s">
        <v>51</v>
      </c>
      <c r="B1053" s="16"/>
      <c r="C1053" s="16"/>
      <c r="D1053" s="16"/>
      <c r="E1053" s="16"/>
      <c r="F1053" s="16"/>
      <c r="G1053" s="16"/>
      <c r="H1053" s="16"/>
      <c r="I1053" s="16"/>
      <c r="J1053" s="17"/>
      <c r="K1053" s="15">
        <v>642.13</v>
      </c>
      <c r="L1053" s="17"/>
    </row>
    <row r="1054" spans="1:12" x14ac:dyDescent="0.25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</row>
    <row r="1055" spans="1:12" ht="15" customHeight="1" x14ac:dyDescent="0.25">
      <c r="A1055" s="10" t="s">
        <v>52</v>
      </c>
      <c r="B1055" s="11"/>
      <c r="C1055" s="11"/>
      <c r="D1055" s="11"/>
      <c r="E1055" s="12"/>
      <c r="F1055" s="8" t="s">
        <v>21</v>
      </c>
      <c r="G1055" s="8" t="s">
        <v>22</v>
      </c>
      <c r="H1055" s="9" t="s">
        <v>44</v>
      </c>
      <c r="I1055" s="13" t="s">
        <v>34</v>
      </c>
      <c r="J1055" s="14"/>
      <c r="K1055" s="13" t="s">
        <v>50</v>
      </c>
      <c r="L1055" s="14"/>
    </row>
    <row r="1056" spans="1:12" ht="15" customHeight="1" x14ac:dyDescent="0.25">
      <c r="A1056" s="15" t="s">
        <v>53</v>
      </c>
      <c r="B1056" s="16"/>
      <c r="C1056" s="16"/>
      <c r="D1056" s="16"/>
      <c r="E1056" s="16"/>
      <c r="F1056" s="16"/>
      <c r="G1056" s="16"/>
      <c r="H1056" s="16"/>
      <c r="I1056" s="16"/>
      <c r="J1056" s="17"/>
      <c r="K1056" s="15">
        <v>0</v>
      </c>
      <c r="L1056" s="17"/>
    </row>
    <row r="1057" spans="1:12" x14ac:dyDescent="0.25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</row>
    <row r="1058" spans="1:12" ht="15" customHeight="1" x14ac:dyDescent="0.25">
      <c r="A1058" s="10" t="s">
        <v>54</v>
      </c>
      <c r="B1058" s="11"/>
      <c r="C1058" s="12"/>
      <c r="D1058" s="8" t="s">
        <v>21</v>
      </c>
      <c r="E1058" s="8" t="s">
        <v>22</v>
      </c>
      <c r="F1058" s="9" t="s">
        <v>55</v>
      </c>
      <c r="G1058" s="8" t="s">
        <v>56</v>
      </c>
      <c r="H1058" s="8" t="s">
        <v>57</v>
      </c>
      <c r="I1058" s="8" t="s">
        <v>58</v>
      </c>
      <c r="J1058" s="9" t="s">
        <v>59</v>
      </c>
      <c r="K1058" s="9" t="s">
        <v>34</v>
      </c>
      <c r="L1058" s="9" t="s">
        <v>50</v>
      </c>
    </row>
    <row r="1059" spans="1:12" ht="15" customHeight="1" x14ac:dyDescent="0.25">
      <c r="A1059" s="15" t="s">
        <v>60</v>
      </c>
      <c r="B1059" s="16"/>
      <c r="C1059" s="16"/>
      <c r="D1059" s="16"/>
      <c r="E1059" s="16"/>
      <c r="F1059" s="16"/>
      <c r="G1059" s="16"/>
      <c r="H1059" s="16"/>
      <c r="I1059" s="16"/>
      <c r="J1059" s="17"/>
      <c r="K1059" s="15">
        <v>0</v>
      </c>
      <c r="L1059" s="17"/>
    </row>
    <row r="1060" spans="1:12" x14ac:dyDescent="0.25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</row>
    <row r="1061" spans="1:12" ht="15" customHeight="1" x14ac:dyDescent="0.25">
      <c r="A1061" s="27" t="s">
        <v>61</v>
      </c>
      <c r="B1061" s="27"/>
      <c r="C1061" s="27"/>
      <c r="D1061" s="27"/>
      <c r="E1061" s="27"/>
      <c r="F1061" s="27"/>
      <c r="G1061" s="27"/>
      <c r="H1061" s="27"/>
      <c r="I1061" s="27"/>
      <c r="J1061" s="27"/>
      <c r="K1061" s="27">
        <v>700.85</v>
      </c>
      <c r="L1061" s="27"/>
    </row>
    <row r="1062" spans="1:12" ht="15" customHeight="1" x14ac:dyDescent="0.25">
      <c r="A1062" s="27" t="s">
        <v>62</v>
      </c>
      <c r="B1062" s="27"/>
      <c r="C1062" s="27"/>
      <c r="D1062" s="27"/>
      <c r="E1062" s="27"/>
      <c r="F1062" s="27"/>
      <c r="G1062" s="27"/>
      <c r="H1062" s="27"/>
      <c r="I1062" s="27"/>
      <c r="J1062" s="27"/>
      <c r="K1062" s="27">
        <v>233.03</v>
      </c>
      <c r="L1062" s="27"/>
    </row>
    <row r="1063" spans="1:12" ht="15" customHeight="1" x14ac:dyDescent="0.25">
      <c r="A1063" s="27" t="s">
        <v>63</v>
      </c>
      <c r="B1063" s="27"/>
      <c r="C1063" s="27"/>
      <c r="D1063" s="27"/>
      <c r="E1063" s="27"/>
      <c r="F1063" s="27"/>
      <c r="G1063" s="27"/>
      <c r="H1063" s="27"/>
      <c r="I1063" s="27"/>
      <c r="J1063" s="27"/>
      <c r="K1063" s="27">
        <v>933.88</v>
      </c>
      <c r="L1063" s="27"/>
    </row>
    <row r="1064" spans="1:12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</row>
    <row r="1065" spans="1:12" ht="15" customHeight="1" x14ac:dyDescent="0.25">
      <c r="A1065" s="3" t="s">
        <v>8</v>
      </c>
      <c r="B1065" s="6" t="s">
        <v>9</v>
      </c>
      <c r="C1065" s="6"/>
      <c r="D1065" s="6"/>
      <c r="E1065" s="6"/>
      <c r="F1065" s="6"/>
      <c r="G1065" s="6"/>
      <c r="H1065" s="6"/>
      <c r="I1065" s="6"/>
      <c r="J1065" s="6"/>
      <c r="K1065" s="6"/>
      <c r="L1065" s="6"/>
    </row>
    <row r="1066" spans="1:12" ht="15" customHeight="1" x14ac:dyDescent="0.25">
      <c r="A1066" s="3" t="s">
        <v>10</v>
      </c>
      <c r="B1066" s="6" t="s">
        <v>167</v>
      </c>
      <c r="C1066" s="6"/>
      <c r="D1066" s="6"/>
      <c r="E1066" s="6"/>
      <c r="F1066" s="6"/>
      <c r="G1066" s="6"/>
      <c r="H1066" s="6"/>
      <c r="I1066" s="6"/>
      <c r="J1066" s="6"/>
      <c r="K1066" s="3" t="s">
        <v>12</v>
      </c>
      <c r="L1066" s="4" t="s">
        <v>13</v>
      </c>
    </row>
    <row r="1067" spans="1:12" ht="15" customHeight="1" x14ac:dyDescent="0.25">
      <c r="A1067" s="3" t="s">
        <v>14</v>
      </c>
      <c r="B1067" s="6" t="s">
        <v>88</v>
      </c>
      <c r="C1067" s="6"/>
      <c r="D1067" s="7" t="s">
        <v>16</v>
      </c>
      <c r="E1067" s="7"/>
      <c r="F1067" s="6" t="str">
        <f>"37DC.000098"</f>
        <v>37DC.000098</v>
      </c>
      <c r="G1067" s="6"/>
      <c r="H1067" s="3" t="s">
        <v>17</v>
      </c>
      <c r="I1067" s="6" t="s">
        <v>89</v>
      </c>
      <c r="J1067" s="6"/>
      <c r="K1067" s="3" t="s">
        <v>19</v>
      </c>
      <c r="L1067" s="5">
        <v>1</v>
      </c>
    </row>
    <row r="1068" spans="1:12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</row>
    <row r="1069" spans="1:12" ht="15" customHeight="1" x14ac:dyDescent="0.25">
      <c r="A1069" s="10" t="s">
        <v>20</v>
      </c>
      <c r="B1069" s="11"/>
      <c r="C1069" s="12"/>
      <c r="D1069" s="8" t="s">
        <v>21</v>
      </c>
      <c r="E1069" s="8" t="s">
        <v>22</v>
      </c>
      <c r="F1069" s="9" t="s">
        <v>23</v>
      </c>
      <c r="G1069" s="9" t="s">
        <v>24</v>
      </c>
      <c r="H1069" s="9" t="s">
        <v>25</v>
      </c>
      <c r="I1069" s="9" t="s">
        <v>26</v>
      </c>
      <c r="J1069" s="9" t="s">
        <v>27</v>
      </c>
      <c r="K1069" s="13" t="s">
        <v>28</v>
      </c>
      <c r="L1069" s="14"/>
    </row>
    <row r="1070" spans="1:12" ht="15" customHeight="1" x14ac:dyDescent="0.25">
      <c r="A1070" s="15" t="s">
        <v>29</v>
      </c>
      <c r="B1070" s="16"/>
      <c r="C1070" s="16"/>
      <c r="D1070" s="16"/>
      <c r="E1070" s="16"/>
      <c r="F1070" s="16"/>
      <c r="G1070" s="16"/>
      <c r="H1070" s="16"/>
      <c r="I1070" s="16"/>
      <c r="J1070" s="17"/>
      <c r="K1070" s="15">
        <v>0</v>
      </c>
      <c r="L1070" s="17"/>
    </row>
    <row r="1071" spans="1:12" x14ac:dyDescent="0.25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</row>
    <row r="1072" spans="1:12" ht="15" customHeight="1" x14ac:dyDescent="0.25">
      <c r="A1072" s="10" t="s">
        <v>30</v>
      </c>
      <c r="B1072" s="11"/>
      <c r="C1072" s="12"/>
      <c r="D1072" s="8" t="s">
        <v>21</v>
      </c>
      <c r="E1072" s="8" t="s">
        <v>22</v>
      </c>
      <c r="F1072" s="9" t="s">
        <v>31</v>
      </c>
      <c r="G1072" s="9" t="s">
        <v>32</v>
      </c>
      <c r="H1072" s="9" t="s">
        <v>33</v>
      </c>
      <c r="I1072" s="13" t="s">
        <v>34</v>
      </c>
      <c r="J1072" s="14"/>
      <c r="K1072" s="13" t="s">
        <v>28</v>
      </c>
      <c r="L1072" s="14"/>
    </row>
    <row r="1073" spans="1:12" ht="15" customHeight="1" x14ac:dyDescent="0.25">
      <c r="A1073" s="15" t="s">
        <v>38</v>
      </c>
      <c r="B1073" s="16"/>
      <c r="C1073" s="16"/>
      <c r="D1073" s="16"/>
      <c r="E1073" s="16"/>
      <c r="F1073" s="16"/>
      <c r="G1073" s="16"/>
      <c r="H1073" s="16"/>
      <c r="I1073" s="16"/>
      <c r="J1073" s="17"/>
      <c r="K1073" s="15">
        <v>0</v>
      </c>
      <c r="L1073" s="17"/>
    </row>
    <row r="1074" spans="1:12" x14ac:dyDescent="0.25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</row>
    <row r="1075" spans="1:12" ht="15" customHeight="1" x14ac:dyDescent="0.25">
      <c r="A1075" s="10" t="s">
        <v>39</v>
      </c>
      <c r="B1075" s="11"/>
      <c r="C1075" s="12"/>
      <c r="D1075" s="8" t="s">
        <v>21</v>
      </c>
      <c r="E1075" s="13" t="s">
        <v>40</v>
      </c>
      <c r="F1075" s="14"/>
      <c r="G1075" s="8" t="s">
        <v>41</v>
      </c>
      <c r="H1075" s="8" t="s">
        <v>42</v>
      </c>
      <c r="I1075" s="8" t="s">
        <v>43</v>
      </c>
      <c r="J1075" s="13" t="s">
        <v>44</v>
      </c>
      <c r="K1075" s="26"/>
      <c r="L1075" s="14"/>
    </row>
    <row r="1076" spans="1:12" ht="15" customHeight="1" x14ac:dyDescent="0.25">
      <c r="A1076" s="15" t="s">
        <v>45</v>
      </c>
      <c r="B1076" s="16"/>
      <c r="C1076" s="16"/>
      <c r="D1076" s="16"/>
      <c r="E1076" s="16"/>
      <c r="F1076" s="16"/>
      <c r="G1076" s="16"/>
      <c r="H1076" s="16"/>
      <c r="I1076" s="16"/>
      <c r="J1076" s="17"/>
      <c r="K1076" s="15">
        <v>0</v>
      </c>
      <c r="L1076" s="17"/>
    </row>
    <row r="1077" spans="1:12" x14ac:dyDescent="0.25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</row>
    <row r="1078" spans="1:12" ht="15" customHeight="1" x14ac:dyDescent="0.25">
      <c r="A1078" s="27" t="s">
        <v>46</v>
      </c>
      <c r="B1078" s="27"/>
      <c r="C1078" s="27"/>
      <c r="D1078" s="27"/>
      <c r="E1078" s="27"/>
      <c r="F1078" s="27"/>
      <c r="G1078" s="27"/>
      <c r="H1078" s="27"/>
      <c r="I1078" s="27"/>
      <c r="J1078" s="27"/>
      <c r="K1078" s="27">
        <v>0</v>
      </c>
      <c r="L1078" s="27"/>
    </row>
    <row r="1079" spans="1:12" ht="15" customHeight="1" x14ac:dyDescent="0.25">
      <c r="A1079" s="27" t="s">
        <v>47</v>
      </c>
      <c r="B1079" s="27"/>
      <c r="C1079" s="27"/>
      <c r="D1079" s="27"/>
      <c r="E1079" s="27"/>
      <c r="F1079" s="27"/>
      <c r="G1079" s="27"/>
      <c r="H1079" s="27"/>
      <c r="I1079" s="27"/>
      <c r="J1079" s="27"/>
      <c r="K1079" s="27">
        <v>1</v>
      </c>
      <c r="L1079" s="27"/>
    </row>
    <row r="1080" spans="1:12" ht="15" customHeight="1" x14ac:dyDescent="0.25">
      <c r="A1080" s="27" t="s">
        <v>48</v>
      </c>
      <c r="B1080" s="27"/>
      <c r="C1080" s="27"/>
      <c r="D1080" s="27"/>
      <c r="E1080" s="27"/>
      <c r="F1080" s="27"/>
      <c r="G1080" s="27"/>
      <c r="H1080" s="27"/>
      <c r="I1080" s="27"/>
      <c r="J1080" s="27"/>
      <c r="K1080" s="27">
        <v>0</v>
      </c>
      <c r="L1080" s="27"/>
    </row>
    <row r="1081" spans="1:12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</row>
    <row r="1082" spans="1:12" ht="15" customHeight="1" x14ac:dyDescent="0.25">
      <c r="A1082" s="10" t="s">
        <v>49</v>
      </c>
      <c r="B1082" s="11"/>
      <c r="C1082" s="11"/>
      <c r="D1082" s="11"/>
      <c r="E1082" s="12"/>
      <c r="F1082" s="8" t="s">
        <v>21</v>
      </c>
      <c r="G1082" s="8" t="s">
        <v>22</v>
      </c>
      <c r="H1082" s="9" t="s">
        <v>44</v>
      </c>
      <c r="I1082" s="13" t="s">
        <v>34</v>
      </c>
      <c r="J1082" s="14"/>
      <c r="K1082" s="13" t="s">
        <v>50</v>
      </c>
      <c r="L1082" s="14"/>
    </row>
    <row r="1083" spans="1:12" ht="15" customHeight="1" x14ac:dyDescent="0.25">
      <c r="A1083" s="21" t="s">
        <v>168</v>
      </c>
      <c r="B1083" s="22"/>
      <c r="C1083" s="22"/>
      <c r="D1083" s="22"/>
      <c r="E1083" s="23"/>
      <c r="F1083" s="19" t="str">
        <f>"079536"</f>
        <v>079536</v>
      </c>
      <c r="G1083" s="19" t="s">
        <v>157</v>
      </c>
      <c r="H1083" s="20">
        <v>926.88</v>
      </c>
      <c r="I1083" s="24">
        <v>1</v>
      </c>
      <c r="J1083" s="25"/>
      <c r="K1083" s="24">
        <v>926.88</v>
      </c>
      <c r="L1083" s="25"/>
    </row>
    <row r="1084" spans="1:12" ht="15" customHeight="1" x14ac:dyDescent="0.25">
      <c r="A1084" s="15" t="s">
        <v>51</v>
      </c>
      <c r="B1084" s="16"/>
      <c r="C1084" s="16"/>
      <c r="D1084" s="16"/>
      <c r="E1084" s="16"/>
      <c r="F1084" s="16"/>
      <c r="G1084" s="16"/>
      <c r="H1084" s="16"/>
      <c r="I1084" s="16"/>
      <c r="J1084" s="17"/>
      <c r="K1084" s="15">
        <v>926.88</v>
      </c>
      <c r="L1084" s="17"/>
    </row>
    <row r="1085" spans="1:12" x14ac:dyDescent="0.2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</row>
    <row r="1086" spans="1:12" ht="15" customHeight="1" x14ac:dyDescent="0.25">
      <c r="A1086" s="10" t="s">
        <v>52</v>
      </c>
      <c r="B1086" s="11"/>
      <c r="C1086" s="11"/>
      <c r="D1086" s="11"/>
      <c r="E1086" s="12"/>
      <c r="F1086" s="8" t="s">
        <v>21</v>
      </c>
      <c r="G1086" s="8" t="s">
        <v>22</v>
      </c>
      <c r="H1086" s="9" t="s">
        <v>44</v>
      </c>
      <c r="I1086" s="13" t="s">
        <v>34</v>
      </c>
      <c r="J1086" s="14"/>
      <c r="K1086" s="13" t="s">
        <v>50</v>
      </c>
      <c r="L1086" s="14"/>
    </row>
    <row r="1087" spans="1:12" ht="30" customHeight="1" x14ac:dyDescent="0.25">
      <c r="A1087" s="21" t="s">
        <v>169</v>
      </c>
      <c r="B1087" s="22"/>
      <c r="C1087" s="22"/>
      <c r="D1087" s="22"/>
      <c r="E1087" s="23"/>
      <c r="F1087" s="19" t="s">
        <v>170</v>
      </c>
      <c r="G1087" s="19" t="s">
        <v>13</v>
      </c>
      <c r="H1087" s="20">
        <v>0.63179600000000002</v>
      </c>
      <c r="I1087" s="24" t="s">
        <v>164</v>
      </c>
      <c r="J1087" s="25"/>
      <c r="K1087" s="24" t="s">
        <v>164</v>
      </c>
      <c r="L1087" s="25"/>
    </row>
    <row r="1088" spans="1:12" ht="15" customHeight="1" x14ac:dyDescent="0.25">
      <c r="A1088" s="15" t="s">
        <v>53</v>
      </c>
      <c r="B1088" s="16"/>
      <c r="C1088" s="16"/>
      <c r="D1088" s="16"/>
      <c r="E1088" s="16"/>
      <c r="F1088" s="16"/>
      <c r="G1088" s="16"/>
      <c r="H1088" s="16"/>
      <c r="I1088" s="16"/>
      <c r="J1088" s="17"/>
      <c r="K1088" s="15">
        <v>38.29</v>
      </c>
      <c r="L1088" s="17"/>
    </row>
    <row r="1089" spans="1:12" x14ac:dyDescent="0.25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</row>
    <row r="1090" spans="1:12" ht="15" customHeight="1" x14ac:dyDescent="0.25">
      <c r="A1090" s="10" t="s">
        <v>54</v>
      </c>
      <c r="B1090" s="11"/>
      <c r="C1090" s="12"/>
      <c r="D1090" s="8" t="s">
        <v>21</v>
      </c>
      <c r="E1090" s="8" t="s">
        <v>22</v>
      </c>
      <c r="F1090" s="9" t="s">
        <v>55</v>
      </c>
      <c r="G1090" s="8" t="s">
        <v>56</v>
      </c>
      <c r="H1090" s="8" t="s">
        <v>57</v>
      </c>
      <c r="I1090" s="8" t="s">
        <v>58</v>
      </c>
      <c r="J1090" s="9" t="s">
        <v>59</v>
      </c>
      <c r="K1090" s="9" t="s">
        <v>34</v>
      </c>
      <c r="L1090" s="9" t="s">
        <v>50</v>
      </c>
    </row>
    <row r="1091" spans="1:12" ht="15" customHeight="1" x14ac:dyDescent="0.25">
      <c r="A1091" s="15" t="s">
        <v>60</v>
      </c>
      <c r="B1091" s="16"/>
      <c r="C1091" s="16"/>
      <c r="D1091" s="16"/>
      <c r="E1091" s="16"/>
      <c r="F1091" s="16"/>
      <c r="G1091" s="16"/>
      <c r="H1091" s="16"/>
      <c r="I1091" s="16"/>
      <c r="J1091" s="17"/>
      <c r="K1091" s="15">
        <v>0</v>
      </c>
      <c r="L1091" s="17"/>
    </row>
    <row r="1092" spans="1:12" x14ac:dyDescent="0.25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</row>
    <row r="1093" spans="1:12" ht="15" customHeight="1" x14ac:dyDescent="0.25">
      <c r="A1093" s="27" t="s">
        <v>61</v>
      </c>
      <c r="B1093" s="27"/>
      <c r="C1093" s="27"/>
      <c r="D1093" s="27"/>
      <c r="E1093" s="27"/>
      <c r="F1093" s="27"/>
      <c r="G1093" s="27"/>
      <c r="H1093" s="27"/>
      <c r="I1093" s="27"/>
      <c r="J1093" s="27"/>
      <c r="K1093" s="27">
        <v>965.17</v>
      </c>
      <c r="L1093" s="27"/>
    </row>
    <row r="1094" spans="1:12" ht="15" customHeight="1" x14ac:dyDescent="0.25">
      <c r="A1094" s="27" t="s">
        <v>62</v>
      </c>
      <c r="B1094" s="27"/>
      <c r="C1094" s="27"/>
      <c r="D1094" s="27"/>
      <c r="E1094" s="27"/>
      <c r="F1094" s="27"/>
      <c r="G1094" s="27"/>
      <c r="H1094" s="27"/>
      <c r="I1094" s="27"/>
      <c r="J1094" s="27"/>
      <c r="K1094" s="27">
        <v>320.92</v>
      </c>
      <c r="L1094" s="27"/>
    </row>
    <row r="1095" spans="1:12" ht="15" customHeight="1" x14ac:dyDescent="0.25">
      <c r="A1095" s="27" t="s">
        <v>63</v>
      </c>
      <c r="B1095" s="27"/>
      <c r="C1095" s="27"/>
      <c r="D1095" s="27"/>
      <c r="E1095" s="27"/>
      <c r="F1095" s="27"/>
      <c r="G1095" s="27"/>
      <c r="H1095" s="27"/>
      <c r="I1095" s="27"/>
      <c r="J1095" s="27"/>
      <c r="K1095" s="28">
        <v>1286.0899999999999</v>
      </c>
      <c r="L1095" s="28"/>
    </row>
    <row r="1096" spans="1:12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</row>
    <row r="1097" spans="1:12" ht="15" customHeight="1" x14ac:dyDescent="0.25">
      <c r="A1097" s="3" t="s">
        <v>8</v>
      </c>
      <c r="B1097" s="6" t="s">
        <v>9</v>
      </c>
      <c r="C1097" s="6"/>
      <c r="D1097" s="6"/>
      <c r="E1097" s="6"/>
      <c r="F1097" s="6"/>
      <c r="G1097" s="6"/>
      <c r="H1097" s="6"/>
      <c r="I1097" s="6"/>
      <c r="J1097" s="6"/>
      <c r="K1097" s="6"/>
      <c r="L1097" s="6"/>
    </row>
    <row r="1098" spans="1:12" ht="15" customHeight="1" x14ac:dyDescent="0.25">
      <c r="A1098" s="3" t="s">
        <v>10</v>
      </c>
      <c r="B1098" s="6" t="s">
        <v>171</v>
      </c>
      <c r="C1098" s="6"/>
      <c r="D1098" s="6"/>
      <c r="E1098" s="6"/>
      <c r="F1098" s="6"/>
      <c r="G1098" s="6"/>
      <c r="H1098" s="6"/>
      <c r="I1098" s="6"/>
      <c r="J1098" s="6"/>
      <c r="K1098" s="3" t="s">
        <v>12</v>
      </c>
      <c r="L1098" s="4" t="s">
        <v>13</v>
      </c>
    </row>
    <row r="1099" spans="1:12" ht="15" customHeight="1" x14ac:dyDescent="0.25">
      <c r="A1099" s="3" t="s">
        <v>14</v>
      </c>
      <c r="B1099" s="6" t="s">
        <v>88</v>
      </c>
      <c r="C1099" s="6"/>
      <c r="D1099" s="7" t="s">
        <v>16</v>
      </c>
      <c r="E1099" s="7"/>
      <c r="F1099" s="6" t="str">
        <f>"2A87.000097"</f>
        <v>2A87.000097</v>
      </c>
      <c r="G1099" s="6"/>
      <c r="H1099" s="3" t="s">
        <v>17</v>
      </c>
      <c r="I1099" s="6" t="s">
        <v>89</v>
      </c>
      <c r="J1099" s="6"/>
      <c r="K1099" s="3" t="s">
        <v>19</v>
      </c>
      <c r="L1099" s="5">
        <v>1</v>
      </c>
    </row>
    <row r="1100" spans="1:12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</row>
    <row r="1101" spans="1:12" ht="15" customHeight="1" x14ac:dyDescent="0.25">
      <c r="A1101" s="10" t="s">
        <v>20</v>
      </c>
      <c r="B1101" s="11"/>
      <c r="C1101" s="12"/>
      <c r="D1101" s="8" t="s">
        <v>21</v>
      </c>
      <c r="E1101" s="8" t="s">
        <v>22</v>
      </c>
      <c r="F1101" s="9" t="s">
        <v>23</v>
      </c>
      <c r="G1101" s="9" t="s">
        <v>24</v>
      </c>
      <c r="H1101" s="9" t="s">
        <v>25</v>
      </c>
      <c r="I1101" s="9" t="s">
        <v>26</v>
      </c>
      <c r="J1101" s="9" t="s">
        <v>27</v>
      </c>
      <c r="K1101" s="13" t="s">
        <v>28</v>
      </c>
      <c r="L1101" s="14"/>
    </row>
    <row r="1102" spans="1:12" ht="15" customHeight="1" x14ac:dyDescent="0.25">
      <c r="A1102" s="15" t="s">
        <v>29</v>
      </c>
      <c r="B1102" s="16"/>
      <c r="C1102" s="16"/>
      <c r="D1102" s="16"/>
      <c r="E1102" s="16"/>
      <c r="F1102" s="16"/>
      <c r="G1102" s="16"/>
      <c r="H1102" s="16"/>
      <c r="I1102" s="16"/>
      <c r="J1102" s="17"/>
      <c r="K1102" s="15">
        <v>0</v>
      </c>
      <c r="L1102" s="17"/>
    </row>
    <row r="1103" spans="1:12" x14ac:dyDescent="0.25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</row>
    <row r="1104" spans="1:12" ht="15" customHeight="1" x14ac:dyDescent="0.25">
      <c r="A1104" s="10" t="s">
        <v>30</v>
      </c>
      <c r="B1104" s="11"/>
      <c r="C1104" s="12"/>
      <c r="D1104" s="8" t="s">
        <v>21</v>
      </c>
      <c r="E1104" s="8" t="s">
        <v>22</v>
      </c>
      <c r="F1104" s="9" t="s">
        <v>31</v>
      </c>
      <c r="G1104" s="9" t="s">
        <v>32</v>
      </c>
      <c r="H1104" s="9" t="s">
        <v>33</v>
      </c>
      <c r="I1104" s="13" t="s">
        <v>34</v>
      </c>
      <c r="J1104" s="14"/>
      <c r="K1104" s="13" t="s">
        <v>28</v>
      </c>
      <c r="L1104" s="14"/>
    </row>
    <row r="1105" spans="1:12" ht="15" customHeight="1" x14ac:dyDescent="0.25">
      <c r="A1105" s="15" t="s">
        <v>38</v>
      </c>
      <c r="B1105" s="16"/>
      <c r="C1105" s="16"/>
      <c r="D1105" s="16"/>
      <c r="E1105" s="16"/>
      <c r="F1105" s="16"/>
      <c r="G1105" s="16"/>
      <c r="H1105" s="16"/>
      <c r="I1105" s="16"/>
      <c r="J1105" s="17"/>
      <c r="K1105" s="15">
        <v>0</v>
      </c>
      <c r="L1105" s="17"/>
    </row>
    <row r="1106" spans="1:12" x14ac:dyDescent="0.25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</row>
    <row r="1107" spans="1:12" ht="15" customHeight="1" x14ac:dyDescent="0.25">
      <c r="A1107" s="10" t="s">
        <v>39</v>
      </c>
      <c r="B1107" s="11"/>
      <c r="C1107" s="12"/>
      <c r="D1107" s="8" t="s">
        <v>21</v>
      </c>
      <c r="E1107" s="13" t="s">
        <v>40</v>
      </c>
      <c r="F1107" s="14"/>
      <c r="G1107" s="8" t="s">
        <v>41</v>
      </c>
      <c r="H1107" s="8" t="s">
        <v>42</v>
      </c>
      <c r="I1107" s="8" t="s">
        <v>43</v>
      </c>
      <c r="J1107" s="13" t="s">
        <v>44</v>
      </c>
      <c r="K1107" s="26"/>
      <c r="L1107" s="14"/>
    </row>
    <row r="1108" spans="1:12" ht="15" customHeight="1" x14ac:dyDescent="0.25">
      <c r="A1108" s="15" t="s">
        <v>45</v>
      </c>
      <c r="B1108" s="16"/>
      <c r="C1108" s="16"/>
      <c r="D1108" s="16"/>
      <c r="E1108" s="16"/>
      <c r="F1108" s="16"/>
      <c r="G1108" s="16"/>
      <c r="H1108" s="16"/>
      <c r="I1108" s="16"/>
      <c r="J1108" s="17"/>
      <c r="K1108" s="15">
        <v>0</v>
      </c>
      <c r="L1108" s="17"/>
    </row>
    <row r="1109" spans="1:12" x14ac:dyDescent="0.25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</row>
    <row r="1110" spans="1:12" ht="15" customHeight="1" x14ac:dyDescent="0.25">
      <c r="A1110" s="27" t="s">
        <v>46</v>
      </c>
      <c r="B1110" s="27"/>
      <c r="C1110" s="27"/>
      <c r="D1110" s="27"/>
      <c r="E1110" s="27"/>
      <c r="F1110" s="27"/>
      <c r="G1110" s="27"/>
      <c r="H1110" s="27"/>
      <c r="I1110" s="27"/>
      <c r="J1110" s="27"/>
      <c r="K1110" s="27">
        <v>0</v>
      </c>
      <c r="L1110" s="27"/>
    </row>
    <row r="1111" spans="1:12" ht="15" customHeight="1" x14ac:dyDescent="0.25">
      <c r="A1111" s="27" t="s">
        <v>47</v>
      </c>
      <c r="B1111" s="27"/>
      <c r="C1111" s="27"/>
      <c r="D1111" s="27"/>
      <c r="E1111" s="27"/>
      <c r="F1111" s="27"/>
      <c r="G1111" s="27"/>
      <c r="H1111" s="27"/>
      <c r="I1111" s="27"/>
      <c r="J1111" s="27"/>
      <c r="K1111" s="27">
        <v>1</v>
      </c>
      <c r="L1111" s="27"/>
    </row>
    <row r="1112" spans="1:12" ht="15" customHeight="1" x14ac:dyDescent="0.25">
      <c r="A1112" s="27" t="s">
        <v>48</v>
      </c>
      <c r="B1112" s="27"/>
      <c r="C1112" s="27"/>
      <c r="D1112" s="27"/>
      <c r="E1112" s="27"/>
      <c r="F1112" s="27"/>
      <c r="G1112" s="27"/>
      <c r="H1112" s="27"/>
      <c r="I1112" s="27"/>
      <c r="J1112" s="27"/>
      <c r="K1112" s="27">
        <v>0</v>
      </c>
      <c r="L1112" s="27"/>
    </row>
    <row r="1113" spans="1:12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</row>
    <row r="1114" spans="1:12" ht="15" customHeight="1" x14ac:dyDescent="0.25">
      <c r="A1114" s="10" t="s">
        <v>49</v>
      </c>
      <c r="B1114" s="11"/>
      <c r="C1114" s="11"/>
      <c r="D1114" s="11"/>
      <c r="E1114" s="12"/>
      <c r="F1114" s="8" t="s">
        <v>21</v>
      </c>
      <c r="G1114" s="8" t="s">
        <v>22</v>
      </c>
      <c r="H1114" s="9" t="s">
        <v>44</v>
      </c>
      <c r="I1114" s="13" t="s">
        <v>34</v>
      </c>
      <c r="J1114" s="14"/>
      <c r="K1114" s="13" t="s">
        <v>50</v>
      </c>
      <c r="L1114" s="14"/>
    </row>
    <row r="1115" spans="1:12" ht="15" customHeight="1" x14ac:dyDescent="0.25">
      <c r="A1115" s="21" t="s">
        <v>172</v>
      </c>
      <c r="B1115" s="22"/>
      <c r="C1115" s="22"/>
      <c r="D1115" s="22"/>
      <c r="E1115" s="23"/>
      <c r="F1115" s="19" t="str">
        <f>"035311"</f>
        <v>035311</v>
      </c>
      <c r="G1115" s="19" t="s">
        <v>157</v>
      </c>
      <c r="H1115" s="20">
        <v>475.83</v>
      </c>
      <c r="I1115" s="24">
        <v>1</v>
      </c>
      <c r="J1115" s="25"/>
      <c r="K1115" s="24">
        <v>475.83</v>
      </c>
      <c r="L1115" s="25"/>
    </row>
    <row r="1116" spans="1:12" ht="15" customHeight="1" x14ac:dyDescent="0.25">
      <c r="A1116" s="15" t="s">
        <v>51</v>
      </c>
      <c r="B1116" s="16"/>
      <c r="C1116" s="16"/>
      <c r="D1116" s="16"/>
      <c r="E1116" s="16"/>
      <c r="F1116" s="16"/>
      <c r="G1116" s="16"/>
      <c r="H1116" s="16"/>
      <c r="I1116" s="16"/>
      <c r="J1116" s="17"/>
      <c r="K1116" s="15">
        <v>475.83</v>
      </c>
      <c r="L1116" s="17"/>
    </row>
    <row r="1117" spans="1:12" x14ac:dyDescent="0.25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</row>
    <row r="1118" spans="1:12" ht="15" customHeight="1" x14ac:dyDescent="0.25">
      <c r="A1118" s="10" t="s">
        <v>52</v>
      </c>
      <c r="B1118" s="11"/>
      <c r="C1118" s="11"/>
      <c r="D1118" s="11"/>
      <c r="E1118" s="12"/>
      <c r="F1118" s="8" t="s">
        <v>21</v>
      </c>
      <c r="G1118" s="8" t="s">
        <v>22</v>
      </c>
      <c r="H1118" s="9" t="s">
        <v>44</v>
      </c>
      <c r="I1118" s="13" t="s">
        <v>34</v>
      </c>
      <c r="J1118" s="14"/>
      <c r="K1118" s="13" t="s">
        <v>50</v>
      </c>
      <c r="L1118" s="14"/>
    </row>
    <row r="1119" spans="1:12" ht="15" customHeight="1" x14ac:dyDescent="0.25">
      <c r="A1119" s="15" t="s">
        <v>53</v>
      </c>
      <c r="B1119" s="16"/>
      <c r="C1119" s="16"/>
      <c r="D1119" s="16"/>
      <c r="E1119" s="16"/>
      <c r="F1119" s="16"/>
      <c r="G1119" s="16"/>
      <c r="H1119" s="16"/>
      <c r="I1119" s="16"/>
      <c r="J1119" s="17"/>
      <c r="K1119" s="15">
        <v>0</v>
      </c>
      <c r="L1119" s="17"/>
    </row>
    <row r="1120" spans="1:12" x14ac:dyDescent="0.25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</row>
    <row r="1121" spans="1:12" ht="15" customHeight="1" x14ac:dyDescent="0.25">
      <c r="A1121" s="10" t="s">
        <v>54</v>
      </c>
      <c r="B1121" s="11"/>
      <c r="C1121" s="12"/>
      <c r="D1121" s="8" t="s">
        <v>21</v>
      </c>
      <c r="E1121" s="8" t="s">
        <v>22</v>
      </c>
      <c r="F1121" s="9" t="s">
        <v>55</v>
      </c>
      <c r="G1121" s="8" t="s">
        <v>56</v>
      </c>
      <c r="H1121" s="8" t="s">
        <v>57</v>
      </c>
      <c r="I1121" s="8" t="s">
        <v>58</v>
      </c>
      <c r="J1121" s="9" t="s">
        <v>59</v>
      </c>
      <c r="K1121" s="9" t="s">
        <v>34</v>
      </c>
      <c r="L1121" s="9" t="s">
        <v>50</v>
      </c>
    </row>
    <row r="1122" spans="1:12" ht="15" customHeight="1" x14ac:dyDescent="0.25">
      <c r="A1122" s="15" t="s">
        <v>60</v>
      </c>
      <c r="B1122" s="16"/>
      <c r="C1122" s="16"/>
      <c r="D1122" s="16"/>
      <c r="E1122" s="16"/>
      <c r="F1122" s="16"/>
      <c r="G1122" s="16"/>
      <c r="H1122" s="16"/>
      <c r="I1122" s="16"/>
      <c r="J1122" s="17"/>
      <c r="K1122" s="15">
        <v>0</v>
      </c>
      <c r="L1122" s="17"/>
    </row>
    <row r="1123" spans="1:12" x14ac:dyDescent="0.25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</row>
    <row r="1124" spans="1:12" ht="15" customHeight="1" x14ac:dyDescent="0.25">
      <c r="A1124" s="27" t="s">
        <v>61</v>
      </c>
      <c r="B1124" s="27"/>
      <c r="C1124" s="27"/>
      <c r="D1124" s="27"/>
      <c r="E1124" s="27"/>
      <c r="F1124" s="27"/>
      <c r="G1124" s="27"/>
      <c r="H1124" s="27"/>
      <c r="I1124" s="27"/>
      <c r="J1124" s="27"/>
      <c r="K1124" s="27">
        <v>475.83</v>
      </c>
      <c r="L1124" s="27"/>
    </row>
    <row r="1125" spans="1:12" ht="15" customHeight="1" x14ac:dyDescent="0.25">
      <c r="A1125" s="27" t="s">
        <v>62</v>
      </c>
      <c r="B1125" s="27"/>
      <c r="C1125" s="27"/>
      <c r="D1125" s="27"/>
      <c r="E1125" s="27"/>
      <c r="F1125" s="27"/>
      <c r="G1125" s="27"/>
      <c r="H1125" s="27"/>
      <c r="I1125" s="27"/>
      <c r="J1125" s="27"/>
      <c r="K1125" s="27">
        <v>158.21</v>
      </c>
      <c r="L1125" s="27"/>
    </row>
    <row r="1126" spans="1:12" ht="15" customHeight="1" x14ac:dyDescent="0.25">
      <c r="A1126" s="27" t="s">
        <v>63</v>
      </c>
      <c r="B1126" s="27"/>
      <c r="C1126" s="27"/>
      <c r="D1126" s="27"/>
      <c r="E1126" s="27"/>
      <c r="F1126" s="27"/>
      <c r="G1126" s="27"/>
      <c r="H1126" s="27"/>
      <c r="I1126" s="27"/>
      <c r="J1126" s="27"/>
      <c r="K1126" s="27">
        <v>634.04</v>
      </c>
      <c r="L1126" s="27"/>
    </row>
    <row r="1127" spans="1:12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</row>
    <row r="1128" spans="1:12" ht="15" customHeight="1" x14ac:dyDescent="0.25">
      <c r="A1128" s="3" t="s">
        <v>8</v>
      </c>
      <c r="B1128" s="6" t="s">
        <v>9</v>
      </c>
      <c r="C1128" s="6"/>
      <c r="D1128" s="6"/>
      <c r="E1128" s="6"/>
      <c r="F1128" s="6"/>
      <c r="G1128" s="6"/>
      <c r="H1128" s="6"/>
      <c r="I1128" s="6"/>
      <c r="J1128" s="6"/>
      <c r="K1128" s="6"/>
      <c r="L1128" s="6"/>
    </row>
    <row r="1129" spans="1:12" ht="15" customHeight="1" x14ac:dyDescent="0.25">
      <c r="A1129" s="3" t="s">
        <v>10</v>
      </c>
      <c r="B1129" s="6" t="s">
        <v>173</v>
      </c>
      <c r="C1129" s="6"/>
      <c r="D1129" s="6"/>
      <c r="E1129" s="6"/>
      <c r="F1129" s="6"/>
      <c r="G1129" s="6"/>
      <c r="H1129" s="6"/>
      <c r="I1129" s="6"/>
      <c r="J1129" s="6"/>
      <c r="K1129" s="3" t="s">
        <v>12</v>
      </c>
      <c r="L1129" s="4" t="s">
        <v>13</v>
      </c>
    </row>
    <row r="1130" spans="1:12" ht="15" customHeight="1" x14ac:dyDescent="0.25">
      <c r="A1130" s="3" t="s">
        <v>14</v>
      </c>
      <c r="B1130" s="6" t="s">
        <v>15</v>
      </c>
      <c r="C1130" s="6"/>
      <c r="D1130" s="7" t="s">
        <v>16</v>
      </c>
      <c r="E1130" s="7"/>
      <c r="F1130" s="6" t="str">
        <f>"110210"</f>
        <v>110210</v>
      </c>
      <c r="G1130" s="6"/>
      <c r="H1130" s="3" t="s">
        <v>17</v>
      </c>
      <c r="I1130" s="6" t="s">
        <v>18</v>
      </c>
      <c r="J1130" s="6"/>
      <c r="K1130" s="3" t="s">
        <v>19</v>
      </c>
      <c r="L1130" s="5">
        <v>2</v>
      </c>
    </row>
    <row r="1131" spans="1:12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</row>
    <row r="1132" spans="1:12" ht="15" customHeight="1" x14ac:dyDescent="0.25">
      <c r="A1132" s="10" t="s">
        <v>20</v>
      </c>
      <c r="B1132" s="11"/>
      <c r="C1132" s="12"/>
      <c r="D1132" s="8" t="s">
        <v>21</v>
      </c>
      <c r="E1132" s="8" t="s">
        <v>22</v>
      </c>
      <c r="F1132" s="9" t="s">
        <v>23</v>
      </c>
      <c r="G1132" s="9" t="s">
        <v>24</v>
      </c>
      <c r="H1132" s="9" t="s">
        <v>25</v>
      </c>
      <c r="I1132" s="9" t="s">
        <v>26</v>
      </c>
      <c r="J1132" s="9" t="s">
        <v>27</v>
      </c>
      <c r="K1132" s="13" t="s">
        <v>28</v>
      </c>
      <c r="L1132" s="14"/>
    </row>
    <row r="1133" spans="1:12" ht="15" customHeight="1" x14ac:dyDescent="0.25">
      <c r="A1133" s="15" t="s">
        <v>29</v>
      </c>
      <c r="B1133" s="16"/>
      <c r="C1133" s="16"/>
      <c r="D1133" s="16"/>
      <c r="E1133" s="16"/>
      <c r="F1133" s="16"/>
      <c r="G1133" s="16"/>
      <c r="H1133" s="16"/>
      <c r="I1133" s="16"/>
      <c r="J1133" s="17"/>
      <c r="K1133" s="15">
        <v>0</v>
      </c>
      <c r="L1133" s="17"/>
    </row>
    <row r="1134" spans="1:12" x14ac:dyDescent="0.25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</row>
    <row r="1135" spans="1:12" ht="15" customHeight="1" x14ac:dyDescent="0.25">
      <c r="A1135" s="10" t="s">
        <v>30</v>
      </c>
      <c r="B1135" s="11"/>
      <c r="C1135" s="12"/>
      <c r="D1135" s="8" t="s">
        <v>21</v>
      </c>
      <c r="E1135" s="8" t="s">
        <v>22</v>
      </c>
      <c r="F1135" s="9" t="s">
        <v>31</v>
      </c>
      <c r="G1135" s="9" t="s">
        <v>32</v>
      </c>
      <c r="H1135" s="9" t="s">
        <v>33</v>
      </c>
      <c r="I1135" s="13" t="s">
        <v>34</v>
      </c>
      <c r="J1135" s="14"/>
      <c r="K1135" s="13" t="s">
        <v>28</v>
      </c>
      <c r="L1135" s="14"/>
    </row>
    <row r="1136" spans="1:12" ht="15" customHeight="1" x14ac:dyDescent="0.25">
      <c r="A1136" s="15" t="s">
        <v>38</v>
      </c>
      <c r="B1136" s="16"/>
      <c r="C1136" s="16"/>
      <c r="D1136" s="16"/>
      <c r="E1136" s="16"/>
      <c r="F1136" s="16"/>
      <c r="G1136" s="16"/>
      <c r="H1136" s="16"/>
      <c r="I1136" s="16"/>
      <c r="J1136" s="17"/>
      <c r="K1136" s="15">
        <v>0</v>
      </c>
      <c r="L1136" s="17"/>
    </row>
    <row r="1137" spans="1:12" x14ac:dyDescent="0.25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</row>
    <row r="1138" spans="1:12" ht="15" customHeight="1" x14ac:dyDescent="0.25">
      <c r="A1138" s="10" t="s">
        <v>39</v>
      </c>
      <c r="B1138" s="11"/>
      <c r="C1138" s="12"/>
      <c r="D1138" s="8" t="s">
        <v>21</v>
      </c>
      <c r="E1138" s="13" t="s">
        <v>40</v>
      </c>
      <c r="F1138" s="14"/>
      <c r="G1138" s="8" t="s">
        <v>41</v>
      </c>
      <c r="H1138" s="8" t="s">
        <v>42</v>
      </c>
      <c r="I1138" s="8" t="s">
        <v>43</v>
      </c>
      <c r="J1138" s="13" t="s">
        <v>44</v>
      </c>
      <c r="K1138" s="26"/>
      <c r="L1138" s="14"/>
    </row>
    <row r="1139" spans="1:12" ht="15" customHeight="1" x14ac:dyDescent="0.25">
      <c r="A1139" s="15" t="s">
        <v>45</v>
      </c>
      <c r="B1139" s="16"/>
      <c r="C1139" s="16"/>
      <c r="D1139" s="16"/>
      <c r="E1139" s="16"/>
      <c r="F1139" s="16"/>
      <c r="G1139" s="16"/>
      <c r="H1139" s="16"/>
      <c r="I1139" s="16"/>
      <c r="J1139" s="17"/>
      <c r="K1139" s="15">
        <v>0</v>
      </c>
      <c r="L1139" s="17"/>
    </row>
    <row r="1140" spans="1:12" x14ac:dyDescent="0.25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</row>
    <row r="1141" spans="1:12" ht="15" customHeight="1" x14ac:dyDescent="0.25">
      <c r="A1141" s="27" t="s">
        <v>46</v>
      </c>
      <c r="B1141" s="27"/>
      <c r="C1141" s="27"/>
      <c r="D1141" s="27"/>
      <c r="E1141" s="27"/>
      <c r="F1141" s="27"/>
      <c r="G1141" s="27"/>
      <c r="H1141" s="27"/>
      <c r="I1141" s="27"/>
      <c r="J1141" s="27"/>
      <c r="K1141" s="27">
        <v>0</v>
      </c>
      <c r="L1141" s="27"/>
    </row>
    <row r="1142" spans="1:12" ht="15" customHeight="1" x14ac:dyDescent="0.25">
      <c r="A1142" s="27" t="s">
        <v>47</v>
      </c>
      <c r="B1142" s="27"/>
      <c r="C1142" s="27"/>
      <c r="D1142" s="27"/>
      <c r="E1142" s="27"/>
      <c r="F1142" s="27"/>
      <c r="G1142" s="27"/>
      <c r="H1142" s="27"/>
      <c r="I1142" s="27"/>
      <c r="J1142" s="27"/>
      <c r="K1142" s="27">
        <v>1</v>
      </c>
      <c r="L1142" s="27"/>
    </row>
    <row r="1143" spans="1:12" ht="15" customHeight="1" x14ac:dyDescent="0.25">
      <c r="A1143" s="27" t="s">
        <v>48</v>
      </c>
      <c r="B1143" s="27"/>
      <c r="C1143" s="27"/>
      <c r="D1143" s="27"/>
      <c r="E1143" s="27"/>
      <c r="F1143" s="27"/>
      <c r="G1143" s="27"/>
      <c r="H1143" s="27"/>
      <c r="I1143" s="27"/>
      <c r="J1143" s="27"/>
      <c r="K1143" s="27">
        <v>0</v>
      </c>
      <c r="L1143" s="27"/>
    </row>
    <row r="1144" spans="1:12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</row>
    <row r="1145" spans="1:12" ht="15" customHeight="1" x14ac:dyDescent="0.25">
      <c r="A1145" s="10" t="s">
        <v>49</v>
      </c>
      <c r="B1145" s="11"/>
      <c r="C1145" s="11"/>
      <c r="D1145" s="11"/>
      <c r="E1145" s="12"/>
      <c r="F1145" s="8" t="s">
        <v>21</v>
      </c>
      <c r="G1145" s="8" t="s">
        <v>22</v>
      </c>
      <c r="H1145" s="9" t="s">
        <v>44</v>
      </c>
      <c r="I1145" s="13" t="s">
        <v>34</v>
      </c>
      <c r="J1145" s="14"/>
      <c r="K1145" s="13" t="s">
        <v>50</v>
      </c>
      <c r="L1145" s="14"/>
    </row>
    <row r="1146" spans="1:12" ht="30" customHeight="1" x14ac:dyDescent="0.25">
      <c r="A1146" s="21" t="s">
        <v>174</v>
      </c>
      <c r="B1146" s="22"/>
      <c r="C1146" s="22"/>
      <c r="D1146" s="22"/>
      <c r="E1146" s="23"/>
      <c r="F1146" s="19" t="str">
        <f>"034129"</f>
        <v>034129</v>
      </c>
      <c r="G1146" s="19" t="s">
        <v>157</v>
      </c>
      <c r="H1146" s="20">
        <v>66.23</v>
      </c>
      <c r="I1146" s="24">
        <v>1</v>
      </c>
      <c r="J1146" s="25"/>
      <c r="K1146" s="24">
        <v>66.23</v>
      </c>
      <c r="L1146" s="25"/>
    </row>
    <row r="1147" spans="1:12" ht="15" customHeight="1" x14ac:dyDescent="0.25">
      <c r="A1147" s="15" t="s">
        <v>51</v>
      </c>
      <c r="B1147" s="16"/>
      <c r="C1147" s="16"/>
      <c r="D1147" s="16"/>
      <c r="E1147" s="16"/>
      <c r="F1147" s="16"/>
      <c r="G1147" s="16"/>
      <c r="H1147" s="16"/>
      <c r="I1147" s="16"/>
      <c r="J1147" s="17"/>
      <c r="K1147" s="15">
        <v>66.23</v>
      </c>
      <c r="L1147" s="17"/>
    </row>
    <row r="1148" spans="1:12" x14ac:dyDescent="0.25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</row>
    <row r="1149" spans="1:12" ht="15" customHeight="1" x14ac:dyDescent="0.25">
      <c r="A1149" s="10" t="s">
        <v>52</v>
      </c>
      <c r="B1149" s="11"/>
      <c r="C1149" s="11"/>
      <c r="D1149" s="11"/>
      <c r="E1149" s="12"/>
      <c r="F1149" s="8" t="s">
        <v>21</v>
      </c>
      <c r="G1149" s="8" t="s">
        <v>22</v>
      </c>
      <c r="H1149" s="9" t="s">
        <v>44</v>
      </c>
      <c r="I1149" s="13" t="s">
        <v>34</v>
      </c>
      <c r="J1149" s="14"/>
      <c r="K1149" s="13" t="s">
        <v>50</v>
      </c>
      <c r="L1149" s="14"/>
    </row>
    <row r="1150" spans="1:12" ht="15" customHeight="1" x14ac:dyDescent="0.25">
      <c r="A1150" s="15" t="s">
        <v>53</v>
      </c>
      <c r="B1150" s="16"/>
      <c r="C1150" s="16"/>
      <c r="D1150" s="16"/>
      <c r="E1150" s="16"/>
      <c r="F1150" s="16"/>
      <c r="G1150" s="16"/>
      <c r="H1150" s="16"/>
      <c r="I1150" s="16"/>
      <c r="J1150" s="17"/>
      <c r="K1150" s="15">
        <v>0</v>
      </c>
      <c r="L1150" s="17"/>
    </row>
    <row r="1151" spans="1:12" x14ac:dyDescent="0.25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</row>
    <row r="1152" spans="1:12" ht="15" customHeight="1" x14ac:dyDescent="0.25">
      <c r="A1152" s="10" t="s">
        <v>54</v>
      </c>
      <c r="B1152" s="11"/>
      <c r="C1152" s="12"/>
      <c r="D1152" s="8" t="s">
        <v>21</v>
      </c>
      <c r="E1152" s="8" t="s">
        <v>22</v>
      </c>
      <c r="F1152" s="9" t="s">
        <v>55</v>
      </c>
      <c r="G1152" s="8" t="s">
        <v>56</v>
      </c>
      <c r="H1152" s="8" t="s">
        <v>57</v>
      </c>
      <c r="I1152" s="8" t="s">
        <v>58</v>
      </c>
      <c r="J1152" s="9" t="s">
        <v>59</v>
      </c>
      <c r="K1152" s="9" t="s">
        <v>34</v>
      </c>
      <c r="L1152" s="9" t="s">
        <v>50</v>
      </c>
    </row>
    <row r="1153" spans="1:12" ht="15" customHeight="1" x14ac:dyDescent="0.25">
      <c r="A1153" s="15" t="s">
        <v>60</v>
      </c>
      <c r="B1153" s="16"/>
      <c r="C1153" s="16"/>
      <c r="D1153" s="16"/>
      <c r="E1153" s="16"/>
      <c r="F1153" s="16"/>
      <c r="G1153" s="16"/>
      <c r="H1153" s="16"/>
      <c r="I1153" s="16"/>
      <c r="J1153" s="17"/>
      <c r="K1153" s="15">
        <v>0</v>
      </c>
      <c r="L1153" s="17"/>
    </row>
    <row r="1154" spans="1:12" x14ac:dyDescent="0.25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</row>
    <row r="1155" spans="1:12" ht="15" customHeight="1" x14ac:dyDescent="0.25">
      <c r="A1155" s="27" t="s">
        <v>61</v>
      </c>
      <c r="B1155" s="27"/>
      <c r="C1155" s="27"/>
      <c r="D1155" s="27"/>
      <c r="E1155" s="27"/>
      <c r="F1155" s="27"/>
      <c r="G1155" s="27"/>
      <c r="H1155" s="27"/>
      <c r="I1155" s="27"/>
      <c r="J1155" s="27"/>
      <c r="K1155" s="27">
        <v>66.23</v>
      </c>
      <c r="L1155" s="27"/>
    </row>
    <row r="1156" spans="1:12" ht="15" customHeight="1" x14ac:dyDescent="0.25">
      <c r="A1156" s="27" t="s">
        <v>62</v>
      </c>
      <c r="B1156" s="27"/>
      <c r="C1156" s="27"/>
      <c r="D1156" s="27"/>
      <c r="E1156" s="27"/>
      <c r="F1156" s="27"/>
      <c r="G1156" s="27"/>
      <c r="H1156" s="27"/>
      <c r="I1156" s="27"/>
      <c r="J1156" s="27"/>
      <c r="K1156" s="27">
        <v>22.02</v>
      </c>
      <c r="L1156" s="27"/>
    </row>
    <row r="1157" spans="1:12" ht="15" customHeight="1" x14ac:dyDescent="0.25">
      <c r="A1157" s="27" t="s">
        <v>63</v>
      </c>
      <c r="B1157" s="27"/>
      <c r="C1157" s="27"/>
      <c r="D1157" s="27"/>
      <c r="E1157" s="27"/>
      <c r="F1157" s="27"/>
      <c r="G1157" s="27"/>
      <c r="H1157" s="27"/>
      <c r="I1157" s="27"/>
      <c r="J1157" s="27"/>
      <c r="K1157" s="27">
        <v>88.25</v>
      </c>
      <c r="L1157" s="27"/>
    </row>
    <row r="1158" spans="1:12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</row>
    <row r="1159" spans="1:12" ht="15" customHeight="1" x14ac:dyDescent="0.25">
      <c r="A1159" s="3" t="s">
        <v>8</v>
      </c>
      <c r="B1159" s="6" t="s">
        <v>9</v>
      </c>
      <c r="C1159" s="6"/>
      <c r="D1159" s="6"/>
      <c r="E1159" s="6"/>
      <c r="F1159" s="6"/>
      <c r="G1159" s="6"/>
      <c r="H1159" s="6"/>
      <c r="I1159" s="6"/>
      <c r="J1159" s="6"/>
      <c r="K1159" s="6"/>
      <c r="L1159" s="6"/>
    </row>
    <row r="1160" spans="1:12" ht="15" customHeight="1" x14ac:dyDescent="0.25">
      <c r="A1160" s="3" t="s">
        <v>10</v>
      </c>
      <c r="B1160" s="6" t="s">
        <v>175</v>
      </c>
      <c r="C1160" s="6"/>
      <c r="D1160" s="6"/>
      <c r="E1160" s="6"/>
      <c r="F1160" s="6"/>
      <c r="G1160" s="6"/>
      <c r="H1160" s="6"/>
      <c r="I1160" s="6"/>
      <c r="J1160" s="6"/>
      <c r="K1160" s="3" t="s">
        <v>12</v>
      </c>
      <c r="L1160" s="4" t="s">
        <v>13</v>
      </c>
    </row>
    <row r="1161" spans="1:12" ht="15" customHeight="1" x14ac:dyDescent="0.25">
      <c r="A1161" s="3" t="s">
        <v>14</v>
      </c>
      <c r="B1161" s="6" t="s">
        <v>15</v>
      </c>
      <c r="C1161" s="6"/>
      <c r="D1161" s="7" t="s">
        <v>16</v>
      </c>
      <c r="E1161" s="7"/>
      <c r="F1161" s="6" t="str">
        <f>"120101"</f>
        <v>120101</v>
      </c>
      <c r="G1161" s="6"/>
      <c r="H1161" s="3" t="s">
        <v>17</v>
      </c>
      <c r="I1161" s="6" t="s">
        <v>18</v>
      </c>
      <c r="J1161" s="6"/>
      <c r="K1161" s="3" t="s">
        <v>19</v>
      </c>
      <c r="L1161" s="5">
        <v>1</v>
      </c>
    </row>
    <row r="1162" spans="1:12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</row>
    <row r="1163" spans="1:12" ht="15" customHeight="1" x14ac:dyDescent="0.25">
      <c r="A1163" s="10" t="s">
        <v>20</v>
      </c>
      <c r="B1163" s="11"/>
      <c r="C1163" s="12"/>
      <c r="D1163" s="8" t="s">
        <v>21</v>
      </c>
      <c r="E1163" s="8" t="s">
        <v>22</v>
      </c>
      <c r="F1163" s="9" t="s">
        <v>23</v>
      </c>
      <c r="G1163" s="9" t="s">
        <v>24</v>
      </c>
      <c r="H1163" s="9" t="s">
        <v>25</v>
      </c>
      <c r="I1163" s="9" t="s">
        <v>26</v>
      </c>
      <c r="J1163" s="9" t="s">
        <v>27</v>
      </c>
      <c r="K1163" s="13" t="s">
        <v>28</v>
      </c>
      <c r="L1163" s="14"/>
    </row>
    <row r="1164" spans="1:12" ht="15" customHeight="1" x14ac:dyDescent="0.25">
      <c r="A1164" s="15" t="s">
        <v>29</v>
      </c>
      <c r="B1164" s="16"/>
      <c r="C1164" s="16"/>
      <c r="D1164" s="16"/>
      <c r="E1164" s="16"/>
      <c r="F1164" s="16"/>
      <c r="G1164" s="16"/>
      <c r="H1164" s="16"/>
      <c r="I1164" s="16"/>
      <c r="J1164" s="17"/>
      <c r="K1164" s="15">
        <v>0</v>
      </c>
      <c r="L1164" s="17"/>
    </row>
    <row r="1165" spans="1:12" x14ac:dyDescent="0.2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</row>
    <row r="1166" spans="1:12" ht="15" customHeight="1" x14ac:dyDescent="0.25">
      <c r="A1166" s="10" t="s">
        <v>30</v>
      </c>
      <c r="B1166" s="11"/>
      <c r="C1166" s="12"/>
      <c r="D1166" s="8" t="s">
        <v>21</v>
      </c>
      <c r="E1166" s="8" t="s">
        <v>22</v>
      </c>
      <c r="F1166" s="9" t="s">
        <v>31</v>
      </c>
      <c r="G1166" s="9" t="s">
        <v>32</v>
      </c>
      <c r="H1166" s="9" t="s">
        <v>33</v>
      </c>
      <c r="I1166" s="13" t="s">
        <v>34</v>
      </c>
      <c r="J1166" s="14"/>
      <c r="K1166" s="13" t="s">
        <v>28</v>
      </c>
      <c r="L1166" s="14"/>
    </row>
    <row r="1167" spans="1:12" ht="15" customHeight="1" x14ac:dyDescent="0.25">
      <c r="A1167" s="21" t="s">
        <v>69</v>
      </c>
      <c r="B1167" s="22"/>
      <c r="C1167" s="23"/>
      <c r="D1167" s="19" t="str">
        <f>"010139"</f>
        <v>010139</v>
      </c>
      <c r="E1167" s="19" t="s">
        <v>36</v>
      </c>
      <c r="F1167" s="20">
        <v>10.119999999999999</v>
      </c>
      <c r="G1167" s="20">
        <v>157.27000000000001</v>
      </c>
      <c r="H1167" s="20">
        <v>26.03</v>
      </c>
      <c r="I1167" s="24">
        <v>0.1</v>
      </c>
      <c r="J1167" s="25"/>
      <c r="K1167" s="24">
        <v>2.6</v>
      </c>
      <c r="L1167" s="25"/>
    </row>
    <row r="1168" spans="1:12" ht="15" customHeight="1" x14ac:dyDescent="0.25">
      <c r="A1168" s="21" t="s">
        <v>37</v>
      </c>
      <c r="B1168" s="22"/>
      <c r="C1168" s="23"/>
      <c r="D1168" s="19" t="str">
        <f>"010146"</f>
        <v>010146</v>
      </c>
      <c r="E1168" s="19" t="s">
        <v>36</v>
      </c>
      <c r="F1168" s="20">
        <v>7.65</v>
      </c>
      <c r="G1168" s="20">
        <v>157.27000000000001</v>
      </c>
      <c r="H1168" s="20">
        <v>19.68</v>
      </c>
      <c r="I1168" s="24">
        <v>0.15</v>
      </c>
      <c r="J1168" s="25"/>
      <c r="K1168" s="24">
        <v>2.95</v>
      </c>
      <c r="L1168" s="25"/>
    </row>
    <row r="1169" spans="1:12" ht="15" customHeight="1" x14ac:dyDescent="0.25">
      <c r="A1169" s="15" t="s">
        <v>38</v>
      </c>
      <c r="B1169" s="16"/>
      <c r="C1169" s="16"/>
      <c r="D1169" s="16"/>
      <c r="E1169" s="16"/>
      <c r="F1169" s="16"/>
      <c r="G1169" s="16"/>
      <c r="H1169" s="16"/>
      <c r="I1169" s="16"/>
      <c r="J1169" s="17"/>
      <c r="K1169" s="15">
        <v>5.55</v>
      </c>
      <c r="L1169" s="17"/>
    </row>
    <row r="1170" spans="1:12" x14ac:dyDescent="0.25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</row>
    <row r="1171" spans="1:12" ht="15" customHeight="1" x14ac:dyDescent="0.25">
      <c r="A1171" s="10" t="s">
        <v>39</v>
      </c>
      <c r="B1171" s="11"/>
      <c r="C1171" s="12"/>
      <c r="D1171" s="8" t="s">
        <v>21</v>
      </c>
      <c r="E1171" s="13" t="s">
        <v>40</v>
      </c>
      <c r="F1171" s="14"/>
      <c r="G1171" s="8" t="s">
        <v>41</v>
      </c>
      <c r="H1171" s="8" t="s">
        <v>42</v>
      </c>
      <c r="I1171" s="8" t="s">
        <v>43</v>
      </c>
      <c r="J1171" s="13" t="s">
        <v>44</v>
      </c>
      <c r="K1171" s="26"/>
      <c r="L1171" s="14"/>
    </row>
    <row r="1172" spans="1:12" ht="15" customHeight="1" x14ac:dyDescent="0.25">
      <c r="A1172" s="15" t="s">
        <v>45</v>
      </c>
      <c r="B1172" s="16"/>
      <c r="C1172" s="16"/>
      <c r="D1172" s="16"/>
      <c r="E1172" s="16"/>
      <c r="F1172" s="16"/>
      <c r="G1172" s="16"/>
      <c r="H1172" s="16"/>
      <c r="I1172" s="16"/>
      <c r="J1172" s="17"/>
      <c r="K1172" s="15">
        <v>0</v>
      </c>
      <c r="L1172" s="17"/>
    </row>
    <row r="1173" spans="1:12" x14ac:dyDescent="0.25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</row>
    <row r="1174" spans="1:12" ht="15" customHeight="1" x14ac:dyDescent="0.25">
      <c r="A1174" s="27" t="s">
        <v>46</v>
      </c>
      <c r="B1174" s="27"/>
      <c r="C1174" s="27"/>
      <c r="D1174" s="27"/>
      <c r="E1174" s="27"/>
      <c r="F1174" s="27"/>
      <c r="G1174" s="27"/>
      <c r="H1174" s="27"/>
      <c r="I1174" s="27"/>
      <c r="J1174" s="27"/>
      <c r="K1174" s="27">
        <v>5.55</v>
      </c>
      <c r="L1174" s="27"/>
    </row>
    <row r="1175" spans="1:12" ht="15" customHeight="1" x14ac:dyDescent="0.25">
      <c r="A1175" s="27" t="s">
        <v>47</v>
      </c>
      <c r="B1175" s="27"/>
      <c r="C1175" s="27"/>
      <c r="D1175" s="27"/>
      <c r="E1175" s="27"/>
      <c r="F1175" s="27"/>
      <c r="G1175" s="27"/>
      <c r="H1175" s="27"/>
      <c r="I1175" s="27"/>
      <c r="J1175" s="27"/>
      <c r="K1175" s="27">
        <v>1</v>
      </c>
      <c r="L1175" s="27"/>
    </row>
    <row r="1176" spans="1:12" ht="15" customHeight="1" x14ac:dyDescent="0.25">
      <c r="A1176" s="27" t="s">
        <v>48</v>
      </c>
      <c r="B1176" s="27"/>
      <c r="C1176" s="27"/>
      <c r="D1176" s="27"/>
      <c r="E1176" s="27"/>
      <c r="F1176" s="27"/>
      <c r="G1176" s="27"/>
      <c r="H1176" s="27"/>
      <c r="I1176" s="27"/>
      <c r="J1176" s="27"/>
      <c r="K1176" s="27">
        <v>5.55</v>
      </c>
      <c r="L1176" s="27"/>
    </row>
    <row r="1177" spans="1:12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</row>
    <row r="1178" spans="1:12" ht="15" customHeight="1" x14ac:dyDescent="0.25">
      <c r="A1178" s="10" t="s">
        <v>49</v>
      </c>
      <c r="B1178" s="11"/>
      <c r="C1178" s="11"/>
      <c r="D1178" s="11"/>
      <c r="E1178" s="12"/>
      <c r="F1178" s="8" t="s">
        <v>21</v>
      </c>
      <c r="G1178" s="8" t="s">
        <v>22</v>
      </c>
      <c r="H1178" s="9" t="s">
        <v>44</v>
      </c>
      <c r="I1178" s="13" t="s">
        <v>34</v>
      </c>
      <c r="J1178" s="14"/>
      <c r="K1178" s="13" t="s">
        <v>50</v>
      </c>
      <c r="L1178" s="14"/>
    </row>
    <row r="1179" spans="1:12" ht="15" customHeight="1" x14ac:dyDescent="0.25">
      <c r="A1179" s="21" t="s">
        <v>122</v>
      </c>
      <c r="B1179" s="22"/>
      <c r="C1179" s="22"/>
      <c r="D1179" s="22"/>
      <c r="E1179" s="23"/>
      <c r="F1179" s="19" t="str">
        <f>"020503"</f>
        <v>020503</v>
      </c>
      <c r="G1179" s="19" t="s">
        <v>105</v>
      </c>
      <c r="H1179" s="20">
        <v>152</v>
      </c>
      <c r="I1179" s="24">
        <v>6.1000000000000004E-3</v>
      </c>
      <c r="J1179" s="25"/>
      <c r="K1179" s="24">
        <v>0.92</v>
      </c>
      <c r="L1179" s="25"/>
    </row>
    <row r="1180" spans="1:12" ht="15" customHeight="1" x14ac:dyDescent="0.25">
      <c r="A1180" s="21" t="s">
        <v>125</v>
      </c>
      <c r="B1180" s="22"/>
      <c r="C1180" s="22"/>
      <c r="D1180" s="22"/>
      <c r="E1180" s="23"/>
      <c r="F1180" s="19" t="str">
        <f>"020508"</f>
        <v>020508</v>
      </c>
      <c r="G1180" s="19" t="s">
        <v>124</v>
      </c>
      <c r="H1180" s="20">
        <v>0.59</v>
      </c>
      <c r="I1180" s="24">
        <v>2.4300000000000002</v>
      </c>
      <c r="J1180" s="25"/>
      <c r="K1180" s="24">
        <v>1.43</v>
      </c>
      <c r="L1180" s="25"/>
    </row>
    <row r="1181" spans="1:12" ht="15" customHeight="1" x14ac:dyDescent="0.25">
      <c r="A1181" s="15" t="s">
        <v>51</v>
      </c>
      <c r="B1181" s="16"/>
      <c r="C1181" s="16"/>
      <c r="D1181" s="16"/>
      <c r="E1181" s="16"/>
      <c r="F1181" s="16"/>
      <c r="G1181" s="16"/>
      <c r="H1181" s="16"/>
      <c r="I1181" s="16"/>
      <c r="J1181" s="17"/>
      <c r="K1181" s="15">
        <v>2.35</v>
      </c>
      <c r="L1181" s="17"/>
    </row>
    <row r="1182" spans="1:12" x14ac:dyDescent="0.25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</row>
    <row r="1183" spans="1:12" ht="15" customHeight="1" x14ac:dyDescent="0.25">
      <c r="A1183" s="10" t="s">
        <v>52</v>
      </c>
      <c r="B1183" s="11"/>
      <c r="C1183" s="11"/>
      <c r="D1183" s="11"/>
      <c r="E1183" s="12"/>
      <c r="F1183" s="8" t="s">
        <v>21</v>
      </c>
      <c r="G1183" s="8" t="s">
        <v>22</v>
      </c>
      <c r="H1183" s="9" t="s">
        <v>44</v>
      </c>
      <c r="I1183" s="13" t="s">
        <v>34</v>
      </c>
      <c r="J1183" s="14"/>
      <c r="K1183" s="13" t="s">
        <v>50</v>
      </c>
      <c r="L1183" s="14"/>
    </row>
    <row r="1184" spans="1:12" ht="15" customHeight="1" x14ac:dyDescent="0.25">
      <c r="A1184" s="15" t="s">
        <v>53</v>
      </c>
      <c r="B1184" s="16"/>
      <c r="C1184" s="16"/>
      <c r="D1184" s="16"/>
      <c r="E1184" s="16"/>
      <c r="F1184" s="16"/>
      <c r="G1184" s="16"/>
      <c r="H1184" s="16"/>
      <c r="I1184" s="16"/>
      <c r="J1184" s="17"/>
      <c r="K1184" s="15">
        <v>0</v>
      </c>
      <c r="L1184" s="17"/>
    </row>
    <row r="1185" spans="1:12" x14ac:dyDescent="0.2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</row>
    <row r="1186" spans="1:12" ht="15" customHeight="1" x14ac:dyDescent="0.25">
      <c r="A1186" s="10" t="s">
        <v>54</v>
      </c>
      <c r="B1186" s="11"/>
      <c r="C1186" s="12"/>
      <c r="D1186" s="8" t="s">
        <v>21</v>
      </c>
      <c r="E1186" s="8" t="s">
        <v>22</v>
      </c>
      <c r="F1186" s="9" t="s">
        <v>55</v>
      </c>
      <c r="G1186" s="8" t="s">
        <v>56</v>
      </c>
      <c r="H1186" s="8" t="s">
        <v>57</v>
      </c>
      <c r="I1186" s="8" t="s">
        <v>58</v>
      </c>
      <c r="J1186" s="9" t="s">
        <v>59</v>
      </c>
      <c r="K1186" s="9" t="s">
        <v>34</v>
      </c>
      <c r="L1186" s="9" t="s">
        <v>50</v>
      </c>
    </row>
    <row r="1187" spans="1:12" ht="15" customHeight="1" x14ac:dyDescent="0.25">
      <c r="A1187" s="15" t="s">
        <v>60</v>
      </c>
      <c r="B1187" s="16"/>
      <c r="C1187" s="16"/>
      <c r="D1187" s="16"/>
      <c r="E1187" s="16"/>
      <c r="F1187" s="16"/>
      <c r="G1187" s="16"/>
      <c r="H1187" s="16"/>
      <c r="I1187" s="16"/>
      <c r="J1187" s="17"/>
      <c r="K1187" s="15">
        <v>0</v>
      </c>
      <c r="L1187" s="17"/>
    </row>
    <row r="1188" spans="1:12" x14ac:dyDescent="0.25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</row>
    <row r="1189" spans="1:12" ht="15" customHeight="1" x14ac:dyDescent="0.25">
      <c r="A1189" s="27" t="s">
        <v>61</v>
      </c>
      <c r="B1189" s="27"/>
      <c r="C1189" s="27"/>
      <c r="D1189" s="27"/>
      <c r="E1189" s="27"/>
      <c r="F1189" s="27"/>
      <c r="G1189" s="27"/>
      <c r="H1189" s="27"/>
      <c r="I1189" s="27"/>
      <c r="J1189" s="27"/>
      <c r="K1189" s="27">
        <v>7.9</v>
      </c>
      <c r="L1189" s="27"/>
    </row>
    <row r="1190" spans="1:12" ht="15" customHeight="1" x14ac:dyDescent="0.25">
      <c r="A1190" s="27" t="s">
        <v>62</v>
      </c>
      <c r="B1190" s="27"/>
      <c r="C1190" s="27"/>
      <c r="D1190" s="27"/>
      <c r="E1190" s="27"/>
      <c r="F1190" s="27"/>
      <c r="G1190" s="27"/>
      <c r="H1190" s="27"/>
      <c r="I1190" s="27"/>
      <c r="J1190" s="27"/>
      <c r="K1190" s="27">
        <v>2.63</v>
      </c>
      <c r="L1190" s="27"/>
    </row>
    <row r="1191" spans="1:12" ht="15" customHeight="1" x14ac:dyDescent="0.25">
      <c r="A1191" s="27" t="s">
        <v>63</v>
      </c>
      <c r="B1191" s="27"/>
      <c r="C1191" s="27"/>
      <c r="D1191" s="27"/>
      <c r="E1191" s="27"/>
      <c r="F1191" s="27"/>
      <c r="G1191" s="27"/>
      <c r="H1191" s="27"/>
      <c r="I1191" s="27"/>
      <c r="J1191" s="27"/>
      <c r="K1191" s="27">
        <v>10.53</v>
      </c>
      <c r="L1191" s="27"/>
    </row>
    <row r="1192" spans="1:12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</row>
    <row r="1193" spans="1:12" ht="15" customHeight="1" x14ac:dyDescent="0.25">
      <c r="A1193" s="3" t="s">
        <v>8</v>
      </c>
      <c r="B1193" s="6" t="s">
        <v>9</v>
      </c>
      <c r="C1193" s="6"/>
      <c r="D1193" s="6"/>
      <c r="E1193" s="6"/>
      <c r="F1193" s="6"/>
      <c r="G1193" s="6"/>
      <c r="H1193" s="6"/>
      <c r="I1193" s="6"/>
      <c r="J1193" s="6"/>
      <c r="K1193" s="6"/>
      <c r="L1193" s="6"/>
    </row>
    <row r="1194" spans="1:12" ht="15" customHeight="1" x14ac:dyDescent="0.25">
      <c r="A1194" s="3" t="s">
        <v>10</v>
      </c>
      <c r="B1194" s="6" t="s">
        <v>176</v>
      </c>
      <c r="C1194" s="6"/>
      <c r="D1194" s="6"/>
      <c r="E1194" s="6"/>
      <c r="F1194" s="6"/>
      <c r="G1194" s="6"/>
      <c r="H1194" s="6"/>
      <c r="I1194" s="6"/>
      <c r="J1194" s="6"/>
      <c r="K1194" s="3" t="s">
        <v>12</v>
      </c>
      <c r="L1194" s="4" t="s">
        <v>13</v>
      </c>
    </row>
    <row r="1195" spans="1:12" ht="15" customHeight="1" x14ac:dyDescent="0.25">
      <c r="A1195" s="3" t="s">
        <v>14</v>
      </c>
      <c r="B1195" s="6" t="s">
        <v>15</v>
      </c>
      <c r="C1195" s="6"/>
      <c r="D1195" s="7" t="s">
        <v>16</v>
      </c>
      <c r="E1195" s="7"/>
      <c r="F1195" s="6" t="str">
        <f>"120232"</f>
        <v>120232</v>
      </c>
      <c r="G1195" s="6"/>
      <c r="H1195" s="3" t="s">
        <v>17</v>
      </c>
      <c r="I1195" s="6" t="s">
        <v>18</v>
      </c>
      <c r="J1195" s="6"/>
      <c r="K1195" s="3" t="s">
        <v>19</v>
      </c>
      <c r="L1195" s="5">
        <v>2</v>
      </c>
    </row>
    <row r="1196" spans="1:12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</row>
    <row r="1197" spans="1:12" ht="15" customHeight="1" x14ac:dyDescent="0.25">
      <c r="A1197" s="10" t="s">
        <v>20</v>
      </c>
      <c r="B1197" s="11"/>
      <c r="C1197" s="12"/>
      <c r="D1197" s="8" t="s">
        <v>21</v>
      </c>
      <c r="E1197" s="8" t="s">
        <v>22</v>
      </c>
      <c r="F1197" s="9" t="s">
        <v>23</v>
      </c>
      <c r="G1197" s="9" t="s">
        <v>24</v>
      </c>
      <c r="H1197" s="9" t="s">
        <v>25</v>
      </c>
      <c r="I1197" s="9" t="s">
        <v>26</v>
      </c>
      <c r="J1197" s="9" t="s">
        <v>27</v>
      </c>
      <c r="K1197" s="13" t="s">
        <v>28</v>
      </c>
      <c r="L1197" s="14"/>
    </row>
    <row r="1198" spans="1:12" ht="15" customHeight="1" x14ac:dyDescent="0.25">
      <c r="A1198" s="15" t="s">
        <v>29</v>
      </c>
      <c r="B1198" s="16"/>
      <c r="C1198" s="16"/>
      <c r="D1198" s="16"/>
      <c r="E1198" s="16"/>
      <c r="F1198" s="16"/>
      <c r="G1198" s="16"/>
      <c r="H1198" s="16"/>
      <c r="I1198" s="16"/>
      <c r="J1198" s="17"/>
      <c r="K1198" s="15">
        <v>0</v>
      </c>
      <c r="L1198" s="17"/>
    </row>
    <row r="1199" spans="1:12" x14ac:dyDescent="0.25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</row>
    <row r="1200" spans="1:12" ht="15" customHeight="1" x14ac:dyDescent="0.25">
      <c r="A1200" s="10" t="s">
        <v>30</v>
      </c>
      <c r="B1200" s="11"/>
      <c r="C1200" s="12"/>
      <c r="D1200" s="8" t="s">
        <v>21</v>
      </c>
      <c r="E1200" s="8" t="s">
        <v>22</v>
      </c>
      <c r="F1200" s="9" t="s">
        <v>31</v>
      </c>
      <c r="G1200" s="9" t="s">
        <v>32</v>
      </c>
      <c r="H1200" s="9" t="s">
        <v>33</v>
      </c>
      <c r="I1200" s="13" t="s">
        <v>34</v>
      </c>
      <c r="J1200" s="14"/>
      <c r="K1200" s="13" t="s">
        <v>28</v>
      </c>
      <c r="L1200" s="14"/>
    </row>
    <row r="1201" spans="1:12" ht="15" customHeight="1" x14ac:dyDescent="0.25">
      <c r="A1201" s="21" t="s">
        <v>35</v>
      </c>
      <c r="B1201" s="22"/>
      <c r="C1201" s="23"/>
      <c r="D1201" s="19" t="str">
        <f>"010106"</f>
        <v>010106</v>
      </c>
      <c r="E1201" s="19" t="s">
        <v>36</v>
      </c>
      <c r="F1201" s="20">
        <v>10.119999999999999</v>
      </c>
      <c r="G1201" s="20">
        <v>157.27000000000001</v>
      </c>
      <c r="H1201" s="20">
        <v>26.03</v>
      </c>
      <c r="I1201" s="24">
        <v>0.40400000000000003</v>
      </c>
      <c r="J1201" s="25"/>
      <c r="K1201" s="24">
        <v>10.51</v>
      </c>
      <c r="L1201" s="25"/>
    </row>
    <row r="1202" spans="1:12" ht="15" customHeight="1" x14ac:dyDescent="0.25">
      <c r="A1202" s="21" t="s">
        <v>37</v>
      </c>
      <c r="B1202" s="22"/>
      <c r="C1202" s="23"/>
      <c r="D1202" s="19" t="str">
        <f>"010146"</f>
        <v>010146</v>
      </c>
      <c r="E1202" s="19" t="s">
        <v>36</v>
      </c>
      <c r="F1202" s="20">
        <v>7.65</v>
      </c>
      <c r="G1202" s="20">
        <v>157.27000000000001</v>
      </c>
      <c r="H1202" s="20">
        <v>19.68</v>
      </c>
      <c r="I1202" s="24">
        <v>0.22359999999999999</v>
      </c>
      <c r="J1202" s="25"/>
      <c r="K1202" s="24">
        <v>4.4000000000000004</v>
      </c>
      <c r="L1202" s="25"/>
    </row>
    <row r="1203" spans="1:12" ht="15" customHeight="1" x14ac:dyDescent="0.25">
      <c r="A1203" s="15" t="s">
        <v>38</v>
      </c>
      <c r="B1203" s="16"/>
      <c r="C1203" s="16"/>
      <c r="D1203" s="16"/>
      <c r="E1203" s="16"/>
      <c r="F1203" s="16"/>
      <c r="G1203" s="16"/>
      <c r="H1203" s="16"/>
      <c r="I1203" s="16"/>
      <c r="J1203" s="17"/>
      <c r="K1203" s="15">
        <v>14.91</v>
      </c>
      <c r="L1203" s="17"/>
    </row>
    <row r="1204" spans="1:12" x14ac:dyDescent="0.25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</row>
    <row r="1205" spans="1:12" ht="15" customHeight="1" x14ac:dyDescent="0.25">
      <c r="A1205" s="10" t="s">
        <v>39</v>
      </c>
      <c r="B1205" s="11"/>
      <c r="C1205" s="12"/>
      <c r="D1205" s="8" t="s">
        <v>21</v>
      </c>
      <c r="E1205" s="13" t="s">
        <v>40</v>
      </c>
      <c r="F1205" s="14"/>
      <c r="G1205" s="8" t="s">
        <v>41</v>
      </c>
      <c r="H1205" s="8" t="s">
        <v>42</v>
      </c>
      <c r="I1205" s="8" t="s">
        <v>43</v>
      </c>
      <c r="J1205" s="13" t="s">
        <v>44</v>
      </c>
      <c r="K1205" s="26"/>
      <c r="L1205" s="14"/>
    </row>
    <row r="1206" spans="1:12" ht="15" customHeight="1" x14ac:dyDescent="0.25">
      <c r="A1206" s="15" t="s">
        <v>45</v>
      </c>
      <c r="B1206" s="16"/>
      <c r="C1206" s="16"/>
      <c r="D1206" s="16"/>
      <c r="E1206" s="16"/>
      <c r="F1206" s="16"/>
      <c r="G1206" s="16"/>
      <c r="H1206" s="16"/>
      <c r="I1206" s="16"/>
      <c r="J1206" s="17"/>
      <c r="K1206" s="15">
        <v>0</v>
      </c>
      <c r="L1206" s="17"/>
    </row>
    <row r="1207" spans="1:12" x14ac:dyDescent="0.25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</row>
    <row r="1208" spans="1:12" ht="15" customHeight="1" x14ac:dyDescent="0.25">
      <c r="A1208" s="27" t="s">
        <v>46</v>
      </c>
      <c r="B1208" s="27"/>
      <c r="C1208" s="27"/>
      <c r="D1208" s="27"/>
      <c r="E1208" s="27"/>
      <c r="F1208" s="27"/>
      <c r="G1208" s="27"/>
      <c r="H1208" s="27"/>
      <c r="I1208" s="27"/>
      <c r="J1208" s="27"/>
      <c r="K1208" s="27">
        <v>14.91</v>
      </c>
      <c r="L1208" s="27"/>
    </row>
    <row r="1209" spans="1:12" ht="15" customHeight="1" x14ac:dyDescent="0.25">
      <c r="A1209" s="27" t="s">
        <v>47</v>
      </c>
      <c r="B1209" s="27"/>
      <c r="C1209" s="27"/>
      <c r="D1209" s="27"/>
      <c r="E1209" s="27"/>
      <c r="F1209" s="27"/>
      <c r="G1209" s="27"/>
      <c r="H1209" s="27"/>
      <c r="I1209" s="27"/>
      <c r="J1209" s="27"/>
      <c r="K1209" s="27">
        <v>1</v>
      </c>
      <c r="L1209" s="27"/>
    </row>
    <row r="1210" spans="1:12" ht="15" customHeight="1" x14ac:dyDescent="0.25">
      <c r="A1210" s="27" t="s">
        <v>48</v>
      </c>
      <c r="B1210" s="27"/>
      <c r="C1210" s="27"/>
      <c r="D1210" s="27"/>
      <c r="E1210" s="27"/>
      <c r="F1210" s="27"/>
      <c r="G1210" s="27"/>
      <c r="H1210" s="27"/>
      <c r="I1210" s="27"/>
      <c r="J1210" s="27"/>
      <c r="K1210" s="27">
        <v>14.91</v>
      </c>
      <c r="L1210" s="27"/>
    </row>
    <row r="1211" spans="1:12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</row>
    <row r="1212" spans="1:12" ht="15" customHeight="1" x14ac:dyDescent="0.25">
      <c r="A1212" s="10" t="s">
        <v>49</v>
      </c>
      <c r="B1212" s="11"/>
      <c r="C1212" s="11"/>
      <c r="D1212" s="11"/>
      <c r="E1212" s="12"/>
      <c r="F1212" s="8" t="s">
        <v>21</v>
      </c>
      <c r="G1212" s="8" t="s">
        <v>22</v>
      </c>
      <c r="H1212" s="9" t="s">
        <v>44</v>
      </c>
      <c r="I1212" s="13" t="s">
        <v>34</v>
      </c>
      <c r="J1212" s="14"/>
      <c r="K1212" s="13" t="s">
        <v>50</v>
      </c>
      <c r="L1212" s="14"/>
    </row>
    <row r="1213" spans="1:12" ht="15" customHeight="1" x14ac:dyDescent="0.25">
      <c r="A1213" s="21" t="s">
        <v>177</v>
      </c>
      <c r="B1213" s="22"/>
      <c r="C1213" s="22"/>
      <c r="D1213" s="22"/>
      <c r="E1213" s="23"/>
      <c r="F1213" s="19" t="str">
        <f>"020463"</f>
        <v>020463</v>
      </c>
      <c r="G1213" s="19" t="s">
        <v>124</v>
      </c>
      <c r="H1213" s="20">
        <v>8</v>
      </c>
      <c r="I1213" s="24">
        <v>1.05</v>
      </c>
      <c r="J1213" s="25"/>
      <c r="K1213" s="24">
        <v>8.4</v>
      </c>
      <c r="L1213" s="25"/>
    </row>
    <row r="1214" spans="1:12" ht="15" customHeight="1" x14ac:dyDescent="0.25">
      <c r="A1214" s="21" t="s">
        <v>178</v>
      </c>
      <c r="B1214" s="22"/>
      <c r="C1214" s="22"/>
      <c r="D1214" s="22"/>
      <c r="E1214" s="23"/>
      <c r="F1214" s="19" t="str">
        <f>"020510"</f>
        <v>020510</v>
      </c>
      <c r="G1214" s="19" t="s">
        <v>124</v>
      </c>
      <c r="H1214" s="20">
        <v>0.84</v>
      </c>
      <c r="I1214" s="24">
        <v>4.5</v>
      </c>
      <c r="J1214" s="25"/>
      <c r="K1214" s="24">
        <v>3.78</v>
      </c>
      <c r="L1214" s="25"/>
    </row>
    <row r="1215" spans="1:12" ht="30" customHeight="1" x14ac:dyDescent="0.25">
      <c r="A1215" s="21" t="s">
        <v>179</v>
      </c>
      <c r="B1215" s="22"/>
      <c r="C1215" s="22"/>
      <c r="D1215" s="22"/>
      <c r="E1215" s="23"/>
      <c r="F1215" s="19" t="str">
        <f>"150276"</f>
        <v>150276</v>
      </c>
      <c r="G1215" s="19" t="s">
        <v>157</v>
      </c>
      <c r="H1215" s="20">
        <v>85</v>
      </c>
      <c r="I1215" s="24">
        <v>1.05</v>
      </c>
      <c r="J1215" s="25"/>
      <c r="K1215" s="24">
        <v>89.25</v>
      </c>
      <c r="L1215" s="25"/>
    </row>
    <row r="1216" spans="1:12" ht="15" customHeight="1" x14ac:dyDescent="0.25">
      <c r="A1216" s="15" t="s">
        <v>51</v>
      </c>
      <c r="B1216" s="16"/>
      <c r="C1216" s="16"/>
      <c r="D1216" s="16"/>
      <c r="E1216" s="16"/>
      <c r="F1216" s="16"/>
      <c r="G1216" s="16"/>
      <c r="H1216" s="16"/>
      <c r="I1216" s="16"/>
      <c r="J1216" s="17"/>
      <c r="K1216" s="15">
        <v>101.43</v>
      </c>
      <c r="L1216" s="17"/>
    </row>
    <row r="1217" spans="1:12" x14ac:dyDescent="0.25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</row>
    <row r="1218" spans="1:12" ht="15" customHeight="1" x14ac:dyDescent="0.25">
      <c r="A1218" s="10" t="s">
        <v>52</v>
      </c>
      <c r="B1218" s="11"/>
      <c r="C1218" s="11"/>
      <c r="D1218" s="11"/>
      <c r="E1218" s="12"/>
      <c r="F1218" s="8" t="s">
        <v>21</v>
      </c>
      <c r="G1218" s="8" t="s">
        <v>22</v>
      </c>
      <c r="H1218" s="9" t="s">
        <v>44</v>
      </c>
      <c r="I1218" s="13" t="s">
        <v>34</v>
      </c>
      <c r="J1218" s="14"/>
      <c r="K1218" s="13" t="s">
        <v>50</v>
      </c>
      <c r="L1218" s="14"/>
    </row>
    <row r="1219" spans="1:12" ht="15" customHeight="1" x14ac:dyDescent="0.25">
      <c r="A1219" s="15" t="s">
        <v>53</v>
      </c>
      <c r="B1219" s="16"/>
      <c r="C1219" s="16"/>
      <c r="D1219" s="16"/>
      <c r="E1219" s="16"/>
      <c r="F1219" s="16"/>
      <c r="G1219" s="16"/>
      <c r="H1219" s="16"/>
      <c r="I1219" s="16"/>
      <c r="J1219" s="17"/>
      <c r="K1219" s="15">
        <v>0</v>
      </c>
      <c r="L1219" s="17"/>
    </row>
    <row r="1220" spans="1:12" x14ac:dyDescent="0.25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</row>
    <row r="1221" spans="1:12" ht="15" customHeight="1" x14ac:dyDescent="0.25">
      <c r="A1221" s="10" t="s">
        <v>54</v>
      </c>
      <c r="B1221" s="11"/>
      <c r="C1221" s="12"/>
      <c r="D1221" s="8" t="s">
        <v>21</v>
      </c>
      <c r="E1221" s="8" t="s">
        <v>22</v>
      </c>
      <c r="F1221" s="9" t="s">
        <v>55</v>
      </c>
      <c r="G1221" s="8" t="s">
        <v>56</v>
      </c>
      <c r="H1221" s="8" t="s">
        <v>57</v>
      </c>
      <c r="I1221" s="8" t="s">
        <v>58</v>
      </c>
      <c r="J1221" s="9" t="s">
        <v>59</v>
      </c>
      <c r="K1221" s="9" t="s">
        <v>34</v>
      </c>
      <c r="L1221" s="9" t="s">
        <v>50</v>
      </c>
    </row>
    <row r="1222" spans="1:12" ht="15" customHeight="1" x14ac:dyDescent="0.25">
      <c r="A1222" s="15" t="s">
        <v>60</v>
      </c>
      <c r="B1222" s="16"/>
      <c r="C1222" s="16"/>
      <c r="D1222" s="16"/>
      <c r="E1222" s="16"/>
      <c r="F1222" s="16"/>
      <c r="G1222" s="16"/>
      <c r="H1222" s="16"/>
      <c r="I1222" s="16"/>
      <c r="J1222" s="17"/>
      <c r="K1222" s="15">
        <v>0</v>
      </c>
      <c r="L1222" s="17"/>
    </row>
    <row r="1223" spans="1:12" x14ac:dyDescent="0.25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</row>
    <row r="1224" spans="1:12" ht="15" customHeight="1" x14ac:dyDescent="0.25">
      <c r="A1224" s="27" t="s">
        <v>61</v>
      </c>
      <c r="B1224" s="27"/>
      <c r="C1224" s="27"/>
      <c r="D1224" s="27"/>
      <c r="E1224" s="27"/>
      <c r="F1224" s="27"/>
      <c r="G1224" s="27"/>
      <c r="H1224" s="27"/>
      <c r="I1224" s="27"/>
      <c r="J1224" s="27"/>
      <c r="K1224" s="27">
        <v>116.34</v>
      </c>
      <c r="L1224" s="27"/>
    </row>
    <row r="1225" spans="1:12" ht="15" customHeight="1" x14ac:dyDescent="0.25">
      <c r="A1225" s="27" t="s">
        <v>62</v>
      </c>
      <c r="B1225" s="27"/>
      <c r="C1225" s="27"/>
      <c r="D1225" s="27"/>
      <c r="E1225" s="27"/>
      <c r="F1225" s="27"/>
      <c r="G1225" s="27"/>
      <c r="H1225" s="27"/>
      <c r="I1225" s="27"/>
      <c r="J1225" s="27"/>
      <c r="K1225" s="27">
        <v>38.68</v>
      </c>
      <c r="L1225" s="27"/>
    </row>
    <row r="1226" spans="1:12" ht="15" customHeight="1" x14ac:dyDescent="0.25">
      <c r="A1226" s="27" t="s">
        <v>63</v>
      </c>
      <c r="B1226" s="27"/>
      <c r="C1226" s="27"/>
      <c r="D1226" s="27"/>
      <c r="E1226" s="27"/>
      <c r="F1226" s="27"/>
      <c r="G1226" s="27"/>
      <c r="H1226" s="27"/>
      <c r="I1226" s="27"/>
      <c r="J1226" s="27"/>
      <c r="K1226" s="27">
        <v>155.02000000000001</v>
      </c>
      <c r="L1226" s="27"/>
    </row>
    <row r="1227" spans="1:12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</row>
    <row r="1228" spans="1:12" ht="15" customHeight="1" x14ac:dyDescent="0.25">
      <c r="A1228" s="3" t="s">
        <v>8</v>
      </c>
      <c r="B1228" s="6" t="s">
        <v>9</v>
      </c>
      <c r="C1228" s="6"/>
      <c r="D1228" s="6"/>
      <c r="E1228" s="6"/>
      <c r="F1228" s="6"/>
      <c r="G1228" s="6"/>
      <c r="H1228" s="6"/>
      <c r="I1228" s="6"/>
      <c r="J1228" s="6"/>
      <c r="K1228" s="6"/>
      <c r="L1228" s="6"/>
    </row>
    <row r="1229" spans="1:12" ht="30" customHeight="1" x14ac:dyDescent="0.25">
      <c r="A1229" s="3" t="s">
        <v>10</v>
      </c>
      <c r="B1229" s="6" t="s">
        <v>180</v>
      </c>
      <c r="C1229" s="6"/>
      <c r="D1229" s="6"/>
      <c r="E1229" s="6"/>
      <c r="F1229" s="6"/>
      <c r="G1229" s="6"/>
      <c r="H1229" s="6"/>
      <c r="I1229" s="6"/>
      <c r="J1229" s="6"/>
      <c r="K1229" s="3" t="s">
        <v>12</v>
      </c>
      <c r="L1229" s="4" t="s">
        <v>13</v>
      </c>
    </row>
    <row r="1230" spans="1:12" ht="15" customHeight="1" x14ac:dyDescent="0.25">
      <c r="A1230" s="3" t="s">
        <v>14</v>
      </c>
      <c r="B1230" s="6" t="s">
        <v>15</v>
      </c>
      <c r="C1230" s="6"/>
      <c r="D1230" s="7" t="s">
        <v>16</v>
      </c>
      <c r="E1230" s="7"/>
      <c r="F1230" s="6" t="str">
        <f>"120241"</f>
        <v>120241</v>
      </c>
      <c r="G1230" s="6"/>
      <c r="H1230" s="3" t="s">
        <v>17</v>
      </c>
      <c r="I1230" s="6" t="s">
        <v>18</v>
      </c>
      <c r="J1230" s="6"/>
      <c r="K1230" s="3" t="s">
        <v>19</v>
      </c>
      <c r="L1230" s="5">
        <v>1</v>
      </c>
    </row>
    <row r="1231" spans="1:12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</row>
    <row r="1232" spans="1:12" ht="15" customHeight="1" x14ac:dyDescent="0.25">
      <c r="A1232" s="10" t="s">
        <v>20</v>
      </c>
      <c r="B1232" s="11"/>
      <c r="C1232" s="12"/>
      <c r="D1232" s="8" t="s">
        <v>21</v>
      </c>
      <c r="E1232" s="8" t="s">
        <v>22</v>
      </c>
      <c r="F1232" s="9" t="s">
        <v>23</v>
      </c>
      <c r="G1232" s="9" t="s">
        <v>24</v>
      </c>
      <c r="H1232" s="9" t="s">
        <v>25</v>
      </c>
      <c r="I1232" s="9" t="s">
        <v>26</v>
      </c>
      <c r="J1232" s="9" t="s">
        <v>27</v>
      </c>
      <c r="K1232" s="13" t="s">
        <v>28</v>
      </c>
      <c r="L1232" s="14"/>
    </row>
    <row r="1233" spans="1:12" ht="15" customHeight="1" x14ac:dyDescent="0.25">
      <c r="A1233" s="15" t="s">
        <v>29</v>
      </c>
      <c r="B1233" s="16"/>
      <c r="C1233" s="16"/>
      <c r="D1233" s="16"/>
      <c r="E1233" s="16"/>
      <c r="F1233" s="16"/>
      <c r="G1233" s="16"/>
      <c r="H1233" s="16"/>
      <c r="I1233" s="16"/>
      <c r="J1233" s="17"/>
      <c r="K1233" s="15">
        <v>0</v>
      </c>
      <c r="L1233" s="17"/>
    </row>
    <row r="1234" spans="1:12" x14ac:dyDescent="0.25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</row>
    <row r="1235" spans="1:12" ht="15" customHeight="1" x14ac:dyDescent="0.25">
      <c r="A1235" s="10" t="s">
        <v>30</v>
      </c>
      <c r="B1235" s="11"/>
      <c r="C1235" s="12"/>
      <c r="D1235" s="8" t="s">
        <v>21</v>
      </c>
      <c r="E1235" s="8" t="s">
        <v>22</v>
      </c>
      <c r="F1235" s="9" t="s">
        <v>31</v>
      </c>
      <c r="G1235" s="9" t="s">
        <v>32</v>
      </c>
      <c r="H1235" s="9" t="s">
        <v>33</v>
      </c>
      <c r="I1235" s="13" t="s">
        <v>34</v>
      </c>
      <c r="J1235" s="14"/>
      <c r="K1235" s="13" t="s">
        <v>28</v>
      </c>
      <c r="L1235" s="14"/>
    </row>
    <row r="1236" spans="1:12" ht="15" customHeight="1" x14ac:dyDescent="0.25">
      <c r="A1236" s="21" t="s">
        <v>35</v>
      </c>
      <c r="B1236" s="22"/>
      <c r="C1236" s="23"/>
      <c r="D1236" s="19" t="str">
        <f>"010106"</f>
        <v>010106</v>
      </c>
      <c r="E1236" s="19" t="s">
        <v>36</v>
      </c>
      <c r="F1236" s="20">
        <v>10.119999999999999</v>
      </c>
      <c r="G1236" s="20">
        <v>157.27000000000001</v>
      </c>
      <c r="H1236" s="20">
        <v>26.03</v>
      </c>
      <c r="I1236" s="24">
        <v>0.61</v>
      </c>
      <c r="J1236" s="25"/>
      <c r="K1236" s="24">
        <v>15.87</v>
      </c>
      <c r="L1236" s="25"/>
    </row>
    <row r="1237" spans="1:12" ht="15" customHeight="1" x14ac:dyDescent="0.25">
      <c r="A1237" s="21" t="s">
        <v>37</v>
      </c>
      <c r="B1237" s="22"/>
      <c r="C1237" s="23"/>
      <c r="D1237" s="19" t="str">
        <f>"010146"</f>
        <v>010146</v>
      </c>
      <c r="E1237" s="19" t="s">
        <v>36</v>
      </c>
      <c r="F1237" s="20">
        <v>7.65</v>
      </c>
      <c r="G1237" s="20">
        <v>157.27000000000001</v>
      </c>
      <c r="H1237" s="20">
        <v>19.68</v>
      </c>
      <c r="I1237" s="24">
        <v>0.44</v>
      </c>
      <c r="J1237" s="25"/>
      <c r="K1237" s="24">
        <v>8.65</v>
      </c>
      <c r="L1237" s="25"/>
    </row>
    <row r="1238" spans="1:12" ht="15" customHeight="1" x14ac:dyDescent="0.25">
      <c r="A1238" s="15" t="s">
        <v>38</v>
      </c>
      <c r="B1238" s="16"/>
      <c r="C1238" s="16"/>
      <c r="D1238" s="16"/>
      <c r="E1238" s="16"/>
      <c r="F1238" s="16"/>
      <c r="G1238" s="16"/>
      <c r="H1238" s="16"/>
      <c r="I1238" s="16"/>
      <c r="J1238" s="17"/>
      <c r="K1238" s="15">
        <v>24.52</v>
      </c>
      <c r="L1238" s="17"/>
    </row>
    <row r="1239" spans="1:12" x14ac:dyDescent="0.25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</row>
    <row r="1240" spans="1:12" ht="15" customHeight="1" x14ac:dyDescent="0.25">
      <c r="A1240" s="10" t="s">
        <v>39</v>
      </c>
      <c r="B1240" s="11"/>
      <c r="C1240" s="12"/>
      <c r="D1240" s="8" t="s">
        <v>21</v>
      </c>
      <c r="E1240" s="13" t="s">
        <v>40</v>
      </c>
      <c r="F1240" s="14"/>
      <c r="G1240" s="8" t="s">
        <v>41</v>
      </c>
      <c r="H1240" s="8" t="s">
        <v>42</v>
      </c>
      <c r="I1240" s="8" t="s">
        <v>43</v>
      </c>
      <c r="J1240" s="13" t="s">
        <v>44</v>
      </c>
      <c r="K1240" s="26"/>
      <c r="L1240" s="14"/>
    </row>
    <row r="1241" spans="1:12" ht="15" customHeight="1" x14ac:dyDescent="0.25">
      <c r="A1241" s="15" t="s">
        <v>45</v>
      </c>
      <c r="B1241" s="16"/>
      <c r="C1241" s="16"/>
      <c r="D1241" s="16"/>
      <c r="E1241" s="16"/>
      <c r="F1241" s="16"/>
      <c r="G1241" s="16"/>
      <c r="H1241" s="16"/>
      <c r="I1241" s="16"/>
      <c r="J1241" s="17"/>
      <c r="K1241" s="15">
        <v>0</v>
      </c>
      <c r="L1241" s="17"/>
    </row>
    <row r="1242" spans="1:12" x14ac:dyDescent="0.25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</row>
    <row r="1243" spans="1:12" ht="15" customHeight="1" x14ac:dyDescent="0.25">
      <c r="A1243" s="27" t="s">
        <v>46</v>
      </c>
      <c r="B1243" s="27"/>
      <c r="C1243" s="27"/>
      <c r="D1243" s="27"/>
      <c r="E1243" s="27"/>
      <c r="F1243" s="27"/>
      <c r="G1243" s="27"/>
      <c r="H1243" s="27"/>
      <c r="I1243" s="27"/>
      <c r="J1243" s="27"/>
      <c r="K1243" s="27">
        <v>24.52</v>
      </c>
      <c r="L1243" s="27"/>
    </row>
    <row r="1244" spans="1:12" ht="15" customHeight="1" x14ac:dyDescent="0.25">
      <c r="A1244" s="27" t="s">
        <v>47</v>
      </c>
      <c r="B1244" s="27"/>
      <c r="C1244" s="27"/>
      <c r="D1244" s="27"/>
      <c r="E1244" s="27"/>
      <c r="F1244" s="27"/>
      <c r="G1244" s="27"/>
      <c r="H1244" s="27"/>
      <c r="I1244" s="27"/>
      <c r="J1244" s="27"/>
      <c r="K1244" s="27">
        <v>1</v>
      </c>
      <c r="L1244" s="27"/>
    </row>
    <row r="1245" spans="1:12" ht="15" customHeight="1" x14ac:dyDescent="0.25">
      <c r="A1245" s="27" t="s">
        <v>48</v>
      </c>
      <c r="B1245" s="27"/>
      <c r="C1245" s="27"/>
      <c r="D1245" s="27"/>
      <c r="E1245" s="27"/>
      <c r="F1245" s="27"/>
      <c r="G1245" s="27"/>
      <c r="H1245" s="27"/>
      <c r="I1245" s="27"/>
      <c r="J1245" s="27"/>
      <c r="K1245" s="27">
        <v>24.52</v>
      </c>
      <c r="L1245" s="27"/>
    </row>
    <row r="1246" spans="1:12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</row>
    <row r="1247" spans="1:12" ht="15" customHeight="1" x14ac:dyDescent="0.25">
      <c r="A1247" s="10" t="s">
        <v>49</v>
      </c>
      <c r="B1247" s="11"/>
      <c r="C1247" s="11"/>
      <c r="D1247" s="11"/>
      <c r="E1247" s="12"/>
      <c r="F1247" s="8" t="s">
        <v>21</v>
      </c>
      <c r="G1247" s="8" t="s">
        <v>22</v>
      </c>
      <c r="H1247" s="9" t="s">
        <v>44</v>
      </c>
      <c r="I1247" s="13" t="s">
        <v>34</v>
      </c>
      <c r="J1247" s="14"/>
      <c r="K1247" s="13" t="s">
        <v>50</v>
      </c>
      <c r="L1247" s="14"/>
    </row>
    <row r="1248" spans="1:12" ht="15" customHeight="1" x14ac:dyDescent="0.25">
      <c r="A1248" s="21" t="s">
        <v>178</v>
      </c>
      <c r="B1248" s="22"/>
      <c r="C1248" s="22"/>
      <c r="D1248" s="22"/>
      <c r="E1248" s="23"/>
      <c r="F1248" s="19" t="str">
        <f>"020510"</f>
        <v>020510</v>
      </c>
      <c r="G1248" s="19" t="s">
        <v>124</v>
      </c>
      <c r="H1248" s="20">
        <v>0.84</v>
      </c>
      <c r="I1248" s="24">
        <v>4.5</v>
      </c>
      <c r="J1248" s="25"/>
      <c r="K1248" s="24">
        <v>3.78</v>
      </c>
      <c r="L1248" s="25"/>
    </row>
    <row r="1249" spans="1:12" ht="15" customHeight="1" x14ac:dyDescent="0.25">
      <c r="A1249" s="21" t="s">
        <v>181</v>
      </c>
      <c r="B1249" s="22"/>
      <c r="C1249" s="22"/>
      <c r="D1249" s="22"/>
      <c r="E1249" s="23"/>
      <c r="F1249" s="19" t="str">
        <f>"020588"</f>
        <v>020588</v>
      </c>
      <c r="G1249" s="19" t="s">
        <v>124</v>
      </c>
      <c r="H1249" s="20">
        <v>8</v>
      </c>
      <c r="I1249" s="24">
        <v>0.441</v>
      </c>
      <c r="J1249" s="25"/>
      <c r="K1249" s="24">
        <v>3.52</v>
      </c>
      <c r="L1249" s="25"/>
    </row>
    <row r="1250" spans="1:12" ht="30" customHeight="1" x14ac:dyDescent="0.25">
      <c r="A1250" s="21" t="s">
        <v>182</v>
      </c>
      <c r="B1250" s="22"/>
      <c r="C1250" s="22"/>
      <c r="D1250" s="22"/>
      <c r="E1250" s="23"/>
      <c r="F1250" s="19" t="str">
        <f>"150275"</f>
        <v>150275</v>
      </c>
      <c r="G1250" s="19" t="s">
        <v>157</v>
      </c>
      <c r="H1250" s="20">
        <v>49.73</v>
      </c>
      <c r="I1250" s="24">
        <v>1.05</v>
      </c>
      <c r="J1250" s="25"/>
      <c r="K1250" s="24">
        <v>52.21</v>
      </c>
      <c r="L1250" s="25"/>
    </row>
    <row r="1251" spans="1:12" ht="15" customHeight="1" x14ac:dyDescent="0.25">
      <c r="A1251" s="15" t="s">
        <v>51</v>
      </c>
      <c r="B1251" s="16"/>
      <c r="C1251" s="16"/>
      <c r="D1251" s="16"/>
      <c r="E1251" s="16"/>
      <c r="F1251" s="16"/>
      <c r="G1251" s="16"/>
      <c r="H1251" s="16"/>
      <c r="I1251" s="16"/>
      <c r="J1251" s="17"/>
      <c r="K1251" s="15">
        <v>59.51</v>
      </c>
      <c r="L1251" s="17"/>
    </row>
    <row r="1252" spans="1:12" x14ac:dyDescent="0.25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</row>
    <row r="1253" spans="1:12" ht="15" customHeight="1" x14ac:dyDescent="0.25">
      <c r="A1253" s="10" t="s">
        <v>52</v>
      </c>
      <c r="B1253" s="11"/>
      <c r="C1253" s="11"/>
      <c r="D1253" s="11"/>
      <c r="E1253" s="12"/>
      <c r="F1253" s="8" t="s">
        <v>21</v>
      </c>
      <c r="G1253" s="8" t="s">
        <v>22</v>
      </c>
      <c r="H1253" s="9" t="s">
        <v>44</v>
      </c>
      <c r="I1253" s="13" t="s">
        <v>34</v>
      </c>
      <c r="J1253" s="14"/>
      <c r="K1253" s="13" t="s">
        <v>50</v>
      </c>
      <c r="L1253" s="14"/>
    </row>
    <row r="1254" spans="1:12" ht="15" customHeight="1" x14ac:dyDescent="0.25">
      <c r="A1254" s="15" t="s">
        <v>53</v>
      </c>
      <c r="B1254" s="16"/>
      <c r="C1254" s="16"/>
      <c r="D1254" s="16"/>
      <c r="E1254" s="16"/>
      <c r="F1254" s="16"/>
      <c r="G1254" s="16"/>
      <c r="H1254" s="16"/>
      <c r="I1254" s="16"/>
      <c r="J1254" s="17"/>
      <c r="K1254" s="15">
        <v>0</v>
      </c>
      <c r="L1254" s="17"/>
    </row>
    <row r="1255" spans="1:12" x14ac:dyDescent="0.2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</row>
    <row r="1256" spans="1:12" ht="15" customHeight="1" x14ac:dyDescent="0.25">
      <c r="A1256" s="10" t="s">
        <v>54</v>
      </c>
      <c r="B1256" s="11"/>
      <c r="C1256" s="12"/>
      <c r="D1256" s="8" t="s">
        <v>21</v>
      </c>
      <c r="E1256" s="8" t="s">
        <v>22</v>
      </c>
      <c r="F1256" s="9" t="s">
        <v>55</v>
      </c>
      <c r="G1256" s="8" t="s">
        <v>56</v>
      </c>
      <c r="H1256" s="8" t="s">
        <v>57</v>
      </c>
      <c r="I1256" s="8" t="s">
        <v>58</v>
      </c>
      <c r="J1256" s="9" t="s">
        <v>59</v>
      </c>
      <c r="K1256" s="9" t="s">
        <v>34</v>
      </c>
      <c r="L1256" s="9" t="s">
        <v>50</v>
      </c>
    </row>
    <row r="1257" spans="1:12" ht="15" customHeight="1" x14ac:dyDescent="0.25">
      <c r="A1257" s="15" t="s">
        <v>60</v>
      </c>
      <c r="B1257" s="16"/>
      <c r="C1257" s="16"/>
      <c r="D1257" s="16"/>
      <c r="E1257" s="16"/>
      <c r="F1257" s="16"/>
      <c r="G1257" s="16"/>
      <c r="H1257" s="16"/>
      <c r="I1257" s="16"/>
      <c r="J1257" s="17"/>
      <c r="K1257" s="15">
        <v>0</v>
      </c>
      <c r="L1257" s="17"/>
    </row>
    <row r="1258" spans="1:12" x14ac:dyDescent="0.25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</row>
    <row r="1259" spans="1:12" ht="15" customHeight="1" x14ac:dyDescent="0.25">
      <c r="A1259" s="27" t="s">
        <v>61</v>
      </c>
      <c r="B1259" s="27"/>
      <c r="C1259" s="27"/>
      <c r="D1259" s="27"/>
      <c r="E1259" s="27"/>
      <c r="F1259" s="27"/>
      <c r="G1259" s="27"/>
      <c r="H1259" s="27"/>
      <c r="I1259" s="27"/>
      <c r="J1259" s="27"/>
      <c r="K1259" s="27">
        <v>84.03</v>
      </c>
      <c r="L1259" s="27"/>
    </row>
    <row r="1260" spans="1:12" ht="15" customHeight="1" x14ac:dyDescent="0.25">
      <c r="A1260" s="27" t="s">
        <v>62</v>
      </c>
      <c r="B1260" s="27"/>
      <c r="C1260" s="27"/>
      <c r="D1260" s="27"/>
      <c r="E1260" s="27"/>
      <c r="F1260" s="27"/>
      <c r="G1260" s="27"/>
      <c r="H1260" s="27"/>
      <c r="I1260" s="27"/>
      <c r="J1260" s="27"/>
      <c r="K1260" s="27">
        <v>27.94</v>
      </c>
      <c r="L1260" s="27"/>
    </row>
    <row r="1261" spans="1:12" ht="15" customHeight="1" x14ac:dyDescent="0.25">
      <c r="A1261" s="27" t="s">
        <v>63</v>
      </c>
      <c r="B1261" s="27"/>
      <c r="C1261" s="27"/>
      <c r="D1261" s="27"/>
      <c r="E1261" s="27"/>
      <c r="F1261" s="27"/>
      <c r="G1261" s="27"/>
      <c r="H1261" s="27"/>
      <c r="I1261" s="27"/>
      <c r="J1261" s="27"/>
      <c r="K1261" s="27">
        <v>111.97</v>
      </c>
      <c r="L1261" s="27"/>
    </row>
    <row r="1262" spans="1:12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</row>
    <row r="1263" spans="1:12" ht="15" customHeight="1" x14ac:dyDescent="0.25">
      <c r="A1263" s="3" t="s">
        <v>8</v>
      </c>
      <c r="B1263" s="6" t="s">
        <v>9</v>
      </c>
      <c r="C1263" s="6"/>
      <c r="D1263" s="6"/>
      <c r="E1263" s="6"/>
      <c r="F1263" s="6"/>
      <c r="G1263" s="6"/>
      <c r="H1263" s="6"/>
      <c r="I1263" s="6"/>
      <c r="J1263" s="6"/>
      <c r="K1263" s="6"/>
      <c r="L1263" s="6"/>
    </row>
    <row r="1264" spans="1:12" ht="15" customHeight="1" x14ac:dyDescent="0.25">
      <c r="A1264" s="3" t="s">
        <v>10</v>
      </c>
      <c r="B1264" s="6" t="s">
        <v>183</v>
      </c>
      <c r="C1264" s="6"/>
      <c r="D1264" s="6"/>
      <c r="E1264" s="6"/>
      <c r="F1264" s="6"/>
      <c r="G1264" s="6"/>
      <c r="H1264" s="6"/>
      <c r="I1264" s="6"/>
      <c r="J1264" s="6"/>
      <c r="K1264" s="3" t="s">
        <v>12</v>
      </c>
      <c r="L1264" s="4" t="s">
        <v>87</v>
      </c>
    </row>
    <row r="1265" spans="1:12" ht="15" customHeight="1" x14ac:dyDescent="0.25">
      <c r="A1265" s="3" t="s">
        <v>14</v>
      </c>
      <c r="B1265" s="6" t="s">
        <v>15</v>
      </c>
      <c r="C1265" s="6"/>
      <c r="D1265" s="7" t="s">
        <v>16</v>
      </c>
      <c r="E1265" s="7"/>
      <c r="F1265" s="6" t="str">
        <f>"120227"</f>
        <v>120227</v>
      </c>
      <c r="G1265" s="6"/>
      <c r="H1265" s="3" t="s">
        <v>17</v>
      </c>
      <c r="I1265" s="6" t="s">
        <v>18</v>
      </c>
      <c r="J1265" s="6"/>
      <c r="K1265" s="3" t="s">
        <v>19</v>
      </c>
      <c r="L1265" s="5">
        <v>1</v>
      </c>
    </row>
    <row r="1266" spans="1:12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</row>
    <row r="1267" spans="1:12" ht="15" customHeight="1" x14ac:dyDescent="0.25">
      <c r="A1267" s="10" t="s">
        <v>20</v>
      </c>
      <c r="B1267" s="11"/>
      <c r="C1267" s="12"/>
      <c r="D1267" s="8" t="s">
        <v>21</v>
      </c>
      <c r="E1267" s="8" t="s">
        <v>22</v>
      </c>
      <c r="F1267" s="9" t="s">
        <v>23</v>
      </c>
      <c r="G1267" s="9" t="s">
        <v>24</v>
      </c>
      <c r="H1267" s="9" t="s">
        <v>25</v>
      </c>
      <c r="I1267" s="9" t="s">
        <v>26</v>
      </c>
      <c r="J1267" s="9" t="s">
        <v>27</v>
      </c>
      <c r="K1267" s="13" t="s">
        <v>28</v>
      </c>
      <c r="L1267" s="14"/>
    </row>
    <row r="1268" spans="1:12" ht="15" customHeight="1" x14ac:dyDescent="0.25">
      <c r="A1268" s="15" t="s">
        <v>29</v>
      </c>
      <c r="B1268" s="16"/>
      <c r="C1268" s="16"/>
      <c r="D1268" s="16"/>
      <c r="E1268" s="16"/>
      <c r="F1268" s="16"/>
      <c r="G1268" s="16"/>
      <c r="H1268" s="16"/>
      <c r="I1268" s="16"/>
      <c r="J1268" s="17"/>
      <c r="K1268" s="15">
        <v>0</v>
      </c>
      <c r="L1268" s="17"/>
    </row>
    <row r="1269" spans="1:12" x14ac:dyDescent="0.25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</row>
    <row r="1270" spans="1:12" ht="15" customHeight="1" x14ac:dyDescent="0.25">
      <c r="A1270" s="10" t="s">
        <v>30</v>
      </c>
      <c r="B1270" s="11"/>
      <c r="C1270" s="12"/>
      <c r="D1270" s="8" t="s">
        <v>21</v>
      </c>
      <c r="E1270" s="8" t="s">
        <v>22</v>
      </c>
      <c r="F1270" s="9" t="s">
        <v>31</v>
      </c>
      <c r="G1270" s="9" t="s">
        <v>32</v>
      </c>
      <c r="H1270" s="9" t="s">
        <v>33</v>
      </c>
      <c r="I1270" s="13" t="s">
        <v>34</v>
      </c>
      <c r="J1270" s="14"/>
      <c r="K1270" s="13" t="s">
        <v>28</v>
      </c>
      <c r="L1270" s="14"/>
    </row>
    <row r="1271" spans="1:12" ht="15" customHeight="1" x14ac:dyDescent="0.25">
      <c r="A1271" s="21" t="s">
        <v>65</v>
      </c>
      <c r="B1271" s="22"/>
      <c r="C1271" s="23"/>
      <c r="D1271" s="19" t="str">
        <f>"010124"</f>
        <v>010124</v>
      </c>
      <c r="E1271" s="19" t="s">
        <v>36</v>
      </c>
      <c r="F1271" s="20">
        <v>10.119999999999999</v>
      </c>
      <c r="G1271" s="20">
        <v>157.27000000000001</v>
      </c>
      <c r="H1271" s="20">
        <v>26.03</v>
      </c>
      <c r="I1271" s="24">
        <v>0.51</v>
      </c>
      <c r="J1271" s="25"/>
      <c r="K1271" s="24">
        <v>13.27</v>
      </c>
      <c r="L1271" s="25"/>
    </row>
    <row r="1272" spans="1:12" ht="15" customHeight="1" x14ac:dyDescent="0.25">
      <c r="A1272" s="21" t="s">
        <v>37</v>
      </c>
      <c r="B1272" s="22"/>
      <c r="C1272" s="23"/>
      <c r="D1272" s="19" t="str">
        <f>"010146"</f>
        <v>010146</v>
      </c>
      <c r="E1272" s="19" t="s">
        <v>36</v>
      </c>
      <c r="F1272" s="20">
        <v>7.65</v>
      </c>
      <c r="G1272" s="20">
        <v>157.27000000000001</v>
      </c>
      <c r="H1272" s="20">
        <v>19.68</v>
      </c>
      <c r="I1272" s="24">
        <v>0.75</v>
      </c>
      <c r="J1272" s="25"/>
      <c r="K1272" s="24">
        <v>14.76</v>
      </c>
      <c r="L1272" s="25"/>
    </row>
    <row r="1273" spans="1:12" ht="15" customHeight="1" x14ac:dyDescent="0.25">
      <c r="A1273" s="15" t="s">
        <v>38</v>
      </c>
      <c r="B1273" s="16"/>
      <c r="C1273" s="16"/>
      <c r="D1273" s="16"/>
      <c r="E1273" s="16"/>
      <c r="F1273" s="16"/>
      <c r="G1273" s="16"/>
      <c r="H1273" s="16"/>
      <c r="I1273" s="16"/>
      <c r="J1273" s="17"/>
      <c r="K1273" s="15">
        <v>28.03</v>
      </c>
      <c r="L1273" s="17"/>
    </row>
    <row r="1274" spans="1:12" x14ac:dyDescent="0.25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</row>
    <row r="1275" spans="1:12" ht="15" customHeight="1" x14ac:dyDescent="0.25">
      <c r="A1275" s="10" t="s">
        <v>39</v>
      </c>
      <c r="B1275" s="11"/>
      <c r="C1275" s="12"/>
      <c r="D1275" s="8" t="s">
        <v>21</v>
      </c>
      <c r="E1275" s="13" t="s">
        <v>40</v>
      </c>
      <c r="F1275" s="14"/>
      <c r="G1275" s="8" t="s">
        <v>41</v>
      </c>
      <c r="H1275" s="8" t="s">
        <v>42</v>
      </c>
      <c r="I1275" s="8" t="s">
        <v>43</v>
      </c>
      <c r="J1275" s="13" t="s">
        <v>44</v>
      </c>
      <c r="K1275" s="26"/>
      <c r="L1275" s="14"/>
    </row>
    <row r="1276" spans="1:12" ht="15" customHeight="1" x14ac:dyDescent="0.25">
      <c r="A1276" s="15" t="s">
        <v>45</v>
      </c>
      <c r="B1276" s="16"/>
      <c r="C1276" s="16"/>
      <c r="D1276" s="16"/>
      <c r="E1276" s="16"/>
      <c r="F1276" s="16"/>
      <c r="G1276" s="16"/>
      <c r="H1276" s="16"/>
      <c r="I1276" s="16"/>
      <c r="J1276" s="17"/>
      <c r="K1276" s="15">
        <v>0</v>
      </c>
      <c r="L1276" s="17"/>
    </row>
    <row r="1277" spans="1:12" x14ac:dyDescent="0.25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</row>
    <row r="1278" spans="1:12" ht="15" customHeight="1" x14ac:dyDescent="0.25">
      <c r="A1278" s="27" t="s">
        <v>46</v>
      </c>
      <c r="B1278" s="27"/>
      <c r="C1278" s="27"/>
      <c r="D1278" s="27"/>
      <c r="E1278" s="27"/>
      <c r="F1278" s="27"/>
      <c r="G1278" s="27"/>
      <c r="H1278" s="27"/>
      <c r="I1278" s="27"/>
      <c r="J1278" s="27"/>
      <c r="K1278" s="27">
        <v>28.03</v>
      </c>
      <c r="L1278" s="27"/>
    </row>
    <row r="1279" spans="1:12" ht="15" customHeight="1" x14ac:dyDescent="0.25">
      <c r="A1279" s="27" t="s">
        <v>47</v>
      </c>
      <c r="B1279" s="27"/>
      <c r="C1279" s="27"/>
      <c r="D1279" s="27"/>
      <c r="E1279" s="27"/>
      <c r="F1279" s="27"/>
      <c r="G1279" s="27"/>
      <c r="H1279" s="27"/>
      <c r="I1279" s="27"/>
      <c r="J1279" s="27"/>
      <c r="K1279" s="27">
        <v>1</v>
      </c>
      <c r="L1279" s="27"/>
    </row>
    <row r="1280" spans="1:12" ht="15" customHeight="1" x14ac:dyDescent="0.25">
      <c r="A1280" s="27" t="s">
        <v>48</v>
      </c>
      <c r="B1280" s="27"/>
      <c r="C1280" s="27"/>
      <c r="D1280" s="27"/>
      <c r="E1280" s="27"/>
      <c r="F1280" s="27"/>
      <c r="G1280" s="27"/>
      <c r="H1280" s="27"/>
      <c r="I1280" s="27"/>
      <c r="J1280" s="27"/>
      <c r="K1280" s="27">
        <v>28.03</v>
      </c>
      <c r="L1280" s="27"/>
    </row>
    <row r="1281" spans="1:12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</row>
    <row r="1282" spans="1:12" ht="15" customHeight="1" x14ac:dyDescent="0.25">
      <c r="A1282" s="10" t="s">
        <v>49</v>
      </c>
      <c r="B1282" s="11"/>
      <c r="C1282" s="11"/>
      <c r="D1282" s="11"/>
      <c r="E1282" s="12"/>
      <c r="F1282" s="8" t="s">
        <v>21</v>
      </c>
      <c r="G1282" s="8" t="s">
        <v>22</v>
      </c>
      <c r="H1282" s="9" t="s">
        <v>44</v>
      </c>
      <c r="I1282" s="13" t="s">
        <v>34</v>
      </c>
      <c r="J1282" s="14"/>
      <c r="K1282" s="13" t="s">
        <v>50</v>
      </c>
      <c r="L1282" s="14"/>
    </row>
    <row r="1283" spans="1:12" ht="15" customHeight="1" x14ac:dyDescent="0.25">
      <c r="A1283" s="21" t="s">
        <v>122</v>
      </c>
      <c r="B1283" s="22"/>
      <c r="C1283" s="22"/>
      <c r="D1283" s="22"/>
      <c r="E1283" s="23"/>
      <c r="F1283" s="19" t="str">
        <f>"020503"</f>
        <v>020503</v>
      </c>
      <c r="G1283" s="19" t="s">
        <v>105</v>
      </c>
      <c r="H1283" s="20">
        <v>152</v>
      </c>
      <c r="I1283" s="24">
        <v>8.26E-3</v>
      </c>
      <c r="J1283" s="25"/>
      <c r="K1283" s="24">
        <v>1.25</v>
      </c>
      <c r="L1283" s="25"/>
    </row>
    <row r="1284" spans="1:12" ht="15" customHeight="1" x14ac:dyDescent="0.25">
      <c r="A1284" s="21" t="s">
        <v>123</v>
      </c>
      <c r="B1284" s="22"/>
      <c r="C1284" s="22"/>
      <c r="D1284" s="22"/>
      <c r="E1284" s="23"/>
      <c r="F1284" s="19" t="str">
        <f>"020505"</f>
        <v>020505</v>
      </c>
      <c r="G1284" s="19" t="s">
        <v>124</v>
      </c>
      <c r="H1284" s="20">
        <v>1.07</v>
      </c>
      <c r="I1284" s="24">
        <v>0.308</v>
      </c>
      <c r="J1284" s="25"/>
      <c r="K1284" s="24">
        <v>0.32</v>
      </c>
      <c r="L1284" s="25"/>
    </row>
    <row r="1285" spans="1:12" ht="15" customHeight="1" x14ac:dyDescent="0.25">
      <c r="A1285" s="21" t="s">
        <v>125</v>
      </c>
      <c r="B1285" s="22"/>
      <c r="C1285" s="22"/>
      <c r="D1285" s="22"/>
      <c r="E1285" s="23"/>
      <c r="F1285" s="19" t="str">
        <f>"020508"</f>
        <v>020508</v>
      </c>
      <c r="G1285" s="19" t="s">
        <v>124</v>
      </c>
      <c r="H1285" s="20">
        <v>0.59</v>
      </c>
      <c r="I1285" s="24">
        <v>1.19</v>
      </c>
      <c r="J1285" s="25"/>
      <c r="K1285" s="24">
        <v>0.7</v>
      </c>
      <c r="L1285" s="25"/>
    </row>
    <row r="1286" spans="1:12" ht="15" customHeight="1" x14ac:dyDescent="0.25">
      <c r="A1286" s="21" t="s">
        <v>184</v>
      </c>
      <c r="B1286" s="22"/>
      <c r="C1286" s="22"/>
      <c r="D1286" s="22"/>
      <c r="E1286" s="23"/>
      <c r="F1286" s="19" t="str">
        <f>"020509"</f>
        <v>020509</v>
      </c>
      <c r="G1286" s="19" t="s">
        <v>124</v>
      </c>
      <c r="H1286" s="20">
        <v>4.22</v>
      </c>
      <c r="I1286" s="24">
        <v>0.5</v>
      </c>
      <c r="J1286" s="25"/>
      <c r="K1286" s="24">
        <v>2.11</v>
      </c>
      <c r="L1286" s="25"/>
    </row>
    <row r="1287" spans="1:12" ht="15" customHeight="1" x14ac:dyDescent="0.25">
      <c r="A1287" s="21" t="s">
        <v>185</v>
      </c>
      <c r="B1287" s="22"/>
      <c r="C1287" s="22"/>
      <c r="D1287" s="22"/>
      <c r="E1287" s="23"/>
      <c r="F1287" s="19" t="str">
        <f>"033599"</f>
        <v>033599</v>
      </c>
      <c r="G1287" s="19" t="s">
        <v>99</v>
      </c>
      <c r="H1287" s="20">
        <v>18.73</v>
      </c>
      <c r="I1287" s="24">
        <v>1.05</v>
      </c>
      <c r="J1287" s="25"/>
      <c r="K1287" s="24">
        <v>19.66</v>
      </c>
      <c r="L1287" s="25"/>
    </row>
    <row r="1288" spans="1:12" ht="15" customHeight="1" x14ac:dyDescent="0.25">
      <c r="A1288" s="15" t="s">
        <v>51</v>
      </c>
      <c r="B1288" s="16"/>
      <c r="C1288" s="16"/>
      <c r="D1288" s="16"/>
      <c r="E1288" s="16"/>
      <c r="F1288" s="16"/>
      <c r="G1288" s="16"/>
      <c r="H1288" s="16"/>
      <c r="I1288" s="16"/>
      <c r="J1288" s="17"/>
      <c r="K1288" s="15">
        <v>24.04</v>
      </c>
      <c r="L1288" s="17"/>
    </row>
    <row r="1289" spans="1:12" x14ac:dyDescent="0.25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</row>
    <row r="1290" spans="1:12" ht="15" customHeight="1" x14ac:dyDescent="0.25">
      <c r="A1290" s="10" t="s">
        <v>52</v>
      </c>
      <c r="B1290" s="11"/>
      <c r="C1290" s="11"/>
      <c r="D1290" s="11"/>
      <c r="E1290" s="12"/>
      <c r="F1290" s="8" t="s">
        <v>21</v>
      </c>
      <c r="G1290" s="8" t="s">
        <v>22</v>
      </c>
      <c r="H1290" s="9" t="s">
        <v>44</v>
      </c>
      <c r="I1290" s="13" t="s">
        <v>34</v>
      </c>
      <c r="J1290" s="14"/>
      <c r="K1290" s="13" t="s">
        <v>50</v>
      </c>
      <c r="L1290" s="14"/>
    </row>
    <row r="1291" spans="1:12" ht="15" customHeight="1" x14ac:dyDescent="0.25">
      <c r="A1291" s="15" t="s">
        <v>53</v>
      </c>
      <c r="B1291" s="16"/>
      <c r="C1291" s="16"/>
      <c r="D1291" s="16"/>
      <c r="E1291" s="16"/>
      <c r="F1291" s="16"/>
      <c r="G1291" s="16"/>
      <c r="H1291" s="16"/>
      <c r="I1291" s="16"/>
      <c r="J1291" s="17"/>
      <c r="K1291" s="15">
        <v>0</v>
      </c>
      <c r="L1291" s="17"/>
    </row>
    <row r="1292" spans="1:12" x14ac:dyDescent="0.25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</row>
    <row r="1293" spans="1:12" ht="15" customHeight="1" x14ac:dyDescent="0.25">
      <c r="A1293" s="10" t="s">
        <v>54</v>
      </c>
      <c r="B1293" s="11"/>
      <c r="C1293" s="12"/>
      <c r="D1293" s="8" t="s">
        <v>21</v>
      </c>
      <c r="E1293" s="8" t="s">
        <v>22</v>
      </c>
      <c r="F1293" s="9" t="s">
        <v>55</v>
      </c>
      <c r="G1293" s="8" t="s">
        <v>56</v>
      </c>
      <c r="H1293" s="8" t="s">
        <v>57</v>
      </c>
      <c r="I1293" s="8" t="s">
        <v>58</v>
      </c>
      <c r="J1293" s="9" t="s">
        <v>59</v>
      </c>
      <c r="K1293" s="9" t="s">
        <v>34</v>
      </c>
      <c r="L1293" s="9" t="s">
        <v>50</v>
      </c>
    </row>
    <row r="1294" spans="1:12" ht="15" customHeight="1" x14ac:dyDescent="0.25">
      <c r="A1294" s="15" t="s">
        <v>60</v>
      </c>
      <c r="B1294" s="16"/>
      <c r="C1294" s="16"/>
      <c r="D1294" s="16"/>
      <c r="E1294" s="16"/>
      <c r="F1294" s="16"/>
      <c r="G1294" s="16"/>
      <c r="H1294" s="16"/>
      <c r="I1294" s="16"/>
      <c r="J1294" s="17"/>
      <c r="K1294" s="15">
        <v>0</v>
      </c>
      <c r="L1294" s="17"/>
    </row>
    <row r="1295" spans="1:12" x14ac:dyDescent="0.25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</row>
    <row r="1296" spans="1:12" ht="15" customHeight="1" x14ac:dyDescent="0.25">
      <c r="A1296" s="27" t="s">
        <v>61</v>
      </c>
      <c r="B1296" s="27"/>
      <c r="C1296" s="27"/>
      <c r="D1296" s="27"/>
      <c r="E1296" s="27"/>
      <c r="F1296" s="27"/>
      <c r="G1296" s="27"/>
      <c r="H1296" s="27"/>
      <c r="I1296" s="27"/>
      <c r="J1296" s="27"/>
      <c r="K1296" s="27">
        <v>52.07</v>
      </c>
      <c r="L1296" s="27"/>
    </row>
    <row r="1297" spans="1:12" ht="15" customHeight="1" x14ac:dyDescent="0.25">
      <c r="A1297" s="27" t="s">
        <v>62</v>
      </c>
      <c r="B1297" s="27"/>
      <c r="C1297" s="27"/>
      <c r="D1297" s="27"/>
      <c r="E1297" s="27"/>
      <c r="F1297" s="27"/>
      <c r="G1297" s="27"/>
      <c r="H1297" s="27"/>
      <c r="I1297" s="27"/>
      <c r="J1297" s="27"/>
      <c r="K1297" s="27">
        <v>17.309999999999999</v>
      </c>
      <c r="L1297" s="27"/>
    </row>
    <row r="1298" spans="1:12" ht="15" customHeight="1" x14ac:dyDescent="0.25">
      <c r="A1298" s="27" t="s">
        <v>63</v>
      </c>
      <c r="B1298" s="27"/>
      <c r="C1298" s="27"/>
      <c r="D1298" s="27"/>
      <c r="E1298" s="27"/>
      <c r="F1298" s="27"/>
      <c r="G1298" s="27"/>
      <c r="H1298" s="27"/>
      <c r="I1298" s="27"/>
      <c r="J1298" s="27"/>
      <c r="K1298" s="27">
        <v>69.38</v>
      </c>
      <c r="L1298" s="27"/>
    </row>
    <row r="1299" spans="1:12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</row>
    <row r="1300" spans="1:12" ht="15" customHeight="1" x14ac:dyDescent="0.25">
      <c r="A1300" s="3" t="s">
        <v>8</v>
      </c>
      <c r="B1300" s="6" t="s">
        <v>9</v>
      </c>
      <c r="C1300" s="6"/>
      <c r="D1300" s="6"/>
      <c r="E1300" s="6"/>
      <c r="F1300" s="6"/>
      <c r="G1300" s="6"/>
      <c r="H1300" s="6"/>
      <c r="I1300" s="6"/>
      <c r="J1300" s="6"/>
      <c r="K1300" s="6"/>
      <c r="L1300" s="6"/>
    </row>
    <row r="1301" spans="1:12" ht="15" customHeight="1" x14ac:dyDescent="0.25">
      <c r="A1301" s="3" t="s">
        <v>10</v>
      </c>
      <c r="B1301" s="6" t="s">
        <v>186</v>
      </c>
      <c r="C1301" s="6"/>
      <c r="D1301" s="6"/>
      <c r="E1301" s="6"/>
      <c r="F1301" s="6"/>
      <c r="G1301" s="6"/>
      <c r="H1301" s="6"/>
      <c r="I1301" s="6"/>
      <c r="J1301" s="6"/>
      <c r="K1301" s="3" t="s">
        <v>12</v>
      </c>
      <c r="L1301" s="4" t="s">
        <v>13</v>
      </c>
    </row>
    <row r="1302" spans="1:12" ht="15" customHeight="1" x14ac:dyDescent="0.25">
      <c r="A1302" s="3" t="s">
        <v>14</v>
      </c>
      <c r="B1302" s="6" t="s">
        <v>15</v>
      </c>
      <c r="C1302" s="6"/>
      <c r="D1302" s="7" t="s">
        <v>16</v>
      </c>
      <c r="E1302" s="7"/>
      <c r="F1302" s="6" t="str">
        <f>"120301"</f>
        <v>120301</v>
      </c>
      <c r="G1302" s="6"/>
      <c r="H1302" s="3" t="s">
        <v>17</v>
      </c>
      <c r="I1302" s="6" t="s">
        <v>18</v>
      </c>
      <c r="J1302" s="6"/>
      <c r="K1302" s="3" t="s">
        <v>19</v>
      </c>
      <c r="L1302" s="5">
        <v>1</v>
      </c>
    </row>
    <row r="1303" spans="1:12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</row>
    <row r="1304" spans="1:12" ht="15" customHeight="1" x14ac:dyDescent="0.25">
      <c r="A1304" s="10" t="s">
        <v>20</v>
      </c>
      <c r="B1304" s="11"/>
      <c r="C1304" s="12"/>
      <c r="D1304" s="8" t="s">
        <v>21</v>
      </c>
      <c r="E1304" s="8" t="s">
        <v>22</v>
      </c>
      <c r="F1304" s="9" t="s">
        <v>23</v>
      </c>
      <c r="G1304" s="9" t="s">
        <v>24</v>
      </c>
      <c r="H1304" s="9" t="s">
        <v>25</v>
      </c>
      <c r="I1304" s="9" t="s">
        <v>26</v>
      </c>
      <c r="J1304" s="9" t="s">
        <v>27</v>
      </c>
      <c r="K1304" s="13" t="s">
        <v>28</v>
      </c>
      <c r="L1304" s="14"/>
    </row>
    <row r="1305" spans="1:12" ht="15" customHeight="1" x14ac:dyDescent="0.25">
      <c r="A1305" s="15" t="s">
        <v>29</v>
      </c>
      <c r="B1305" s="16"/>
      <c r="C1305" s="16"/>
      <c r="D1305" s="16"/>
      <c r="E1305" s="16"/>
      <c r="F1305" s="16"/>
      <c r="G1305" s="16"/>
      <c r="H1305" s="16"/>
      <c r="I1305" s="16"/>
      <c r="J1305" s="17"/>
      <c r="K1305" s="15">
        <v>0</v>
      </c>
      <c r="L1305" s="17"/>
    </row>
    <row r="1306" spans="1:12" x14ac:dyDescent="0.25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</row>
    <row r="1307" spans="1:12" ht="15" customHeight="1" x14ac:dyDescent="0.25">
      <c r="A1307" s="10" t="s">
        <v>30</v>
      </c>
      <c r="B1307" s="11"/>
      <c r="C1307" s="12"/>
      <c r="D1307" s="8" t="s">
        <v>21</v>
      </c>
      <c r="E1307" s="8" t="s">
        <v>22</v>
      </c>
      <c r="F1307" s="9" t="s">
        <v>31</v>
      </c>
      <c r="G1307" s="9" t="s">
        <v>32</v>
      </c>
      <c r="H1307" s="9" t="s">
        <v>33</v>
      </c>
      <c r="I1307" s="13" t="s">
        <v>34</v>
      </c>
      <c r="J1307" s="14"/>
      <c r="K1307" s="13" t="s">
        <v>28</v>
      </c>
      <c r="L1307" s="14"/>
    </row>
    <row r="1308" spans="1:12" ht="15" customHeight="1" x14ac:dyDescent="0.25">
      <c r="A1308" s="21" t="s">
        <v>69</v>
      </c>
      <c r="B1308" s="22"/>
      <c r="C1308" s="23"/>
      <c r="D1308" s="19" t="str">
        <f>"010139"</f>
        <v>010139</v>
      </c>
      <c r="E1308" s="19" t="s">
        <v>36</v>
      </c>
      <c r="F1308" s="20">
        <v>10.119999999999999</v>
      </c>
      <c r="G1308" s="20">
        <v>157.27000000000001</v>
      </c>
      <c r="H1308" s="20">
        <v>26.03</v>
      </c>
      <c r="I1308" s="24">
        <v>0.6</v>
      </c>
      <c r="J1308" s="25"/>
      <c r="K1308" s="24">
        <v>15.61</v>
      </c>
      <c r="L1308" s="25"/>
    </row>
    <row r="1309" spans="1:12" ht="15" customHeight="1" x14ac:dyDescent="0.25">
      <c r="A1309" s="21" t="s">
        <v>37</v>
      </c>
      <c r="B1309" s="22"/>
      <c r="C1309" s="23"/>
      <c r="D1309" s="19" t="str">
        <f>"010146"</f>
        <v>010146</v>
      </c>
      <c r="E1309" s="19" t="s">
        <v>36</v>
      </c>
      <c r="F1309" s="20">
        <v>7.65</v>
      </c>
      <c r="G1309" s="20">
        <v>157.27000000000001</v>
      </c>
      <c r="H1309" s="20">
        <v>19.68</v>
      </c>
      <c r="I1309" s="24">
        <v>0.8</v>
      </c>
      <c r="J1309" s="25"/>
      <c r="K1309" s="24">
        <v>15.74</v>
      </c>
      <c r="L1309" s="25"/>
    </row>
    <row r="1310" spans="1:12" ht="15" customHeight="1" x14ac:dyDescent="0.25">
      <c r="A1310" s="15" t="s">
        <v>38</v>
      </c>
      <c r="B1310" s="16"/>
      <c r="C1310" s="16"/>
      <c r="D1310" s="16"/>
      <c r="E1310" s="16"/>
      <c r="F1310" s="16"/>
      <c r="G1310" s="16"/>
      <c r="H1310" s="16"/>
      <c r="I1310" s="16"/>
      <c r="J1310" s="17"/>
      <c r="K1310" s="15">
        <v>31.35</v>
      </c>
      <c r="L1310" s="17"/>
    </row>
    <row r="1311" spans="1:12" x14ac:dyDescent="0.25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</row>
    <row r="1312" spans="1:12" ht="15" customHeight="1" x14ac:dyDescent="0.25">
      <c r="A1312" s="10" t="s">
        <v>39</v>
      </c>
      <c r="B1312" s="11"/>
      <c r="C1312" s="12"/>
      <c r="D1312" s="8" t="s">
        <v>21</v>
      </c>
      <c r="E1312" s="13" t="s">
        <v>40</v>
      </c>
      <c r="F1312" s="14"/>
      <c r="G1312" s="8" t="s">
        <v>41</v>
      </c>
      <c r="H1312" s="8" t="s">
        <v>42</v>
      </c>
      <c r="I1312" s="8" t="s">
        <v>43</v>
      </c>
      <c r="J1312" s="13" t="s">
        <v>44</v>
      </c>
      <c r="K1312" s="26"/>
      <c r="L1312" s="14"/>
    </row>
    <row r="1313" spans="1:12" ht="15" customHeight="1" x14ac:dyDescent="0.25">
      <c r="A1313" s="15" t="s">
        <v>45</v>
      </c>
      <c r="B1313" s="16"/>
      <c r="C1313" s="16"/>
      <c r="D1313" s="16"/>
      <c r="E1313" s="16"/>
      <c r="F1313" s="16"/>
      <c r="G1313" s="16"/>
      <c r="H1313" s="16"/>
      <c r="I1313" s="16"/>
      <c r="J1313" s="17"/>
      <c r="K1313" s="15">
        <v>0</v>
      </c>
      <c r="L1313" s="17"/>
    </row>
    <row r="1314" spans="1:12" x14ac:dyDescent="0.25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</row>
    <row r="1315" spans="1:12" ht="15" customHeight="1" x14ac:dyDescent="0.25">
      <c r="A1315" s="27" t="s">
        <v>46</v>
      </c>
      <c r="B1315" s="27"/>
      <c r="C1315" s="27"/>
      <c r="D1315" s="27"/>
      <c r="E1315" s="27"/>
      <c r="F1315" s="27"/>
      <c r="G1315" s="27"/>
      <c r="H1315" s="27"/>
      <c r="I1315" s="27"/>
      <c r="J1315" s="27"/>
      <c r="K1315" s="27">
        <v>31.35</v>
      </c>
      <c r="L1315" s="27"/>
    </row>
    <row r="1316" spans="1:12" ht="15" customHeight="1" x14ac:dyDescent="0.25">
      <c r="A1316" s="27" t="s">
        <v>47</v>
      </c>
      <c r="B1316" s="27"/>
      <c r="C1316" s="27"/>
      <c r="D1316" s="27"/>
      <c r="E1316" s="27"/>
      <c r="F1316" s="27"/>
      <c r="G1316" s="27"/>
      <c r="H1316" s="27"/>
      <c r="I1316" s="27"/>
      <c r="J1316" s="27"/>
      <c r="K1316" s="27">
        <v>1</v>
      </c>
      <c r="L1316" s="27"/>
    </row>
    <row r="1317" spans="1:12" ht="15" customHeight="1" x14ac:dyDescent="0.25">
      <c r="A1317" s="27" t="s">
        <v>48</v>
      </c>
      <c r="B1317" s="27"/>
      <c r="C1317" s="27"/>
      <c r="D1317" s="27"/>
      <c r="E1317" s="27"/>
      <c r="F1317" s="27"/>
      <c r="G1317" s="27"/>
      <c r="H1317" s="27"/>
      <c r="I1317" s="27"/>
      <c r="J1317" s="27"/>
      <c r="K1317" s="27">
        <v>31.35</v>
      </c>
      <c r="L1317" s="27"/>
    </row>
    <row r="1318" spans="1:12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</row>
    <row r="1319" spans="1:12" ht="15" customHeight="1" x14ac:dyDescent="0.25">
      <c r="A1319" s="10" t="s">
        <v>49</v>
      </c>
      <c r="B1319" s="11"/>
      <c r="C1319" s="11"/>
      <c r="D1319" s="11"/>
      <c r="E1319" s="12"/>
      <c r="F1319" s="8" t="s">
        <v>21</v>
      </c>
      <c r="G1319" s="8" t="s">
        <v>22</v>
      </c>
      <c r="H1319" s="9" t="s">
        <v>44</v>
      </c>
      <c r="I1319" s="13" t="s">
        <v>34</v>
      </c>
      <c r="J1319" s="14"/>
      <c r="K1319" s="13" t="s">
        <v>50</v>
      </c>
      <c r="L1319" s="14"/>
    </row>
    <row r="1320" spans="1:12" ht="15" customHeight="1" x14ac:dyDescent="0.25">
      <c r="A1320" s="21" t="s">
        <v>122</v>
      </c>
      <c r="B1320" s="22"/>
      <c r="C1320" s="22"/>
      <c r="D1320" s="22"/>
      <c r="E1320" s="23"/>
      <c r="F1320" s="19" t="str">
        <f>"020503"</f>
        <v>020503</v>
      </c>
      <c r="G1320" s="19" t="s">
        <v>105</v>
      </c>
      <c r="H1320" s="20">
        <v>152</v>
      </c>
      <c r="I1320" s="24">
        <v>2.3199999999999998E-2</v>
      </c>
      <c r="J1320" s="25"/>
      <c r="K1320" s="24">
        <v>3.52</v>
      </c>
      <c r="L1320" s="25"/>
    </row>
    <row r="1321" spans="1:12" ht="15" customHeight="1" x14ac:dyDescent="0.25">
      <c r="A1321" s="21" t="s">
        <v>123</v>
      </c>
      <c r="B1321" s="22"/>
      <c r="C1321" s="22"/>
      <c r="D1321" s="22"/>
      <c r="E1321" s="23"/>
      <c r="F1321" s="19" t="str">
        <f>"020505"</f>
        <v>020505</v>
      </c>
      <c r="G1321" s="19" t="s">
        <v>124</v>
      </c>
      <c r="H1321" s="20">
        <v>1.07</v>
      </c>
      <c r="I1321" s="24">
        <v>1.1599999999999999</v>
      </c>
      <c r="J1321" s="25"/>
      <c r="K1321" s="24">
        <v>1.24</v>
      </c>
      <c r="L1321" s="25"/>
    </row>
    <row r="1322" spans="1:12" ht="15" customHeight="1" x14ac:dyDescent="0.25">
      <c r="A1322" s="21" t="s">
        <v>125</v>
      </c>
      <c r="B1322" s="22"/>
      <c r="C1322" s="22"/>
      <c r="D1322" s="22"/>
      <c r="E1322" s="23"/>
      <c r="F1322" s="19" t="str">
        <f>"020508"</f>
        <v>020508</v>
      </c>
      <c r="G1322" s="19" t="s">
        <v>124</v>
      </c>
      <c r="H1322" s="20">
        <v>0.59</v>
      </c>
      <c r="I1322" s="24">
        <v>4.4800000000000004</v>
      </c>
      <c r="J1322" s="25"/>
      <c r="K1322" s="24">
        <v>2.64</v>
      </c>
      <c r="L1322" s="25"/>
    </row>
    <row r="1323" spans="1:12" ht="15" customHeight="1" x14ac:dyDescent="0.25">
      <c r="A1323" s="15" t="s">
        <v>51</v>
      </c>
      <c r="B1323" s="16"/>
      <c r="C1323" s="16"/>
      <c r="D1323" s="16"/>
      <c r="E1323" s="16"/>
      <c r="F1323" s="16"/>
      <c r="G1323" s="16"/>
      <c r="H1323" s="16"/>
      <c r="I1323" s="16"/>
      <c r="J1323" s="17"/>
      <c r="K1323" s="15">
        <v>7.4</v>
      </c>
      <c r="L1323" s="17"/>
    </row>
    <row r="1324" spans="1:12" x14ac:dyDescent="0.25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</row>
    <row r="1325" spans="1:12" ht="15" customHeight="1" x14ac:dyDescent="0.25">
      <c r="A1325" s="10" t="s">
        <v>52</v>
      </c>
      <c r="B1325" s="11"/>
      <c r="C1325" s="11"/>
      <c r="D1325" s="11"/>
      <c r="E1325" s="12"/>
      <c r="F1325" s="8" t="s">
        <v>21</v>
      </c>
      <c r="G1325" s="8" t="s">
        <v>22</v>
      </c>
      <c r="H1325" s="9" t="s">
        <v>44</v>
      </c>
      <c r="I1325" s="13" t="s">
        <v>34</v>
      </c>
      <c r="J1325" s="14"/>
      <c r="K1325" s="13" t="s">
        <v>50</v>
      </c>
      <c r="L1325" s="14"/>
    </row>
    <row r="1326" spans="1:12" ht="15" customHeight="1" x14ac:dyDescent="0.25">
      <c r="A1326" s="15" t="s">
        <v>53</v>
      </c>
      <c r="B1326" s="16"/>
      <c r="C1326" s="16"/>
      <c r="D1326" s="16"/>
      <c r="E1326" s="16"/>
      <c r="F1326" s="16"/>
      <c r="G1326" s="16"/>
      <c r="H1326" s="16"/>
      <c r="I1326" s="16"/>
      <c r="J1326" s="17"/>
      <c r="K1326" s="15">
        <v>0</v>
      </c>
      <c r="L1326" s="17"/>
    </row>
    <row r="1327" spans="1:12" x14ac:dyDescent="0.25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</row>
    <row r="1328" spans="1:12" ht="15" customHeight="1" x14ac:dyDescent="0.25">
      <c r="A1328" s="10" t="s">
        <v>54</v>
      </c>
      <c r="B1328" s="11"/>
      <c r="C1328" s="12"/>
      <c r="D1328" s="8" t="s">
        <v>21</v>
      </c>
      <c r="E1328" s="8" t="s">
        <v>22</v>
      </c>
      <c r="F1328" s="9" t="s">
        <v>55</v>
      </c>
      <c r="G1328" s="8" t="s">
        <v>56</v>
      </c>
      <c r="H1328" s="8" t="s">
        <v>57</v>
      </c>
      <c r="I1328" s="8" t="s">
        <v>58</v>
      </c>
      <c r="J1328" s="9" t="s">
        <v>59</v>
      </c>
      <c r="K1328" s="9" t="s">
        <v>34</v>
      </c>
      <c r="L1328" s="9" t="s">
        <v>50</v>
      </c>
    </row>
    <row r="1329" spans="1:12" ht="15" customHeight="1" x14ac:dyDescent="0.25">
      <c r="A1329" s="15" t="s">
        <v>60</v>
      </c>
      <c r="B1329" s="16"/>
      <c r="C1329" s="16"/>
      <c r="D1329" s="16"/>
      <c r="E1329" s="16"/>
      <c r="F1329" s="16"/>
      <c r="G1329" s="16"/>
      <c r="H1329" s="16"/>
      <c r="I1329" s="16"/>
      <c r="J1329" s="17"/>
      <c r="K1329" s="15">
        <v>0</v>
      </c>
      <c r="L1329" s="17"/>
    </row>
    <row r="1330" spans="1:12" x14ac:dyDescent="0.25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</row>
    <row r="1331" spans="1:12" ht="15" customHeight="1" x14ac:dyDescent="0.25">
      <c r="A1331" s="27" t="s">
        <v>61</v>
      </c>
      <c r="B1331" s="27"/>
      <c r="C1331" s="27"/>
      <c r="D1331" s="27"/>
      <c r="E1331" s="27"/>
      <c r="F1331" s="27"/>
      <c r="G1331" s="27"/>
      <c r="H1331" s="27"/>
      <c r="I1331" s="27"/>
      <c r="J1331" s="27"/>
      <c r="K1331" s="27">
        <v>38.75</v>
      </c>
      <c r="L1331" s="27"/>
    </row>
    <row r="1332" spans="1:12" ht="15" customHeight="1" x14ac:dyDescent="0.25">
      <c r="A1332" s="27" t="s">
        <v>62</v>
      </c>
      <c r="B1332" s="27"/>
      <c r="C1332" s="27"/>
      <c r="D1332" s="27"/>
      <c r="E1332" s="27"/>
      <c r="F1332" s="27"/>
      <c r="G1332" s="27"/>
      <c r="H1332" s="27"/>
      <c r="I1332" s="27"/>
      <c r="J1332" s="27"/>
      <c r="K1332" s="27">
        <v>12.88</v>
      </c>
      <c r="L1332" s="27"/>
    </row>
    <row r="1333" spans="1:12" ht="15" customHeight="1" x14ac:dyDescent="0.25">
      <c r="A1333" s="27" t="s">
        <v>63</v>
      </c>
      <c r="B1333" s="27"/>
      <c r="C1333" s="27"/>
      <c r="D1333" s="27"/>
      <c r="E1333" s="27"/>
      <c r="F1333" s="27"/>
      <c r="G1333" s="27"/>
      <c r="H1333" s="27"/>
      <c r="I1333" s="27"/>
      <c r="J1333" s="27"/>
      <c r="K1333" s="27">
        <v>51.63</v>
      </c>
      <c r="L1333" s="27"/>
    </row>
    <row r="1334" spans="1:12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</row>
    <row r="1335" spans="1:12" ht="15" customHeight="1" x14ac:dyDescent="0.25">
      <c r="A1335" s="3" t="s">
        <v>8</v>
      </c>
      <c r="B1335" s="6" t="s">
        <v>9</v>
      </c>
      <c r="C1335" s="6"/>
      <c r="D1335" s="6"/>
      <c r="E1335" s="6"/>
      <c r="F1335" s="6"/>
      <c r="G1335" s="6"/>
      <c r="H1335" s="6"/>
      <c r="I1335" s="6"/>
      <c r="J1335" s="6"/>
      <c r="K1335" s="6"/>
      <c r="L1335" s="6"/>
    </row>
    <row r="1336" spans="1:12" ht="15" customHeight="1" x14ac:dyDescent="0.25">
      <c r="A1336" s="3" t="s">
        <v>10</v>
      </c>
      <c r="B1336" s="6" t="s">
        <v>187</v>
      </c>
      <c r="C1336" s="6"/>
      <c r="D1336" s="6"/>
      <c r="E1336" s="6"/>
      <c r="F1336" s="6"/>
      <c r="G1336" s="6"/>
      <c r="H1336" s="6"/>
      <c r="I1336" s="6"/>
      <c r="J1336" s="6"/>
      <c r="K1336" s="3" t="s">
        <v>12</v>
      </c>
      <c r="L1336" s="4" t="s">
        <v>13</v>
      </c>
    </row>
    <row r="1337" spans="1:12" ht="15" customHeight="1" x14ac:dyDescent="0.25">
      <c r="A1337" s="3" t="s">
        <v>14</v>
      </c>
      <c r="B1337" s="6" t="s">
        <v>15</v>
      </c>
      <c r="C1337" s="6"/>
      <c r="D1337" s="7" t="s">
        <v>16</v>
      </c>
      <c r="E1337" s="7"/>
      <c r="F1337" s="6" t="str">
        <f>"120304"</f>
        <v>120304</v>
      </c>
      <c r="G1337" s="6"/>
      <c r="H1337" s="3" t="s">
        <v>17</v>
      </c>
      <c r="I1337" s="6" t="s">
        <v>18</v>
      </c>
      <c r="J1337" s="6"/>
      <c r="K1337" s="3" t="s">
        <v>19</v>
      </c>
      <c r="L1337" s="5">
        <v>1</v>
      </c>
    </row>
    <row r="1338" spans="1:12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</row>
    <row r="1339" spans="1:12" ht="15" customHeight="1" x14ac:dyDescent="0.25">
      <c r="A1339" s="10" t="s">
        <v>20</v>
      </c>
      <c r="B1339" s="11"/>
      <c r="C1339" s="12"/>
      <c r="D1339" s="8" t="s">
        <v>21</v>
      </c>
      <c r="E1339" s="8" t="s">
        <v>22</v>
      </c>
      <c r="F1339" s="9" t="s">
        <v>23</v>
      </c>
      <c r="G1339" s="9" t="s">
        <v>24</v>
      </c>
      <c r="H1339" s="9" t="s">
        <v>25</v>
      </c>
      <c r="I1339" s="9" t="s">
        <v>26</v>
      </c>
      <c r="J1339" s="9" t="s">
        <v>27</v>
      </c>
      <c r="K1339" s="13" t="s">
        <v>28</v>
      </c>
      <c r="L1339" s="14"/>
    </row>
    <row r="1340" spans="1:12" ht="15" customHeight="1" x14ac:dyDescent="0.25">
      <c r="A1340" s="15" t="s">
        <v>29</v>
      </c>
      <c r="B1340" s="16"/>
      <c r="C1340" s="16"/>
      <c r="D1340" s="16"/>
      <c r="E1340" s="16"/>
      <c r="F1340" s="16"/>
      <c r="G1340" s="16"/>
      <c r="H1340" s="16"/>
      <c r="I1340" s="16"/>
      <c r="J1340" s="17"/>
      <c r="K1340" s="15">
        <v>0</v>
      </c>
      <c r="L1340" s="17"/>
    </row>
    <row r="1341" spans="1:12" x14ac:dyDescent="0.25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</row>
    <row r="1342" spans="1:12" ht="15" customHeight="1" x14ac:dyDescent="0.25">
      <c r="A1342" s="10" t="s">
        <v>30</v>
      </c>
      <c r="B1342" s="11"/>
      <c r="C1342" s="12"/>
      <c r="D1342" s="8" t="s">
        <v>21</v>
      </c>
      <c r="E1342" s="8" t="s">
        <v>22</v>
      </c>
      <c r="F1342" s="9" t="s">
        <v>31</v>
      </c>
      <c r="G1342" s="9" t="s">
        <v>32</v>
      </c>
      <c r="H1342" s="9" t="s">
        <v>33</v>
      </c>
      <c r="I1342" s="13" t="s">
        <v>34</v>
      </c>
      <c r="J1342" s="14"/>
      <c r="K1342" s="13" t="s">
        <v>28</v>
      </c>
      <c r="L1342" s="14"/>
    </row>
    <row r="1343" spans="1:12" ht="15" customHeight="1" x14ac:dyDescent="0.25">
      <c r="A1343" s="21" t="s">
        <v>69</v>
      </c>
      <c r="B1343" s="22"/>
      <c r="C1343" s="23"/>
      <c r="D1343" s="19" t="str">
        <f>"010139"</f>
        <v>010139</v>
      </c>
      <c r="E1343" s="19" t="s">
        <v>36</v>
      </c>
      <c r="F1343" s="20">
        <v>10.119999999999999</v>
      </c>
      <c r="G1343" s="20">
        <v>157.27000000000001</v>
      </c>
      <c r="H1343" s="20">
        <v>26.03</v>
      </c>
      <c r="I1343" s="24">
        <v>1.25</v>
      </c>
      <c r="J1343" s="25"/>
      <c r="K1343" s="24">
        <v>32.53</v>
      </c>
      <c r="L1343" s="25"/>
    </row>
    <row r="1344" spans="1:12" ht="15" customHeight="1" x14ac:dyDescent="0.25">
      <c r="A1344" s="21" t="s">
        <v>37</v>
      </c>
      <c r="B1344" s="22"/>
      <c r="C1344" s="23"/>
      <c r="D1344" s="19" t="str">
        <f>"010146"</f>
        <v>010146</v>
      </c>
      <c r="E1344" s="19" t="s">
        <v>36</v>
      </c>
      <c r="F1344" s="20">
        <v>7.65</v>
      </c>
      <c r="G1344" s="20">
        <v>157.27000000000001</v>
      </c>
      <c r="H1344" s="20">
        <v>19.68</v>
      </c>
      <c r="I1344" s="24">
        <v>1.35</v>
      </c>
      <c r="J1344" s="25"/>
      <c r="K1344" s="24">
        <v>26.56</v>
      </c>
      <c r="L1344" s="25"/>
    </row>
    <row r="1345" spans="1:12" ht="15" customHeight="1" x14ac:dyDescent="0.25">
      <c r="A1345" s="15" t="s">
        <v>38</v>
      </c>
      <c r="B1345" s="16"/>
      <c r="C1345" s="16"/>
      <c r="D1345" s="16"/>
      <c r="E1345" s="16"/>
      <c r="F1345" s="16"/>
      <c r="G1345" s="16"/>
      <c r="H1345" s="16"/>
      <c r="I1345" s="16"/>
      <c r="J1345" s="17"/>
      <c r="K1345" s="15">
        <v>59.09</v>
      </c>
      <c r="L1345" s="17"/>
    </row>
    <row r="1346" spans="1:12" x14ac:dyDescent="0.25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</row>
    <row r="1347" spans="1:12" ht="15" customHeight="1" x14ac:dyDescent="0.25">
      <c r="A1347" s="10" t="s">
        <v>39</v>
      </c>
      <c r="B1347" s="11"/>
      <c r="C1347" s="12"/>
      <c r="D1347" s="8" t="s">
        <v>21</v>
      </c>
      <c r="E1347" s="13" t="s">
        <v>40</v>
      </c>
      <c r="F1347" s="14"/>
      <c r="G1347" s="8" t="s">
        <v>41</v>
      </c>
      <c r="H1347" s="8" t="s">
        <v>42</v>
      </c>
      <c r="I1347" s="8" t="s">
        <v>43</v>
      </c>
      <c r="J1347" s="13" t="s">
        <v>44</v>
      </c>
      <c r="K1347" s="26"/>
      <c r="L1347" s="14"/>
    </row>
    <row r="1348" spans="1:12" ht="15" customHeight="1" x14ac:dyDescent="0.25">
      <c r="A1348" s="15" t="s">
        <v>45</v>
      </c>
      <c r="B1348" s="16"/>
      <c r="C1348" s="16"/>
      <c r="D1348" s="16"/>
      <c r="E1348" s="16"/>
      <c r="F1348" s="16"/>
      <c r="G1348" s="16"/>
      <c r="H1348" s="16"/>
      <c r="I1348" s="16"/>
      <c r="J1348" s="17"/>
      <c r="K1348" s="15">
        <v>0</v>
      </c>
      <c r="L1348" s="17"/>
    </row>
    <row r="1349" spans="1:12" x14ac:dyDescent="0.25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</row>
    <row r="1350" spans="1:12" ht="15" customHeight="1" x14ac:dyDescent="0.25">
      <c r="A1350" s="27" t="s">
        <v>46</v>
      </c>
      <c r="B1350" s="27"/>
      <c r="C1350" s="27"/>
      <c r="D1350" s="27"/>
      <c r="E1350" s="27"/>
      <c r="F1350" s="27"/>
      <c r="G1350" s="27"/>
      <c r="H1350" s="27"/>
      <c r="I1350" s="27"/>
      <c r="J1350" s="27"/>
      <c r="K1350" s="27">
        <v>59.09</v>
      </c>
      <c r="L1350" s="27"/>
    </row>
    <row r="1351" spans="1:12" ht="15" customHeight="1" x14ac:dyDescent="0.25">
      <c r="A1351" s="27" t="s">
        <v>47</v>
      </c>
      <c r="B1351" s="27"/>
      <c r="C1351" s="27"/>
      <c r="D1351" s="27"/>
      <c r="E1351" s="27"/>
      <c r="F1351" s="27"/>
      <c r="G1351" s="27"/>
      <c r="H1351" s="27"/>
      <c r="I1351" s="27"/>
      <c r="J1351" s="27"/>
      <c r="K1351" s="27">
        <v>1</v>
      </c>
      <c r="L1351" s="27"/>
    </row>
    <row r="1352" spans="1:12" ht="15" customHeight="1" x14ac:dyDescent="0.25">
      <c r="A1352" s="27" t="s">
        <v>48</v>
      </c>
      <c r="B1352" s="27"/>
      <c r="C1352" s="27"/>
      <c r="D1352" s="27"/>
      <c r="E1352" s="27"/>
      <c r="F1352" s="27"/>
      <c r="G1352" s="27"/>
      <c r="H1352" s="27"/>
      <c r="I1352" s="27"/>
      <c r="J1352" s="27"/>
      <c r="K1352" s="27">
        <v>59.09</v>
      </c>
      <c r="L1352" s="27"/>
    </row>
    <row r="1353" spans="1:12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</row>
    <row r="1354" spans="1:12" ht="15" customHeight="1" x14ac:dyDescent="0.25">
      <c r="A1354" s="10" t="s">
        <v>49</v>
      </c>
      <c r="B1354" s="11"/>
      <c r="C1354" s="11"/>
      <c r="D1354" s="11"/>
      <c r="E1354" s="12"/>
      <c r="F1354" s="8" t="s">
        <v>21</v>
      </c>
      <c r="G1354" s="8" t="s">
        <v>22</v>
      </c>
      <c r="H1354" s="9" t="s">
        <v>44</v>
      </c>
      <c r="I1354" s="13" t="s">
        <v>34</v>
      </c>
      <c r="J1354" s="14"/>
      <c r="K1354" s="13" t="s">
        <v>50</v>
      </c>
      <c r="L1354" s="14"/>
    </row>
    <row r="1355" spans="1:12" ht="15" customHeight="1" x14ac:dyDescent="0.25">
      <c r="A1355" s="21" t="s">
        <v>122</v>
      </c>
      <c r="B1355" s="22"/>
      <c r="C1355" s="22"/>
      <c r="D1355" s="22"/>
      <c r="E1355" s="23"/>
      <c r="F1355" s="19" t="str">
        <f>"020503"</f>
        <v>020503</v>
      </c>
      <c r="G1355" s="19" t="s">
        <v>105</v>
      </c>
      <c r="H1355" s="20">
        <v>152</v>
      </c>
      <c r="I1355" s="24">
        <v>2.9000000000000001E-2</v>
      </c>
      <c r="J1355" s="25"/>
      <c r="K1355" s="24">
        <v>4.4000000000000004</v>
      </c>
      <c r="L1355" s="25"/>
    </row>
    <row r="1356" spans="1:12" ht="15" customHeight="1" x14ac:dyDescent="0.25">
      <c r="A1356" s="21" t="s">
        <v>123</v>
      </c>
      <c r="B1356" s="22"/>
      <c r="C1356" s="22"/>
      <c r="D1356" s="22"/>
      <c r="E1356" s="23"/>
      <c r="F1356" s="19" t="str">
        <f>"020505"</f>
        <v>020505</v>
      </c>
      <c r="G1356" s="19" t="s">
        <v>124</v>
      </c>
      <c r="H1356" s="20">
        <v>1.07</v>
      </c>
      <c r="I1356" s="24">
        <v>1.45</v>
      </c>
      <c r="J1356" s="25"/>
      <c r="K1356" s="24">
        <v>1.55</v>
      </c>
      <c r="L1356" s="25"/>
    </row>
    <row r="1357" spans="1:12" ht="15" customHeight="1" x14ac:dyDescent="0.25">
      <c r="A1357" s="21" t="s">
        <v>125</v>
      </c>
      <c r="B1357" s="22"/>
      <c r="C1357" s="22"/>
      <c r="D1357" s="22"/>
      <c r="E1357" s="23"/>
      <c r="F1357" s="19" t="str">
        <f>"020508"</f>
        <v>020508</v>
      </c>
      <c r="G1357" s="19" t="s">
        <v>124</v>
      </c>
      <c r="H1357" s="20">
        <v>0.59</v>
      </c>
      <c r="I1357" s="24">
        <v>5.6</v>
      </c>
      <c r="J1357" s="25"/>
      <c r="K1357" s="24">
        <v>3.3</v>
      </c>
      <c r="L1357" s="25"/>
    </row>
    <row r="1358" spans="1:12" ht="15" customHeight="1" x14ac:dyDescent="0.25">
      <c r="A1358" s="21" t="s">
        <v>188</v>
      </c>
      <c r="B1358" s="22"/>
      <c r="C1358" s="22"/>
      <c r="D1358" s="22"/>
      <c r="E1358" s="23"/>
      <c r="F1358" s="19" t="str">
        <f>"024015"</f>
        <v>024015</v>
      </c>
      <c r="G1358" s="19" t="s">
        <v>124</v>
      </c>
      <c r="H1358" s="20">
        <v>8.0500000000000007</v>
      </c>
      <c r="I1358" s="24">
        <v>0.5</v>
      </c>
      <c r="J1358" s="25"/>
      <c r="K1358" s="24">
        <v>4.0199999999999996</v>
      </c>
      <c r="L1358" s="25"/>
    </row>
    <row r="1359" spans="1:12" ht="15" customHeight="1" x14ac:dyDescent="0.25">
      <c r="A1359" s="15" t="s">
        <v>51</v>
      </c>
      <c r="B1359" s="16"/>
      <c r="C1359" s="16"/>
      <c r="D1359" s="16"/>
      <c r="E1359" s="16"/>
      <c r="F1359" s="16"/>
      <c r="G1359" s="16"/>
      <c r="H1359" s="16"/>
      <c r="I1359" s="16"/>
      <c r="J1359" s="17"/>
      <c r="K1359" s="15">
        <v>13.27</v>
      </c>
      <c r="L1359" s="17"/>
    </row>
    <row r="1360" spans="1:12" x14ac:dyDescent="0.25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</row>
    <row r="1361" spans="1:12" ht="15" customHeight="1" x14ac:dyDescent="0.25">
      <c r="A1361" s="10" t="s">
        <v>52</v>
      </c>
      <c r="B1361" s="11"/>
      <c r="C1361" s="11"/>
      <c r="D1361" s="11"/>
      <c r="E1361" s="12"/>
      <c r="F1361" s="8" t="s">
        <v>21</v>
      </c>
      <c r="G1361" s="8" t="s">
        <v>22</v>
      </c>
      <c r="H1361" s="9" t="s">
        <v>44</v>
      </c>
      <c r="I1361" s="13" t="s">
        <v>34</v>
      </c>
      <c r="J1361" s="14"/>
      <c r="K1361" s="13" t="s">
        <v>50</v>
      </c>
      <c r="L1361" s="14"/>
    </row>
    <row r="1362" spans="1:12" ht="15" customHeight="1" x14ac:dyDescent="0.25">
      <c r="A1362" s="15" t="s">
        <v>53</v>
      </c>
      <c r="B1362" s="16"/>
      <c r="C1362" s="16"/>
      <c r="D1362" s="16"/>
      <c r="E1362" s="16"/>
      <c r="F1362" s="16"/>
      <c r="G1362" s="16"/>
      <c r="H1362" s="16"/>
      <c r="I1362" s="16"/>
      <c r="J1362" s="17"/>
      <c r="K1362" s="15">
        <v>0</v>
      </c>
      <c r="L1362" s="17"/>
    </row>
    <row r="1363" spans="1:12" x14ac:dyDescent="0.25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</row>
    <row r="1364" spans="1:12" ht="15" customHeight="1" x14ac:dyDescent="0.25">
      <c r="A1364" s="10" t="s">
        <v>54</v>
      </c>
      <c r="B1364" s="11"/>
      <c r="C1364" s="12"/>
      <c r="D1364" s="8" t="s">
        <v>21</v>
      </c>
      <c r="E1364" s="8" t="s">
        <v>22</v>
      </c>
      <c r="F1364" s="9" t="s">
        <v>55</v>
      </c>
      <c r="G1364" s="8" t="s">
        <v>56</v>
      </c>
      <c r="H1364" s="8" t="s">
        <v>57</v>
      </c>
      <c r="I1364" s="8" t="s">
        <v>58</v>
      </c>
      <c r="J1364" s="9" t="s">
        <v>59</v>
      </c>
      <c r="K1364" s="9" t="s">
        <v>34</v>
      </c>
      <c r="L1364" s="9" t="s">
        <v>50</v>
      </c>
    </row>
    <row r="1365" spans="1:12" ht="15" customHeight="1" x14ac:dyDescent="0.25">
      <c r="A1365" s="15" t="s">
        <v>60</v>
      </c>
      <c r="B1365" s="16"/>
      <c r="C1365" s="16"/>
      <c r="D1365" s="16"/>
      <c r="E1365" s="16"/>
      <c r="F1365" s="16"/>
      <c r="G1365" s="16"/>
      <c r="H1365" s="16"/>
      <c r="I1365" s="16"/>
      <c r="J1365" s="17"/>
      <c r="K1365" s="15">
        <v>0</v>
      </c>
      <c r="L1365" s="17"/>
    </row>
    <row r="1366" spans="1:12" x14ac:dyDescent="0.25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</row>
    <row r="1367" spans="1:12" ht="15" customHeight="1" x14ac:dyDescent="0.25">
      <c r="A1367" s="27" t="s">
        <v>61</v>
      </c>
      <c r="B1367" s="27"/>
      <c r="C1367" s="27"/>
      <c r="D1367" s="27"/>
      <c r="E1367" s="27"/>
      <c r="F1367" s="27"/>
      <c r="G1367" s="27"/>
      <c r="H1367" s="27"/>
      <c r="I1367" s="27"/>
      <c r="J1367" s="27"/>
      <c r="K1367" s="27">
        <v>72.36</v>
      </c>
      <c r="L1367" s="27"/>
    </row>
    <row r="1368" spans="1:12" ht="15" customHeight="1" x14ac:dyDescent="0.25">
      <c r="A1368" s="27" t="s">
        <v>62</v>
      </c>
      <c r="B1368" s="27"/>
      <c r="C1368" s="27"/>
      <c r="D1368" s="27"/>
      <c r="E1368" s="27"/>
      <c r="F1368" s="27"/>
      <c r="G1368" s="27"/>
      <c r="H1368" s="27"/>
      <c r="I1368" s="27"/>
      <c r="J1368" s="27"/>
      <c r="K1368" s="27">
        <v>24.06</v>
      </c>
      <c r="L1368" s="27"/>
    </row>
    <row r="1369" spans="1:12" ht="15" customHeight="1" x14ac:dyDescent="0.25">
      <c r="A1369" s="27" t="s">
        <v>63</v>
      </c>
      <c r="B1369" s="27"/>
      <c r="C1369" s="27"/>
      <c r="D1369" s="27"/>
      <c r="E1369" s="27"/>
      <c r="F1369" s="27"/>
      <c r="G1369" s="27"/>
      <c r="H1369" s="27"/>
      <c r="I1369" s="27"/>
      <c r="J1369" s="27"/>
      <c r="K1369" s="27">
        <v>96.42</v>
      </c>
      <c r="L1369" s="27"/>
    </row>
    <row r="1370" spans="1:12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</row>
    <row r="1371" spans="1:12" ht="15" customHeight="1" x14ac:dyDescent="0.25">
      <c r="A1371" s="3" t="s">
        <v>8</v>
      </c>
      <c r="B1371" s="6" t="s">
        <v>9</v>
      </c>
      <c r="C1371" s="6"/>
      <c r="D1371" s="6"/>
      <c r="E1371" s="6"/>
      <c r="F1371" s="6"/>
      <c r="G1371" s="6"/>
      <c r="H1371" s="6"/>
      <c r="I1371" s="6"/>
      <c r="J1371" s="6"/>
      <c r="K1371" s="6"/>
      <c r="L1371" s="6"/>
    </row>
    <row r="1372" spans="1:12" ht="15" customHeight="1" x14ac:dyDescent="0.25">
      <c r="A1372" s="3" t="s">
        <v>10</v>
      </c>
      <c r="B1372" s="6" t="s">
        <v>189</v>
      </c>
      <c r="C1372" s="6"/>
      <c r="D1372" s="6"/>
      <c r="E1372" s="6"/>
      <c r="F1372" s="6"/>
      <c r="G1372" s="6"/>
      <c r="H1372" s="6"/>
      <c r="I1372" s="6"/>
      <c r="J1372" s="6"/>
      <c r="K1372" s="3" t="s">
        <v>12</v>
      </c>
      <c r="L1372" s="4" t="s">
        <v>13</v>
      </c>
    </row>
    <row r="1373" spans="1:12" ht="15" customHeight="1" x14ac:dyDescent="0.25">
      <c r="A1373" s="3" t="s">
        <v>14</v>
      </c>
      <c r="B1373" s="6" t="s">
        <v>15</v>
      </c>
      <c r="C1373" s="6"/>
      <c r="D1373" s="7" t="s">
        <v>16</v>
      </c>
      <c r="E1373" s="7"/>
      <c r="F1373" s="6" t="str">
        <f>"130103"</f>
        <v>130103</v>
      </c>
      <c r="G1373" s="6"/>
      <c r="H1373" s="3" t="s">
        <v>17</v>
      </c>
      <c r="I1373" s="6" t="s">
        <v>18</v>
      </c>
      <c r="J1373" s="6"/>
      <c r="K1373" s="3" t="s">
        <v>19</v>
      </c>
      <c r="L1373" s="5">
        <v>1</v>
      </c>
    </row>
    <row r="1374" spans="1:12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</row>
    <row r="1375" spans="1:12" ht="15" customHeight="1" x14ac:dyDescent="0.25">
      <c r="A1375" s="10" t="s">
        <v>20</v>
      </c>
      <c r="B1375" s="11"/>
      <c r="C1375" s="12"/>
      <c r="D1375" s="8" t="s">
        <v>21</v>
      </c>
      <c r="E1375" s="8" t="s">
        <v>22</v>
      </c>
      <c r="F1375" s="9" t="s">
        <v>23</v>
      </c>
      <c r="G1375" s="9" t="s">
        <v>24</v>
      </c>
      <c r="H1375" s="9" t="s">
        <v>25</v>
      </c>
      <c r="I1375" s="9" t="s">
        <v>26</v>
      </c>
      <c r="J1375" s="9" t="s">
        <v>27</v>
      </c>
      <c r="K1375" s="13" t="s">
        <v>28</v>
      </c>
      <c r="L1375" s="14"/>
    </row>
    <row r="1376" spans="1:12" ht="15" customHeight="1" x14ac:dyDescent="0.25">
      <c r="A1376" s="15" t="s">
        <v>29</v>
      </c>
      <c r="B1376" s="16"/>
      <c r="C1376" s="16"/>
      <c r="D1376" s="16"/>
      <c r="E1376" s="16"/>
      <c r="F1376" s="16"/>
      <c r="G1376" s="16"/>
      <c r="H1376" s="16"/>
      <c r="I1376" s="16"/>
      <c r="J1376" s="17"/>
      <c r="K1376" s="15">
        <v>0</v>
      </c>
      <c r="L1376" s="17"/>
    </row>
    <row r="1377" spans="1:12" x14ac:dyDescent="0.25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</row>
    <row r="1378" spans="1:12" ht="15" customHeight="1" x14ac:dyDescent="0.25">
      <c r="A1378" s="10" t="s">
        <v>30</v>
      </c>
      <c r="B1378" s="11"/>
      <c r="C1378" s="12"/>
      <c r="D1378" s="8" t="s">
        <v>21</v>
      </c>
      <c r="E1378" s="8" t="s">
        <v>22</v>
      </c>
      <c r="F1378" s="9" t="s">
        <v>31</v>
      </c>
      <c r="G1378" s="9" t="s">
        <v>32</v>
      </c>
      <c r="H1378" s="9" t="s">
        <v>33</v>
      </c>
      <c r="I1378" s="13" t="s">
        <v>34</v>
      </c>
      <c r="J1378" s="14"/>
      <c r="K1378" s="13" t="s">
        <v>28</v>
      </c>
      <c r="L1378" s="14"/>
    </row>
    <row r="1379" spans="1:12" ht="15" customHeight="1" x14ac:dyDescent="0.25">
      <c r="A1379" s="21" t="s">
        <v>69</v>
      </c>
      <c r="B1379" s="22"/>
      <c r="C1379" s="23"/>
      <c r="D1379" s="19" t="str">
        <f>"010139"</f>
        <v>010139</v>
      </c>
      <c r="E1379" s="19" t="s">
        <v>36</v>
      </c>
      <c r="F1379" s="20">
        <v>10.119999999999999</v>
      </c>
      <c r="G1379" s="20">
        <v>157.27000000000001</v>
      </c>
      <c r="H1379" s="20">
        <v>26.03</v>
      </c>
      <c r="I1379" s="24">
        <v>0.25</v>
      </c>
      <c r="J1379" s="25"/>
      <c r="K1379" s="24">
        <v>6.5</v>
      </c>
      <c r="L1379" s="25"/>
    </row>
    <row r="1380" spans="1:12" ht="15" customHeight="1" x14ac:dyDescent="0.25">
      <c r="A1380" s="21" t="s">
        <v>37</v>
      </c>
      <c r="B1380" s="22"/>
      <c r="C1380" s="23"/>
      <c r="D1380" s="19" t="str">
        <f>"010146"</f>
        <v>010146</v>
      </c>
      <c r="E1380" s="19" t="s">
        <v>36</v>
      </c>
      <c r="F1380" s="20">
        <v>7.65</v>
      </c>
      <c r="G1380" s="20">
        <v>157.27000000000001</v>
      </c>
      <c r="H1380" s="20">
        <v>19.68</v>
      </c>
      <c r="I1380" s="24">
        <v>0.55000000000000004</v>
      </c>
      <c r="J1380" s="25"/>
      <c r="K1380" s="24">
        <v>10.82</v>
      </c>
      <c r="L1380" s="25"/>
    </row>
    <row r="1381" spans="1:12" ht="15" customHeight="1" x14ac:dyDescent="0.25">
      <c r="A1381" s="15" t="s">
        <v>38</v>
      </c>
      <c r="B1381" s="16"/>
      <c r="C1381" s="16"/>
      <c r="D1381" s="16"/>
      <c r="E1381" s="16"/>
      <c r="F1381" s="16"/>
      <c r="G1381" s="16"/>
      <c r="H1381" s="16"/>
      <c r="I1381" s="16"/>
      <c r="J1381" s="17"/>
      <c r="K1381" s="15">
        <v>17.32</v>
      </c>
      <c r="L1381" s="17"/>
    </row>
    <row r="1382" spans="1:12" x14ac:dyDescent="0.25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</row>
    <row r="1383" spans="1:12" ht="15" customHeight="1" x14ac:dyDescent="0.25">
      <c r="A1383" s="10" t="s">
        <v>39</v>
      </c>
      <c r="B1383" s="11"/>
      <c r="C1383" s="12"/>
      <c r="D1383" s="8" t="s">
        <v>21</v>
      </c>
      <c r="E1383" s="13" t="s">
        <v>40</v>
      </c>
      <c r="F1383" s="14"/>
      <c r="G1383" s="8" t="s">
        <v>41</v>
      </c>
      <c r="H1383" s="8" t="s">
        <v>42</v>
      </c>
      <c r="I1383" s="8" t="s">
        <v>43</v>
      </c>
      <c r="J1383" s="13" t="s">
        <v>44</v>
      </c>
      <c r="K1383" s="26"/>
      <c r="L1383" s="14"/>
    </row>
    <row r="1384" spans="1:12" ht="15" customHeight="1" x14ac:dyDescent="0.25">
      <c r="A1384" s="15" t="s">
        <v>45</v>
      </c>
      <c r="B1384" s="16"/>
      <c r="C1384" s="16"/>
      <c r="D1384" s="16"/>
      <c r="E1384" s="16"/>
      <c r="F1384" s="16"/>
      <c r="G1384" s="16"/>
      <c r="H1384" s="16"/>
      <c r="I1384" s="16"/>
      <c r="J1384" s="17"/>
      <c r="K1384" s="15">
        <v>0</v>
      </c>
      <c r="L1384" s="17"/>
    </row>
    <row r="1385" spans="1:12" x14ac:dyDescent="0.25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</row>
    <row r="1386" spans="1:12" ht="15" customHeight="1" x14ac:dyDescent="0.25">
      <c r="A1386" s="27" t="s">
        <v>46</v>
      </c>
      <c r="B1386" s="27"/>
      <c r="C1386" s="27"/>
      <c r="D1386" s="27"/>
      <c r="E1386" s="27"/>
      <c r="F1386" s="27"/>
      <c r="G1386" s="27"/>
      <c r="H1386" s="27"/>
      <c r="I1386" s="27"/>
      <c r="J1386" s="27"/>
      <c r="K1386" s="27">
        <v>17.32</v>
      </c>
      <c r="L1386" s="27"/>
    </row>
    <row r="1387" spans="1:12" ht="15" customHeight="1" x14ac:dyDescent="0.25">
      <c r="A1387" s="27" t="s">
        <v>47</v>
      </c>
      <c r="B1387" s="27"/>
      <c r="C1387" s="27"/>
      <c r="D1387" s="27"/>
      <c r="E1387" s="27"/>
      <c r="F1387" s="27"/>
      <c r="G1387" s="27"/>
      <c r="H1387" s="27"/>
      <c r="I1387" s="27"/>
      <c r="J1387" s="27"/>
      <c r="K1387" s="27">
        <v>1</v>
      </c>
      <c r="L1387" s="27"/>
    </row>
    <row r="1388" spans="1:12" ht="15" customHeight="1" x14ac:dyDescent="0.25">
      <c r="A1388" s="27" t="s">
        <v>48</v>
      </c>
      <c r="B1388" s="27"/>
      <c r="C1388" s="27"/>
      <c r="D1388" s="27"/>
      <c r="E1388" s="27"/>
      <c r="F1388" s="27"/>
      <c r="G1388" s="27"/>
      <c r="H1388" s="27"/>
      <c r="I1388" s="27"/>
      <c r="J1388" s="27"/>
      <c r="K1388" s="27">
        <v>17.32</v>
      </c>
      <c r="L1388" s="27"/>
    </row>
    <row r="1389" spans="1:12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</row>
    <row r="1390" spans="1:12" ht="15" customHeight="1" x14ac:dyDescent="0.25">
      <c r="A1390" s="10" t="s">
        <v>49</v>
      </c>
      <c r="B1390" s="11"/>
      <c r="C1390" s="11"/>
      <c r="D1390" s="11"/>
      <c r="E1390" s="12"/>
      <c r="F1390" s="8" t="s">
        <v>21</v>
      </c>
      <c r="G1390" s="8" t="s">
        <v>22</v>
      </c>
      <c r="H1390" s="9" t="s">
        <v>44</v>
      </c>
      <c r="I1390" s="13" t="s">
        <v>34</v>
      </c>
      <c r="J1390" s="14"/>
      <c r="K1390" s="13" t="s">
        <v>50</v>
      </c>
      <c r="L1390" s="14"/>
    </row>
    <row r="1391" spans="1:12" ht="15" customHeight="1" x14ac:dyDescent="0.25">
      <c r="A1391" s="21" t="s">
        <v>122</v>
      </c>
      <c r="B1391" s="22"/>
      <c r="C1391" s="22"/>
      <c r="D1391" s="22"/>
      <c r="E1391" s="23"/>
      <c r="F1391" s="19" t="str">
        <f>"020503"</f>
        <v>020503</v>
      </c>
      <c r="G1391" s="19" t="s">
        <v>105</v>
      </c>
      <c r="H1391" s="20">
        <v>152</v>
      </c>
      <c r="I1391" s="24">
        <v>3.6499999999999998E-2</v>
      </c>
      <c r="J1391" s="25"/>
      <c r="K1391" s="24">
        <v>5.54</v>
      </c>
      <c r="L1391" s="25"/>
    </row>
    <row r="1392" spans="1:12" ht="15" customHeight="1" x14ac:dyDescent="0.25">
      <c r="A1392" s="21" t="s">
        <v>125</v>
      </c>
      <c r="B1392" s="22"/>
      <c r="C1392" s="22"/>
      <c r="D1392" s="22"/>
      <c r="E1392" s="23"/>
      <c r="F1392" s="19" t="str">
        <f>"020508"</f>
        <v>020508</v>
      </c>
      <c r="G1392" s="19" t="s">
        <v>124</v>
      </c>
      <c r="H1392" s="20">
        <v>0.59</v>
      </c>
      <c r="I1392" s="24">
        <v>8.76</v>
      </c>
      <c r="J1392" s="25"/>
      <c r="K1392" s="24">
        <v>5.16</v>
      </c>
      <c r="L1392" s="25"/>
    </row>
    <row r="1393" spans="1:12" ht="15" customHeight="1" x14ac:dyDescent="0.25">
      <c r="A1393" s="15" t="s">
        <v>51</v>
      </c>
      <c r="B1393" s="16"/>
      <c r="C1393" s="16"/>
      <c r="D1393" s="16"/>
      <c r="E1393" s="16"/>
      <c r="F1393" s="16"/>
      <c r="G1393" s="16"/>
      <c r="H1393" s="16"/>
      <c r="I1393" s="16"/>
      <c r="J1393" s="17"/>
      <c r="K1393" s="15">
        <v>10.7</v>
      </c>
      <c r="L1393" s="17"/>
    </row>
    <row r="1394" spans="1:12" x14ac:dyDescent="0.25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</row>
    <row r="1395" spans="1:12" ht="15" customHeight="1" x14ac:dyDescent="0.25">
      <c r="A1395" s="10" t="s">
        <v>52</v>
      </c>
      <c r="B1395" s="11"/>
      <c r="C1395" s="11"/>
      <c r="D1395" s="11"/>
      <c r="E1395" s="12"/>
      <c r="F1395" s="8" t="s">
        <v>21</v>
      </c>
      <c r="G1395" s="8" t="s">
        <v>22</v>
      </c>
      <c r="H1395" s="9" t="s">
        <v>44</v>
      </c>
      <c r="I1395" s="13" t="s">
        <v>34</v>
      </c>
      <c r="J1395" s="14"/>
      <c r="K1395" s="13" t="s">
        <v>50</v>
      </c>
      <c r="L1395" s="14"/>
    </row>
    <row r="1396" spans="1:12" ht="15" customHeight="1" x14ac:dyDescent="0.25">
      <c r="A1396" s="15" t="s">
        <v>53</v>
      </c>
      <c r="B1396" s="16"/>
      <c r="C1396" s="16"/>
      <c r="D1396" s="16"/>
      <c r="E1396" s="16"/>
      <c r="F1396" s="16"/>
      <c r="G1396" s="16"/>
      <c r="H1396" s="16"/>
      <c r="I1396" s="16"/>
      <c r="J1396" s="17"/>
      <c r="K1396" s="15">
        <v>0</v>
      </c>
      <c r="L1396" s="17"/>
    </row>
    <row r="1397" spans="1:12" x14ac:dyDescent="0.25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</row>
    <row r="1398" spans="1:12" ht="15" customHeight="1" x14ac:dyDescent="0.25">
      <c r="A1398" s="10" t="s">
        <v>54</v>
      </c>
      <c r="B1398" s="11"/>
      <c r="C1398" s="12"/>
      <c r="D1398" s="8" t="s">
        <v>21</v>
      </c>
      <c r="E1398" s="8" t="s">
        <v>22</v>
      </c>
      <c r="F1398" s="9" t="s">
        <v>55</v>
      </c>
      <c r="G1398" s="8" t="s">
        <v>56</v>
      </c>
      <c r="H1398" s="8" t="s">
        <v>57</v>
      </c>
      <c r="I1398" s="8" t="s">
        <v>58</v>
      </c>
      <c r="J1398" s="9" t="s">
        <v>59</v>
      </c>
      <c r="K1398" s="9" t="s">
        <v>34</v>
      </c>
      <c r="L1398" s="9" t="s">
        <v>50</v>
      </c>
    </row>
    <row r="1399" spans="1:12" ht="15" customHeight="1" x14ac:dyDescent="0.25">
      <c r="A1399" s="15" t="s">
        <v>60</v>
      </c>
      <c r="B1399" s="16"/>
      <c r="C1399" s="16"/>
      <c r="D1399" s="16"/>
      <c r="E1399" s="16"/>
      <c r="F1399" s="16"/>
      <c r="G1399" s="16"/>
      <c r="H1399" s="16"/>
      <c r="I1399" s="16"/>
      <c r="J1399" s="17"/>
      <c r="K1399" s="15">
        <v>0</v>
      </c>
      <c r="L1399" s="17"/>
    </row>
    <row r="1400" spans="1:12" x14ac:dyDescent="0.25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</row>
    <row r="1401" spans="1:12" ht="15" customHeight="1" x14ac:dyDescent="0.25">
      <c r="A1401" s="27" t="s">
        <v>61</v>
      </c>
      <c r="B1401" s="27"/>
      <c r="C1401" s="27"/>
      <c r="D1401" s="27"/>
      <c r="E1401" s="27"/>
      <c r="F1401" s="27"/>
      <c r="G1401" s="27"/>
      <c r="H1401" s="27"/>
      <c r="I1401" s="27"/>
      <c r="J1401" s="27"/>
      <c r="K1401" s="27">
        <v>28.02</v>
      </c>
      <c r="L1401" s="27"/>
    </row>
    <row r="1402" spans="1:12" ht="15" customHeight="1" x14ac:dyDescent="0.25">
      <c r="A1402" s="27" t="s">
        <v>62</v>
      </c>
      <c r="B1402" s="27"/>
      <c r="C1402" s="27"/>
      <c r="D1402" s="27"/>
      <c r="E1402" s="27"/>
      <c r="F1402" s="27"/>
      <c r="G1402" s="27"/>
      <c r="H1402" s="27"/>
      <c r="I1402" s="27"/>
      <c r="J1402" s="27"/>
      <c r="K1402" s="27">
        <v>9.32</v>
      </c>
      <c r="L1402" s="27"/>
    </row>
    <row r="1403" spans="1:12" ht="15" customHeight="1" x14ac:dyDescent="0.25">
      <c r="A1403" s="27" t="s">
        <v>63</v>
      </c>
      <c r="B1403" s="27"/>
      <c r="C1403" s="27"/>
      <c r="D1403" s="27"/>
      <c r="E1403" s="27"/>
      <c r="F1403" s="27"/>
      <c r="G1403" s="27"/>
      <c r="H1403" s="27"/>
      <c r="I1403" s="27"/>
      <c r="J1403" s="27"/>
      <c r="K1403" s="27">
        <v>37.340000000000003</v>
      </c>
      <c r="L1403" s="27"/>
    </row>
    <row r="1404" spans="1:12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</row>
    <row r="1405" spans="1:12" ht="15" customHeight="1" x14ac:dyDescent="0.25">
      <c r="A1405" s="3" t="s">
        <v>8</v>
      </c>
      <c r="B1405" s="6" t="s">
        <v>9</v>
      </c>
      <c r="C1405" s="6"/>
      <c r="D1405" s="6"/>
      <c r="E1405" s="6"/>
      <c r="F1405" s="6"/>
      <c r="G1405" s="6"/>
      <c r="H1405" s="6"/>
      <c r="I1405" s="6"/>
      <c r="J1405" s="6"/>
      <c r="K1405" s="6"/>
      <c r="L1405" s="6"/>
    </row>
    <row r="1406" spans="1:12" ht="15" customHeight="1" x14ac:dyDescent="0.25">
      <c r="A1406" s="3" t="s">
        <v>10</v>
      </c>
      <c r="B1406" s="6" t="s">
        <v>190</v>
      </c>
      <c r="C1406" s="6"/>
      <c r="D1406" s="6"/>
      <c r="E1406" s="6"/>
      <c r="F1406" s="6"/>
      <c r="G1406" s="6"/>
      <c r="H1406" s="6"/>
      <c r="I1406" s="6"/>
      <c r="J1406" s="6"/>
      <c r="K1406" s="3" t="s">
        <v>12</v>
      </c>
      <c r="L1406" s="4" t="s">
        <v>13</v>
      </c>
    </row>
    <row r="1407" spans="1:12" ht="15" customHeight="1" x14ac:dyDescent="0.25">
      <c r="A1407" s="3" t="s">
        <v>14</v>
      </c>
      <c r="B1407" s="6" t="s">
        <v>88</v>
      </c>
      <c r="C1407" s="6"/>
      <c r="D1407" s="7" t="s">
        <v>16</v>
      </c>
      <c r="E1407" s="7"/>
      <c r="F1407" s="6" t="str">
        <f>"3CA5.000089"</f>
        <v>3CA5.000089</v>
      </c>
      <c r="G1407" s="6"/>
      <c r="H1407" s="3" t="s">
        <v>17</v>
      </c>
      <c r="I1407" s="6" t="s">
        <v>89</v>
      </c>
      <c r="J1407" s="6"/>
      <c r="K1407" s="3" t="s">
        <v>19</v>
      </c>
      <c r="L1407" s="5">
        <v>1</v>
      </c>
    </row>
    <row r="1408" spans="1:12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</row>
    <row r="1409" spans="1:12" ht="15" customHeight="1" x14ac:dyDescent="0.25">
      <c r="A1409" s="10" t="s">
        <v>20</v>
      </c>
      <c r="B1409" s="11"/>
      <c r="C1409" s="12"/>
      <c r="D1409" s="8" t="s">
        <v>21</v>
      </c>
      <c r="E1409" s="8" t="s">
        <v>22</v>
      </c>
      <c r="F1409" s="9" t="s">
        <v>23</v>
      </c>
      <c r="G1409" s="9" t="s">
        <v>24</v>
      </c>
      <c r="H1409" s="9" t="s">
        <v>25</v>
      </c>
      <c r="I1409" s="9" t="s">
        <v>26</v>
      </c>
      <c r="J1409" s="9" t="s">
        <v>27</v>
      </c>
      <c r="K1409" s="13" t="s">
        <v>28</v>
      </c>
      <c r="L1409" s="14"/>
    </row>
    <row r="1410" spans="1:12" ht="15" customHeight="1" x14ac:dyDescent="0.25">
      <c r="A1410" s="15" t="s">
        <v>29</v>
      </c>
      <c r="B1410" s="16"/>
      <c r="C1410" s="16"/>
      <c r="D1410" s="16"/>
      <c r="E1410" s="16"/>
      <c r="F1410" s="16"/>
      <c r="G1410" s="16"/>
      <c r="H1410" s="16"/>
      <c r="I1410" s="16"/>
      <c r="J1410" s="17"/>
      <c r="K1410" s="15">
        <v>0</v>
      </c>
      <c r="L1410" s="17"/>
    </row>
    <row r="1411" spans="1:12" x14ac:dyDescent="0.25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</row>
    <row r="1412" spans="1:12" ht="15" customHeight="1" x14ac:dyDescent="0.25">
      <c r="A1412" s="10" t="s">
        <v>30</v>
      </c>
      <c r="B1412" s="11"/>
      <c r="C1412" s="12"/>
      <c r="D1412" s="8" t="s">
        <v>21</v>
      </c>
      <c r="E1412" s="8" t="s">
        <v>22</v>
      </c>
      <c r="F1412" s="9" t="s">
        <v>31</v>
      </c>
      <c r="G1412" s="9" t="s">
        <v>32</v>
      </c>
      <c r="H1412" s="9" t="s">
        <v>33</v>
      </c>
      <c r="I1412" s="13" t="s">
        <v>34</v>
      </c>
      <c r="J1412" s="14"/>
      <c r="K1412" s="13" t="s">
        <v>28</v>
      </c>
      <c r="L1412" s="14"/>
    </row>
    <row r="1413" spans="1:12" ht="15" customHeight="1" x14ac:dyDescent="0.25">
      <c r="A1413" s="15" t="s">
        <v>38</v>
      </c>
      <c r="B1413" s="16"/>
      <c r="C1413" s="16"/>
      <c r="D1413" s="16"/>
      <c r="E1413" s="16"/>
      <c r="F1413" s="16"/>
      <c r="G1413" s="16"/>
      <c r="H1413" s="16"/>
      <c r="I1413" s="16"/>
      <c r="J1413" s="17"/>
      <c r="K1413" s="15">
        <v>0</v>
      </c>
      <c r="L1413" s="17"/>
    </row>
    <row r="1414" spans="1:12" x14ac:dyDescent="0.25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</row>
    <row r="1415" spans="1:12" ht="15" customHeight="1" x14ac:dyDescent="0.25">
      <c r="A1415" s="10" t="s">
        <v>39</v>
      </c>
      <c r="B1415" s="11"/>
      <c r="C1415" s="12"/>
      <c r="D1415" s="8" t="s">
        <v>21</v>
      </c>
      <c r="E1415" s="13" t="s">
        <v>40</v>
      </c>
      <c r="F1415" s="14"/>
      <c r="G1415" s="8" t="s">
        <v>41</v>
      </c>
      <c r="H1415" s="8" t="s">
        <v>42</v>
      </c>
      <c r="I1415" s="8" t="s">
        <v>43</v>
      </c>
      <c r="J1415" s="13" t="s">
        <v>44</v>
      </c>
      <c r="K1415" s="26"/>
      <c r="L1415" s="14"/>
    </row>
    <row r="1416" spans="1:12" ht="15" customHeight="1" x14ac:dyDescent="0.25">
      <c r="A1416" s="15" t="s">
        <v>45</v>
      </c>
      <c r="B1416" s="16"/>
      <c r="C1416" s="16"/>
      <c r="D1416" s="16"/>
      <c r="E1416" s="16"/>
      <c r="F1416" s="16"/>
      <c r="G1416" s="16"/>
      <c r="H1416" s="16"/>
      <c r="I1416" s="16"/>
      <c r="J1416" s="17"/>
      <c r="K1416" s="15">
        <v>0</v>
      </c>
      <c r="L1416" s="17"/>
    </row>
    <row r="1417" spans="1:12" x14ac:dyDescent="0.25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</row>
    <row r="1418" spans="1:12" ht="15" customHeight="1" x14ac:dyDescent="0.25">
      <c r="A1418" s="27" t="s">
        <v>46</v>
      </c>
      <c r="B1418" s="27"/>
      <c r="C1418" s="27"/>
      <c r="D1418" s="27"/>
      <c r="E1418" s="27"/>
      <c r="F1418" s="27"/>
      <c r="G1418" s="27"/>
      <c r="H1418" s="27"/>
      <c r="I1418" s="27"/>
      <c r="J1418" s="27"/>
      <c r="K1418" s="27">
        <v>0</v>
      </c>
      <c r="L1418" s="27"/>
    </row>
    <row r="1419" spans="1:12" ht="15" customHeight="1" x14ac:dyDescent="0.25">
      <c r="A1419" s="27" t="s">
        <v>47</v>
      </c>
      <c r="B1419" s="27"/>
      <c r="C1419" s="27"/>
      <c r="D1419" s="27"/>
      <c r="E1419" s="27"/>
      <c r="F1419" s="27"/>
      <c r="G1419" s="27"/>
      <c r="H1419" s="27"/>
      <c r="I1419" s="27"/>
      <c r="J1419" s="27"/>
      <c r="K1419" s="27">
        <v>1</v>
      </c>
      <c r="L1419" s="27"/>
    </row>
    <row r="1420" spans="1:12" ht="15" customHeight="1" x14ac:dyDescent="0.25">
      <c r="A1420" s="27" t="s">
        <v>48</v>
      </c>
      <c r="B1420" s="27"/>
      <c r="C1420" s="27"/>
      <c r="D1420" s="27"/>
      <c r="E1420" s="27"/>
      <c r="F1420" s="27"/>
      <c r="G1420" s="27"/>
      <c r="H1420" s="27"/>
      <c r="I1420" s="27"/>
      <c r="J1420" s="27"/>
      <c r="K1420" s="27">
        <v>0</v>
      </c>
      <c r="L1420" s="27"/>
    </row>
    <row r="1421" spans="1:12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</row>
    <row r="1422" spans="1:12" ht="15" customHeight="1" x14ac:dyDescent="0.25">
      <c r="A1422" s="10" t="s">
        <v>49</v>
      </c>
      <c r="B1422" s="11"/>
      <c r="C1422" s="11"/>
      <c r="D1422" s="11"/>
      <c r="E1422" s="12"/>
      <c r="F1422" s="8" t="s">
        <v>21</v>
      </c>
      <c r="G1422" s="8" t="s">
        <v>22</v>
      </c>
      <c r="H1422" s="9" t="s">
        <v>44</v>
      </c>
      <c r="I1422" s="13" t="s">
        <v>34</v>
      </c>
      <c r="J1422" s="14"/>
      <c r="K1422" s="13" t="s">
        <v>50</v>
      </c>
      <c r="L1422" s="14"/>
    </row>
    <row r="1423" spans="1:12" ht="15" customHeight="1" x14ac:dyDescent="0.25">
      <c r="A1423" s="15" t="s">
        <v>51</v>
      </c>
      <c r="B1423" s="16"/>
      <c r="C1423" s="16"/>
      <c r="D1423" s="16"/>
      <c r="E1423" s="16"/>
      <c r="F1423" s="16"/>
      <c r="G1423" s="16"/>
      <c r="H1423" s="16"/>
      <c r="I1423" s="16"/>
      <c r="J1423" s="17"/>
      <c r="K1423" s="15">
        <v>0</v>
      </c>
      <c r="L1423" s="17"/>
    </row>
    <row r="1424" spans="1:12" x14ac:dyDescent="0.25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</row>
    <row r="1425" spans="1:12" ht="15" customHeight="1" x14ac:dyDescent="0.25">
      <c r="A1425" s="10" t="s">
        <v>52</v>
      </c>
      <c r="B1425" s="11"/>
      <c r="C1425" s="11"/>
      <c r="D1425" s="11"/>
      <c r="E1425" s="12"/>
      <c r="F1425" s="8" t="s">
        <v>21</v>
      </c>
      <c r="G1425" s="8" t="s">
        <v>22</v>
      </c>
      <c r="H1425" s="9" t="s">
        <v>44</v>
      </c>
      <c r="I1425" s="13" t="s">
        <v>34</v>
      </c>
      <c r="J1425" s="14"/>
      <c r="K1425" s="13" t="s">
        <v>50</v>
      </c>
      <c r="L1425" s="14"/>
    </row>
    <row r="1426" spans="1:12" ht="30" customHeight="1" x14ac:dyDescent="0.25">
      <c r="A1426" s="21" t="s">
        <v>191</v>
      </c>
      <c r="B1426" s="22"/>
      <c r="C1426" s="22"/>
      <c r="D1426" s="22"/>
      <c r="E1426" s="23"/>
      <c r="F1426" s="19" t="s">
        <v>192</v>
      </c>
      <c r="G1426" s="19" t="s">
        <v>13</v>
      </c>
      <c r="H1426" s="20">
        <v>1</v>
      </c>
      <c r="I1426" s="24">
        <v>54.32</v>
      </c>
      <c r="J1426" s="25"/>
      <c r="K1426" s="24">
        <v>54.32</v>
      </c>
      <c r="L1426" s="25"/>
    </row>
    <row r="1427" spans="1:12" ht="15" customHeight="1" x14ac:dyDescent="0.25">
      <c r="A1427" s="15" t="s">
        <v>53</v>
      </c>
      <c r="B1427" s="16"/>
      <c r="C1427" s="16"/>
      <c r="D1427" s="16"/>
      <c r="E1427" s="16"/>
      <c r="F1427" s="16"/>
      <c r="G1427" s="16"/>
      <c r="H1427" s="16"/>
      <c r="I1427" s="16"/>
      <c r="J1427" s="17"/>
      <c r="K1427" s="15">
        <v>54.32</v>
      </c>
      <c r="L1427" s="17"/>
    </row>
    <row r="1428" spans="1:12" x14ac:dyDescent="0.25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</row>
    <row r="1429" spans="1:12" ht="15" customHeight="1" x14ac:dyDescent="0.25">
      <c r="A1429" s="10" t="s">
        <v>54</v>
      </c>
      <c r="B1429" s="11"/>
      <c r="C1429" s="12"/>
      <c r="D1429" s="8" t="s">
        <v>21</v>
      </c>
      <c r="E1429" s="8" t="s">
        <v>22</v>
      </c>
      <c r="F1429" s="9" t="s">
        <v>55</v>
      </c>
      <c r="G1429" s="8" t="s">
        <v>56</v>
      </c>
      <c r="H1429" s="8" t="s">
        <v>57</v>
      </c>
      <c r="I1429" s="8" t="s">
        <v>58</v>
      </c>
      <c r="J1429" s="9" t="s">
        <v>59</v>
      </c>
      <c r="K1429" s="9" t="s">
        <v>34</v>
      </c>
      <c r="L1429" s="9" t="s">
        <v>50</v>
      </c>
    </row>
    <row r="1430" spans="1:12" ht="15" customHeight="1" x14ac:dyDescent="0.25">
      <c r="A1430" s="15" t="s">
        <v>60</v>
      </c>
      <c r="B1430" s="16"/>
      <c r="C1430" s="16"/>
      <c r="D1430" s="16"/>
      <c r="E1430" s="16"/>
      <c r="F1430" s="16"/>
      <c r="G1430" s="16"/>
      <c r="H1430" s="16"/>
      <c r="I1430" s="16"/>
      <c r="J1430" s="17"/>
      <c r="K1430" s="15">
        <v>0</v>
      </c>
      <c r="L1430" s="17"/>
    </row>
    <row r="1431" spans="1:12" x14ac:dyDescent="0.25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</row>
    <row r="1432" spans="1:12" ht="15" customHeight="1" x14ac:dyDescent="0.25">
      <c r="A1432" s="27" t="s">
        <v>61</v>
      </c>
      <c r="B1432" s="27"/>
      <c r="C1432" s="27"/>
      <c r="D1432" s="27"/>
      <c r="E1432" s="27"/>
      <c r="F1432" s="27"/>
      <c r="G1432" s="27"/>
      <c r="H1432" s="27"/>
      <c r="I1432" s="27"/>
      <c r="J1432" s="27"/>
      <c r="K1432" s="27">
        <v>54.32</v>
      </c>
      <c r="L1432" s="27"/>
    </row>
    <row r="1433" spans="1:12" ht="15" customHeight="1" x14ac:dyDescent="0.25">
      <c r="A1433" s="27" t="s">
        <v>62</v>
      </c>
      <c r="B1433" s="27"/>
      <c r="C1433" s="27"/>
      <c r="D1433" s="27"/>
      <c r="E1433" s="27"/>
      <c r="F1433" s="27"/>
      <c r="G1433" s="27"/>
      <c r="H1433" s="27"/>
      <c r="I1433" s="27"/>
      <c r="J1433" s="27"/>
      <c r="K1433" s="27">
        <v>18.059999999999999</v>
      </c>
      <c r="L1433" s="27"/>
    </row>
    <row r="1434" spans="1:12" ht="15" customHeight="1" x14ac:dyDescent="0.25">
      <c r="A1434" s="27" t="s">
        <v>63</v>
      </c>
      <c r="B1434" s="27"/>
      <c r="C1434" s="27"/>
      <c r="D1434" s="27"/>
      <c r="E1434" s="27"/>
      <c r="F1434" s="27"/>
      <c r="G1434" s="27"/>
      <c r="H1434" s="27"/>
      <c r="I1434" s="27"/>
      <c r="J1434" s="27"/>
      <c r="K1434" s="27">
        <v>72.38</v>
      </c>
      <c r="L1434" s="27"/>
    </row>
    <row r="1435" spans="1:12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</row>
    <row r="1436" spans="1:12" ht="15" customHeight="1" x14ac:dyDescent="0.25">
      <c r="A1436" s="3" t="s">
        <v>8</v>
      </c>
      <c r="B1436" s="6" t="s">
        <v>9</v>
      </c>
      <c r="C1436" s="6"/>
      <c r="D1436" s="6"/>
      <c r="E1436" s="6"/>
      <c r="F1436" s="6"/>
      <c r="G1436" s="6"/>
      <c r="H1436" s="6"/>
      <c r="I1436" s="6"/>
      <c r="J1436" s="6"/>
      <c r="K1436" s="6"/>
      <c r="L1436" s="6"/>
    </row>
    <row r="1437" spans="1:12" ht="30" customHeight="1" x14ac:dyDescent="0.25">
      <c r="A1437" s="3" t="s">
        <v>10</v>
      </c>
      <c r="B1437" s="6" t="s">
        <v>193</v>
      </c>
      <c r="C1437" s="6"/>
      <c r="D1437" s="6"/>
      <c r="E1437" s="6"/>
      <c r="F1437" s="6"/>
      <c r="G1437" s="6"/>
      <c r="H1437" s="6"/>
      <c r="I1437" s="6"/>
      <c r="J1437" s="6"/>
      <c r="K1437" s="3" t="s">
        <v>12</v>
      </c>
      <c r="L1437" s="4" t="s">
        <v>13</v>
      </c>
    </row>
    <row r="1438" spans="1:12" ht="15" customHeight="1" x14ac:dyDescent="0.25">
      <c r="A1438" s="3" t="s">
        <v>14</v>
      </c>
      <c r="B1438" s="6" t="s">
        <v>15</v>
      </c>
      <c r="C1438" s="6"/>
      <c r="D1438" s="7" t="s">
        <v>16</v>
      </c>
      <c r="E1438" s="7"/>
      <c r="F1438" s="6" t="str">
        <f>"130233"</f>
        <v>130233</v>
      </c>
      <c r="G1438" s="6"/>
      <c r="H1438" s="3" t="s">
        <v>17</v>
      </c>
      <c r="I1438" s="6" t="s">
        <v>18</v>
      </c>
      <c r="J1438" s="6"/>
      <c r="K1438" s="3" t="s">
        <v>19</v>
      </c>
      <c r="L1438" s="5">
        <v>1</v>
      </c>
    </row>
    <row r="1439" spans="1:12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</row>
    <row r="1440" spans="1:12" ht="15" customHeight="1" x14ac:dyDescent="0.25">
      <c r="A1440" s="10" t="s">
        <v>20</v>
      </c>
      <c r="B1440" s="11"/>
      <c r="C1440" s="12"/>
      <c r="D1440" s="8" t="s">
        <v>21</v>
      </c>
      <c r="E1440" s="8" t="s">
        <v>22</v>
      </c>
      <c r="F1440" s="9" t="s">
        <v>23</v>
      </c>
      <c r="G1440" s="9" t="s">
        <v>24</v>
      </c>
      <c r="H1440" s="9" t="s">
        <v>25</v>
      </c>
      <c r="I1440" s="9" t="s">
        <v>26</v>
      </c>
      <c r="J1440" s="9" t="s">
        <v>27</v>
      </c>
      <c r="K1440" s="13" t="s">
        <v>28</v>
      </c>
      <c r="L1440" s="14"/>
    </row>
    <row r="1441" spans="1:12" ht="15" customHeight="1" x14ac:dyDescent="0.25">
      <c r="A1441" s="15" t="s">
        <v>29</v>
      </c>
      <c r="B1441" s="16"/>
      <c r="C1441" s="16"/>
      <c r="D1441" s="16"/>
      <c r="E1441" s="16"/>
      <c r="F1441" s="16"/>
      <c r="G1441" s="16"/>
      <c r="H1441" s="16"/>
      <c r="I1441" s="16"/>
      <c r="J1441" s="17"/>
      <c r="K1441" s="15">
        <v>0</v>
      </c>
      <c r="L1441" s="17"/>
    </row>
    <row r="1442" spans="1:12" x14ac:dyDescent="0.25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</row>
    <row r="1443" spans="1:12" ht="15" customHeight="1" x14ac:dyDescent="0.25">
      <c r="A1443" s="10" t="s">
        <v>30</v>
      </c>
      <c r="B1443" s="11"/>
      <c r="C1443" s="12"/>
      <c r="D1443" s="8" t="s">
        <v>21</v>
      </c>
      <c r="E1443" s="8" t="s">
        <v>22</v>
      </c>
      <c r="F1443" s="9" t="s">
        <v>31</v>
      </c>
      <c r="G1443" s="9" t="s">
        <v>32</v>
      </c>
      <c r="H1443" s="9" t="s">
        <v>33</v>
      </c>
      <c r="I1443" s="13" t="s">
        <v>34</v>
      </c>
      <c r="J1443" s="14"/>
      <c r="K1443" s="13" t="s">
        <v>28</v>
      </c>
      <c r="L1443" s="14"/>
    </row>
    <row r="1444" spans="1:12" ht="15" customHeight="1" x14ac:dyDescent="0.25">
      <c r="A1444" s="21" t="s">
        <v>194</v>
      </c>
      <c r="B1444" s="22"/>
      <c r="C1444" s="23"/>
      <c r="D1444" s="19" t="str">
        <f>"010128"</f>
        <v>010128</v>
      </c>
      <c r="E1444" s="19" t="s">
        <v>36</v>
      </c>
      <c r="F1444" s="20">
        <v>10.119999999999999</v>
      </c>
      <c r="G1444" s="20">
        <v>157.27000000000001</v>
      </c>
      <c r="H1444" s="20">
        <v>26.03</v>
      </c>
      <c r="I1444" s="24">
        <v>0.9</v>
      </c>
      <c r="J1444" s="25"/>
      <c r="K1444" s="24">
        <v>23.42</v>
      </c>
      <c r="L1444" s="25"/>
    </row>
    <row r="1445" spans="1:12" ht="15" customHeight="1" x14ac:dyDescent="0.25">
      <c r="A1445" s="21" t="s">
        <v>37</v>
      </c>
      <c r="B1445" s="22"/>
      <c r="C1445" s="23"/>
      <c r="D1445" s="19" t="str">
        <f>"010146"</f>
        <v>010146</v>
      </c>
      <c r="E1445" s="19" t="s">
        <v>36</v>
      </c>
      <c r="F1445" s="20">
        <v>7.65</v>
      </c>
      <c r="G1445" s="20">
        <v>157.27000000000001</v>
      </c>
      <c r="H1445" s="20">
        <v>19.68</v>
      </c>
      <c r="I1445" s="24">
        <v>0.9</v>
      </c>
      <c r="J1445" s="25"/>
      <c r="K1445" s="24">
        <v>17.71</v>
      </c>
      <c r="L1445" s="25"/>
    </row>
    <row r="1446" spans="1:12" ht="15" customHeight="1" x14ac:dyDescent="0.25">
      <c r="A1446" s="15" t="s">
        <v>38</v>
      </c>
      <c r="B1446" s="16"/>
      <c r="C1446" s="16"/>
      <c r="D1446" s="16"/>
      <c r="E1446" s="16"/>
      <c r="F1446" s="16"/>
      <c r="G1446" s="16"/>
      <c r="H1446" s="16"/>
      <c r="I1446" s="16"/>
      <c r="J1446" s="17"/>
      <c r="K1446" s="15">
        <v>41.13</v>
      </c>
      <c r="L1446" s="17"/>
    </row>
    <row r="1447" spans="1:12" x14ac:dyDescent="0.25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</row>
    <row r="1448" spans="1:12" ht="15" customHeight="1" x14ac:dyDescent="0.25">
      <c r="A1448" s="10" t="s">
        <v>39</v>
      </c>
      <c r="B1448" s="11"/>
      <c r="C1448" s="12"/>
      <c r="D1448" s="8" t="s">
        <v>21</v>
      </c>
      <c r="E1448" s="13" t="s">
        <v>40</v>
      </c>
      <c r="F1448" s="14"/>
      <c r="G1448" s="8" t="s">
        <v>41</v>
      </c>
      <c r="H1448" s="8" t="s">
        <v>42</v>
      </c>
      <c r="I1448" s="8" t="s">
        <v>43</v>
      </c>
      <c r="J1448" s="13" t="s">
        <v>44</v>
      </c>
      <c r="K1448" s="26"/>
      <c r="L1448" s="14"/>
    </row>
    <row r="1449" spans="1:12" ht="15" customHeight="1" x14ac:dyDescent="0.25">
      <c r="A1449" s="15" t="s">
        <v>45</v>
      </c>
      <c r="B1449" s="16"/>
      <c r="C1449" s="16"/>
      <c r="D1449" s="16"/>
      <c r="E1449" s="16"/>
      <c r="F1449" s="16"/>
      <c r="G1449" s="16"/>
      <c r="H1449" s="16"/>
      <c r="I1449" s="16"/>
      <c r="J1449" s="17"/>
      <c r="K1449" s="15">
        <v>0</v>
      </c>
      <c r="L1449" s="17"/>
    </row>
    <row r="1450" spans="1:12" x14ac:dyDescent="0.25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</row>
    <row r="1451" spans="1:12" ht="15" customHeight="1" x14ac:dyDescent="0.25">
      <c r="A1451" s="27" t="s">
        <v>46</v>
      </c>
      <c r="B1451" s="27"/>
      <c r="C1451" s="27"/>
      <c r="D1451" s="27"/>
      <c r="E1451" s="27"/>
      <c r="F1451" s="27"/>
      <c r="G1451" s="27"/>
      <c r="H1451" s="27"/>
      <c r="I1451" s="27"/>
      <c r="J1451" s="27"/>
      <c r="K1451" s="27">
        <v>41.13</v>
      </c>
      <c r="L1451" s="27"/>
    </row>
    <row r="1452" spans="1:12" ht="15" customHeight="1" x14ac:dyDescent="0.25">
      <c r="A1452" s="27" t="s">
        <v>47</v>
      </c>
      <c r="B1452" s="27"/>
      <c r="C1452" s="27"/>
      <c r="D1452" s="27"/>
      <c r="E1452" s="27"/>
      <c r="F1452" s="27"/>
      <c r="G1452" s="27"/>
      <c r="H1452" s="27"/>
      <c r="I1452" s="27"/>
      <c r="J1452" s="27"/>
      <c r="K1452" s="27">
        <v>1</v>
      </c>
      <c r="L1452" s="27"/>
    </row>
    <row r="1453" spans="1:12" ht="15" customHeight="1" x14ac:dyDescent="0.25">
      <c r="A1453" s="27" t="s">
        <v>48</v>
      </c>
      <c r="B1453" s="27"/>
      <c r="C1453" s="27"/>
      <c r="D1453" s="27"/>
      <c r="E1453" s="27"/>
      <c r="F1453" s="27"/>
      <c r="G1453" s="27"/>
      <c r="H1453" s="27"/>
      <c r="I1453" s="27"/>
      <c r="J1453" s="27"/>
      <c r="K1453" s="27">
        <v>41.13</v>
      </c>
      <c r="L1453" s="27"/>
    </row>
    <row r="1454" spans="1:12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</row>
    <row r="1455" spans="1:12" ht="15" customHeight="1" x14ac:dyDescent="0.25">
      <c r="A1455" s="10" t="s">
        <v>49</v>
      </c>
      <c r="B1455" s="11"/>
      <c r="C1455" s="11"/>
      <c r="D1455" s="11"/>
      <c r="E1455" s="12"/>
      <c r="F1455" s="8" t="s">
        <v>21</v>
      </c>
      <c r="G1455" s="8" t="s">
        <v>22</v>
      </c>
      <c r="H1455" s="9" t="s">
        <v>44</v>
      </c>
      <c r="I1455" s="13" t="s">
        <v>34</v>
      </c>
      <c r="J1455" s="14"/>
      <c r="K1455" s="13" t="s">
        <v>50</v>
      </c>
      <c r="L1455" s="14"/>
    </row>
    <row r="1456" spans="1:12" ht="15" customHeight="1" x14ac:dyDescent="0.25">
      <c r="A1456" s="21" t="s">
        <v>195</v>
      </c>
      <c r="B1456" s="22"/>
      <c r="C1456" s="22"/>
      <c r="D1456" s="22"/>
      <c r="E1456" s="23"/>
      <c r="F1456" s="19" t="str">
        <f>"020468"</f>
        <v>020468</v>
      </c>
      <c r="G1456" s="19" t="s">
        <v>124</v>
      </c>
      <c r="H1456" s="20">
        <v>16.03</v>
      </c>
      <c r="I1456" s="24">
        <v>0.224</v>
      </c>
      <c r="J1456" s="25"/>
      <c r="K1456" s="24">
        <v>3.59</v>
      </c>
      <c r="L1456" s="25"/>
    </row>
    <row r="1457" spans="1:12" ht="15" customHeight="1" x14ac:dyDescent="0.25">
      <c r="A1457" s="21" t="s">
        <v>196</v>
      </c>
      <c r="B1457" s="22"/>
      <c r="C1457" s="22"/>
      <c r="D1457" s="22"/>
      <c r="E1457" s="23"/>
      <c r="F1457" s="19" t="str">
        <f>"020732"</f>
        <v>020732</v>
      </c>
      <c r="G1457" s="19" t="s">
        <v>124</v>
      </c>
      <c r="H1457" s="20">
        <v>1.9</v>
      </c>
      <c r="I1457" s="24">
        <v>8</v>
      </c>
      <c r="J1457" s="25"/>
      <c r="K1457" s="24">
        <v>15.2</v>
      </c>
      <c r="L1457" s="25"/>
    </row>
    <row r="1458" spans="1:12" ht="15" customHeight="1" x14ac:dyDescent="0.25">
      <c r="A1458" s="21" t="s">
        <v>197</v>
      </c>
      <c r="B1458" s="22"/>
      <c r="C1458" s="22"/>
      <c r="D1458" s="22"/>
      <c r="E1458" s="23"/>
      <c r="F1458" s="19" t="str">
        <f>"150301"</f>
        <v>150301</v>
      </c>
      <c r="G1458" s="19" t="s">
        <v>13</v>
      </c>
      <c r="H1458" s="20">
        <v>70.48</v>
      </c>
      <c r="I1458" s="24">
        <v>1.02</v>
      </c>
      <c r="J1458" s="25"/>
      <c r="K1458" s="24">
        <v>71.88</v>
      </c>
      <c r="L1458" s="25"/>
    </row>
    <row r="1459" spans="1:12" ht="15" customHeight="1" x14ac:dyDescent="0.25">
      <c r="A1459" s="15" t="s">
        <v>51</v>
      </c>
      <c r="B1459" s="16"/>
      <c r="C1459" s="16"/>
      <c r="D1459" s="16"/>
      <c r="E1459" s="16"/>
      <c r="F1459" s="16"/>
      <c r="G1459" s="16"/>
      <c r="H1459" s="16"/>
      <c r="I1459" s="16"/>
      <c r="J1459" s="17"/>
      <c r="K1459" s="15">
        <v>90.67</v>
      </c>
      <c r="L1459" s="17"/>
    </row>
    <row r="1460" spans="1:12" x14ac:dyDescent="0.25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</row>
    <row r="1461" spans="1:12" ht="15" customHeight="1" x14ac:dyDescent="0.25">
      <c r="A1461" s="10" t="s">
        <v>52</v>
      </c>
      <c r="B1461" s="11"/>
      <c r="C1461" s="11"/>
      <c r="D1461" s="11"/>
      <c r="E1461" s="12"/>
      <c r="F1461" s="8" t="s">
        <v>21</v>
      </c>
      <c r="G1461" s="8" t="s">
        <v>22</v>
      </c>
      <c r="H1461" s="9" t="s">
        <v>44</v>
      </c>
      <c r="I1461" s="13" t="s">
        <v>34</v>
      </c>
      <c r="J1461" s="14"/>
      <c r="K1461" s="13" t="s">
        <v>50</v>
      </c>
      <c r="L1461" s="14"/>
    </row>
    <row r="1462" spans="1:12" ht="15" customHeight="1" x14ac:dyDescent="0.25">
      <c r="A1462" s="15" t="s">
        <v>53</v>
      </c>
      <c r="B1462" s="16"/>
      <c r="C1462" s="16"/>
      <c r="D1462" s="16"/>
      <c r="E1462" s="16"/>
      <c r="F1462" s="16"/>
      <c r="G1462" s="16"/>
      <c r="H1462" s="16"/>
      <c r="I1462" s="16"/>
      <c r="J1462" s="17"/>
      <c r="K1462" s="15">
        <v>0</v>
      </c>
      <c r="L1462" s="17"/>
    </row>
    <row r="1463" spans="1:12" x14ac:dyDescent="0.25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</row>
    <row r="1464" spans="1:12" ht="15" customHeight="1" x14ac:dyDescent="0.25">
      <c r="A1464" s="10" t="s">
        <v>54</v>
      </c>
      <c r="B1464" s="11"/>
      <c r="C1464" s="12"/>
      <c r="D1464" s="8" t="s">
        <v>21</v>
      </c>
      <c r="E1464" s="8" t="s">
        <v>22</v>
      </c>
      <c r="F1464" s="9" t="s">
        <v>55</v>
      </c>
      <c r="G1464" s="8" t="s">
        <v>56</v>
      </c>
      <c r="H1464" s="8" t="s">
        <v>57</v>
      </c>
      <c r="I1464" s="8" t="s">
        <v>58</v>
      </c>
      <c r="J1464" s="9" t="s">
        <v>59</v>
      </c>
      <c r="K1464" s="9" t="s">
        <v>34</v>
      </c>
      <c r="L1464" s="9" t="s">
        <v>50</v>
      </c>
    </row>
    <row r="1465" spans="1:12" ht="15" customHeight="1" x14ac:dyDescent="0.25">
      <c r="A1465" s="15" t="s">
        <v>60</v>
      </c>
      <c r="B1465" s="16"/>
      <c r="C1465" s="16"/>
      <c r="D1465" s="16"/>
      <c r="E1465" s="16"/>
      <c r="F1465" s="16"/>
      <c r="G1465" s="16"/>
      <c r="H1465" s="16"/>
      <c r="I1465" s="16"/>
      <c r="J1465" s="17"/>
      <c r="K1465" s="15">
        <v>0</v>
      </c>
      <c r="L1465" s="17"/>
    </row>
    <row r="1466" spans="1:12" x14ac:dyDescent="0.25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</row>
    <row r="1467" spans="1:12" ht="15" customHeight="1" x14ac:dyDescent="0.25">
      <c r="A1467" s="27" t="s">
        <v>61</v>
      </c>
      <c r="B1467" s="27"/>
      <c r="C1467" s="27"/>
      <c r="D1467" s="27"/>
      <c r="E1467" s="27"/>
      <c r="F1467" s="27"/>
      <c r="G1467" s="27"/>
      <c r="H1467" s="27"/>
      <c r="I1467" s="27"/>
      <c r="J1467" s="27"/>
      <c r="K1467" s="27">
        <v>131.80000000000001</v>
      </c>
      <c r="L1467" s="27"/>
    </row>
    <row r="1468" spans="1:12" ht="15" customHeight="1" x14ac:dyDescent="0.25">
      <c r="A1468" s="27" t="s">
        <v>62</v>
      </c>
      <c r="B1468" s="27"/>
      <c r="C1468" s="27"/>
      <c r="D1468" s="27"/>
      <c r="E1468" s="27"/>
      <c r="F1468" s="27"/>
      <c r="G1468" s="27"/>
      <c r="H1468" s="27"/>
      <c r="I1468" s="27"/>
      <c r="J1468" s="27"/>
      <c r="K1468" s="27">
        <v>43.82</v>
      </c>
      <c r="L1468" s="27"/>
    </row>
    <row r="1469" spans="1:12" ht="15" customHeight="1" x14ac:dyDescent="0.25">
      <c r="A1469" s="27" t="s">
        <v>63</v>
      </c>
      <c r="B1469" s="27"/>
      <c r="C1469" s="27"/>
      <c r="D1469" s="27"/>
      <c r="E1469" s="27"/>
      <c r="F1469" s="27"/>
      <c r="G1469" s="27"/>
      <c r="H1469" s="27"/>
      <c r="I1469" s="27"/>
      <c r="J1469" s="27"/>
      <c r="K1469" s="27">
        <v>175.62</v>
      </c>
      <c r="L1469" s="27"/>
    </row>
    <row r="1470" spans="1:12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</row>
    <row r="1471" spans="1:12" ht="15" customHeight="1" x14ac:dyDescent="0.25">
      <c r="A1471" s="3" t="s">
        <v>8</v>
      </c>
      <c r="B1471" s="6" t="s">
        <v>9</v>
      </c>
      <c r="C1471" s="6"/>
      <c r="D1471" s="6"/>
      <c r="E1471" s="6"/>
      <c r="F1471" s="6"/>
      <c r="G1471" s="6"/>
      <c r="H1471" s="6"/>
      <c r="I1471" s="6"/>
      <c r="J1471" s="6"/>
      <c r="K1471" s="6"/>
      <c r="L1471" s="6"/>
    </row>
    <row r="1472" spans="1:12" ht="15" customHeight="1" x14ac:dyDescent="0.25">
      <c r="A1472" s="3" t="s">
        <v>10</v>
      </c>
      <c r="B1472" s="6" t="s">
        <v>198</v>
      </c>
      <c r="C1472" s="6"/>
      <c r="D1472" s="6"/>
      <c r="E1472" s="6"/>
      <c r="F1472" s="6"/>
      <c r="G1472" s="6"/>
      <c r="H1472" s="6"/>
      <c r="I1472" s="6"/>
      <c r="J1472" s="6"/>
      <c r="K1472" s="3" t="s">
        <v>12</v>
      </c>
      <c r="L1472" s="4" t="s">
        <v>13</v>
      </c>
    </row>
    <row r="1473" spans="1:12" ht="15" customHeight="1" x14ac:dyDescent="0.25">
      <c r="A1473" s="3" t="s">
        <v>14</v>
      </c>
      <c r="B1473" s="6" t="s">
        <v>15</v>
      </c>
      <c r="C1473" s="6"/>
      <c r="D1473" s="7" t="s">
        <v>16</v>
      </c>
      <c r="E1473" s="7"/>
      <c r="F1473" s="6" t="str">
        <f>"130209"</f>
        <v>130209</v>
      </c>
      <c r="G1473" s="6"/>
      <c r="H1473" s="3" t="s">
        <v>17</v>
      </c>
      <c r="I1473" s="6" t="s">
        <v>18</v>
      </c>
      <c r="J1473" s="6"/>
      <c r="K1473" s="3" t="s">
        <v>19</v>
      </c>
      <c r="L1473" s="5">
        <v>1</v>
      </c>
    </row>
    <row r="1474" spans="1:12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</row>
    <row r="1475" spans="1:12" ht="15" customHeight="1" x14ac:dyDescent="0.25">
      <c r="A1475" s="10" t="s">
        <v>20</v>
      </c>
      <c r="B1475" s="11"/>
      <c r="C1475" s="12"/>
      <c r="D1475" s="8" t="s">
        <v>21</v>
      </c>
      <c r="E1475" s="8" t="s">
        <v>22</v>
      </c>
      <c r="F1475" s="9" t="s">
        <v>23</v>
      </c>
      <c r="G1475" s="9" t="s">
        <v>24</v>
      </c>
      <c r="H1475" s="9" t="s">
        <v>25</v>
      </c>
      <c r="I1475" s="9" t="s">
        <v>26</v>
      </c>
      <c r="J1475" s="9" t="s">
        <v>27</v>
      </c>
      <c r="K1475" s="13" t="s">
        <v>28</v>
      </c>
      <c r="L1475" s="14"/>
    </row>
    <row r="1476" spans="1:12" ht="15" customHeight="1" x14ac:dyDescent="0.25">
      <c r="A1476" s="15" t="s">
        <v>29</v>
      </c>
      <c r="B1476" s="16"/>
      <c r="C1476" s="16"/>
      <c r="D1476" s="16"/>
      <c r="E1476" s="16"/>
      <c r="F1476" s="16"/>
      <c r="G1476" s="16"/>
      <c r="H1476" s="16"/>
      <c r="I1476" s="16"/>
      <c r="J1476" s="17"/>
      <c r="K1476" s="15">
        <v>0</v>
      </c>
      <c r="L1476" s="17"/>
    </row>
    <row r="1477" spans="1:12" x14ac:dyDescent="0.25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</row>
    <row r="1478" spans="1:12" ht="15" customHeight="1" x14ac:dyDescent="0.25">
      <c r="A1478" s="10" t="s">
        <v>30</v>
      </c>
      <c r="B1478" s="11"/>
      <c r="C1478" s="12"/>
      <c r="D1478" s="8" t="s">
        <v>21</v>
      </c>
      <c r="E1478" s="8" t="s">
        <v>22</v>
      </c>
      <c r="F1478" s="9" t="s">
        <v>31</v>
      </c>
      <c r="G1478" s="9" t="s">
        <v>32</v>
      </c>
      <c r="H1478" s="9" t="s">
        <v>33</v>
      </c>
      <c r="I1478" s="13" t="s">
        <v>34</v>
      </c>
      <c r="J1478" s="14"/>
      <c r="K1478" s="13" t="s">
        <v>28</v>
      </c>
      <c r="L1478" s="14"/>
    </row>
    <row r="1479" spans="1:12" ht="15" customHeight="1" x14ac:dyDescent="0.25">
      <c r="A1479" s="21" t="s">
        <v>69</v>
      </c>
      <c r="B1479" s="22"/>
      <c r="C1479" s="23"/>
      <c r="D1479" s="19" t="str">
        <f>"010139"</f>
        <v>010139</v>
      </c>
      <c r="E1479" s="19" t="s">
        <v>36</v>
      </c>
      <c r="F1479" s="20">
        <v>10.119999999999999</v>
      </c>
      <c r="G1479" s="20">
        <v>157.27000000000001</v>
      </c>
      <c r="H1479" s="20">
        <v>26.03</v>
      </c>
      <c r="I1479" s="24">
        <v>1</v>
      </c>
      <c r="J1479" s="25"/>
      <c r="K1479" s="24">
        <v>26.03</v>
      </c>
      <c r="L1479" s="25"/>
    </row>
    <row r="1480" spans="1:12" ht="15" customHeight="1" x14ac:dyDescent="0.25">
      <c r="A1480" s="21" t="s">
        <v>37</v>
      </c>
      <c r="B1480" s="22"/>
      <c r="C1480" s="23"/>
      <c r="D1480" s="19" t="str">
        <f>"010146"</f>
        <v>010146</v>
      </c>
      <c r="E1480" s="19" t="s">
        <v>36</v>
      </c>
      <c r="F1480" s="20">
        <v>7.65</v>
      </c>
      <c r="G1480" s="20">
        <v>157.27000000000001</v>
      </c>
      <c r="H1480" s="20">
        <v>19.68</v>
      </c>
      <c r="I1480" s="24">
        <v>1.3</v>
      </c>
      <c r="J1480" s="25"/>
      <c r="K1480" s="24">
        <v>25.58</v>
      </c>
      <c r="L1480" s="25"/>
    </row>
    <row r="1481" spans="1:12" ht="15" customHeight="1" x14ac:dyDescent="0.25">
      <c r="A1481" s="15" t="s">
        <v>38</v>
      </c>
      <c r="B1481" s="16"/>
      <c r="C1481" s="16"/>
      <c r="D1481" s="16"/>
      <c r="E1481" s="16"/>
      <c r="F1481" s="16"/>
      <c r="G1481" s="16"/>
      <c r="H1481" s="16"/>
      <c r="I1481" s="16"/>
      <c r="J1481" s="17"/>
      <c r="K1481" s="15">
        <v>51.61</v>
      </c>
      <c r="L1481" s="17"/>
    </row>
    <row r="1482" spans="1:12" x14ac:dyDescent="0.25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</row>
    <row r="1483" spans="1:12" ht="15" customHeight="1" x14ac:dyDescent="0.25">
      <c r="A1483" s="10" t="s">
        <v>39</v>
      </c>
      <c r="B1483" s="11"/>
      <c r="C1483" s="12"/>
      <c r="D1483" s="8" t="s">
        <v>21</v>
      </c>
      <c r="E1483" s="13" t="s">
        <v>40</v>
      </c>
      <c r="F1483" s="14"/>
      <c r="G1483" s="8" t="s">
        <v>41</v>
      </c>
      <c r="H1483" s="8" t="s">
        <v>42</v>
      </c>
      <c r="I1483" s="8" t="s">
        <v>43</v>
      </c>
      <c r="J1483" s="13" t="s">
        <v>44</v>
      </c>
      <c r="K1483" s="26"/>
      <c r="L1483" s="14"/>
    </row>
    <row r="1484" spans="1:12" ht="15" customHeight="1" x14ac:dyDescent="0.25">
      <c r="A1484" s="15" t="s">
        <v>45</v>
      </c>
      <c r="B1484" s="16"/>
      <c r="C1484" s="16"/>
      <c r="D1484" s="16"/>
      <c r="E1484" s="16"/>
      <c r="F1484" s="16"/>
      <c r="G1484" s="16"/>
      <c r="H1484" s="16"/>
      <c r="I1484" s="16"/>
      <c r="J1484" s="17"/>
      <c r="K1484" s="15">
        <v>0</v>
      </c>
      <c r="L1484" s="17"/>
    </row>
    <row r="1485" spans="1:12" x14ac:dyDescent="0.25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</row>
    <row r="1486" spans="1:12" ht="15" customHeight="1" x14ac:dyDescent="0.25">
      <c r="A1486" s="27" t="s">
        <v>46</v>
      </c>
      <c r="B1486" s="27"/>
      <c r="C1486" s="27"/>
      <c r="D1486" s="27"/>
      <c r="E1486" s="27"/>
      <c r="F1486" s="27"/>
      <c r="G1486" s="27"/>
      <c r="H1486" s="27"/>
      <c r="I1486" s="27"/>
      <c r="J1486" s="27"/>
      <c r="K1486" s="27">
        <v>51.61</v>
      </c>
      <c r="L1486" s="27"/>
    </row>
    <row r="1487" spans="1:12" ht="15" customHeight="1" x14ac:dyDescent="0.25">
      <c r="A1487" s="27" t="s">
        <v>47</v>
      </c>
      <c r="B1487" s="27"/>
      <c r="C1487" s="27"/>
      <c r="D1487" s="27"/>
      <c r="E1487" s="27"/>
      <c r="F1487" s="27"/>
      <c r="G1487" s="27"/>
      <c r="H1487" s="27"/>
      <c r="I1487" s="27"/>
      <c r="J1487" s="27"/>
      <c r="K1487" s="27">
        <v>1</v>
      </c>
      <c r="L1487" s="27"/>
    </row>
    <row r="1488" spans="1:12" ht="15" customHeight="1" x14ac:dyDescent="0.25">
      <c r="A1488" s="27" t="s">
        <v>48</v>
      </c>
      <c r="B1488" s="27"/>
      <c r="C1488" s="27"/>
      <c r="D1488" s="27"/>
      <c r="E1488" s="27"/>
      <c r="F1488" s="27"/>
      <c r="G1488" s="27"/>
      <c r="H1488" s="27"/>
      <c r="I1488" s="27"/>
      <c r="J1488" s="27"/>
      <c r="K1488" s="27">
        <v>51.61</v>
      </c>
      <c r="L1488" s="27"/>
    </row>
    <row r="1489" spans="1:12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</row>
    <row r="1490" spans="1:12" ht="15" customHeight="1" x14ac:dyDescent="0.25">
      <c r="A1490" s="10" t="s">
        <v>49</v>
      </c>
      <c r="B1490" s="11"/>
      <c r="C1490" s="11"/>
      <c r="D1490" s="11"/>
      <c r="E1490" s="12"/>
      <c r="F1490" s="8" t="s">
        <v>21</v>
      </c>
      <c r="G1490" s="8" t="s">
        <v>22</v>
      </c>
      <c r="H1490" s="9" t="s">
        <v>44</v>
      </c>
      <c r="I1490" s="13" t="s">
        <v>34</v>
      </c>
      <c r="J1490" s="14"/>
      <c r="K1490" s="13" t="s">
        <v>50</v>
      </c>
      <c r="L1490" s="14"/>
    </row>
    <row r="1491" spans="1:12" ht="15" customHeight="1" x14ac:dyDescent="0.25">
      <c r="A1491" s="21" t="s">
        <v>122</v>
      </c>
      <c r="B1491" s="22"/>
      <c r="C1491" s="22"/>
      <c r="D1491" s="22"/>
      <c r="E1491" s="23"/>
      <c r="F1491" s="19" t="str">
        <f>"020503"</f>
        <v>020503</v>
      </c>
      <c r="G1491" s="19" t="s">
        <v>105</v>
      </c>
      <c r="H1491" s="20">
        <v>152</v>
      </c>
      <c r="I1491" s="24">
        <v>3.6479999999999999E-2</v>
      </c>
      <c r="J1491" s="25"/>
      <c r="K1491" s="24">
        <v>5.54</v>
      </c>
      <c r="L1491" s="25"/>
    </row>
    <row r="1492" spans="1:12" ht="15" customHeight="1" x14ac:dyDescent="0.25">
      <c r="A1492" s="21" t="s">
        <v>125</v>
      </c>
      <c r="B1492" s="22"/>
      <c r="C1492" s="22"/>
      <c r="D1492" s="22"/>
      <c r="E1492" s="23"/>
      <c r="F1492" s="19" t="str">
        <f>"020508"</f>
        <v>020508</v>
      </c>
      <c r="G1492" s="19" t="s">
        <v>124</v>
      </c>
      <c r="H1492" s="20">
        <v>0.59</v>
      </c>
      <c r="I1492" s="24">
        <v>14.58</v>
      </c>
      <c r="J1492" s="25"/>
      <c r="K1492" s="24">
        <v>8.6</v>
      </c>
      <c r="L1492" s="25"/>
    </row>
    <row r="1493" spans="1:12" ht="15" customHeight="1" x14ac:dyDescent="0.25">
      <c r="A1493" s="21" t="s">
        <v>199</v>
      </c>
      <c r="B1493" s="22"/>
      <c r="C1493" s="22"/>
      <c r="D1493" s="22"/>
      <c r="E1493" s="23"/>
      <c r="F1493" s="19" t="str">
        <f>"021018"</f>
        <v>021018</v>
      </c>
      <c r="G1493" s="19" t="s">
        <v>99</v>
      </c>
      <c r="H1493" s="20">
        <v>15.2</v>
      </c>
      <c r="I1493" s="24">
        <v>2</v>
      </c>
      <c r="J1493" s="25"/>
      <c r="K1493" s="24">
        <v>30.4</v>
      </c>
      <c r="L1493" s="25"/>
    </row>
    <row r="1494" spans="1:12" ht="15" customHeight="1" x14ac:dyDescent="0.25">
      <c r="A1494" s="15" t="s">
        <v>51</v>
      </c>
      <c r="B1494" s="16"/>
      <c r="C1494" s="16"/>
      <c r="D1494" s="16"/>
      <c r="E1494" s="16"/>
      <c r="F1494" s="16"/>
      <c r="G1494" s="16"/>
      <c r="H1494" s="16"/>
      <c r="I1494" s="16"/>
      <c r="J1494" s="17"/>
      <c r="K1494" s="15">
        <v>44.54</v>
      </c>
      <c r="L1494" s="17"/>
    </row>
    <row r="1495" spans="1:12" x14ac:dyDescent="0.25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</row>
    <row r="1496" spans="1:12" ht="15" customHeight="1" x14ac:dyDescent="0.25">
      <c r="A1496" s="10" t="s">
        <v>52</v>
      </c>
      <c r="B1496" s="11"/>
      <c r="C1496" s="11"/>
      <c r="D1496" s="11"/>
      <c r="E1496" s="12"/>
      <c r="F1496" s="8" t="s">
        <v>21</v>
      </c>
      <c r="G1496" s="8" t="s">
        <v>22</v>
      </c>
      <c r="H1496" s="9" t="s">
        <v>44</v>
      </c>
      <c r="I1496" s="13" t="s">
        <v>34</v>
      </c>
      <c r="J1496" s="14"/>
      <c r="K1496" s="13" t="s">
        <v>50</v>
      </c>
      <c r="L1496" s="14"/>
    </row>
    <row r="1497" spans="1:12" ht="15" customHeight="1" x14ac:dyDescent="0.25">
      <c r="A1497" s="15" t="s">
        <v>53</v>
      </c>
      <c r="B1497" s="16"/>
      <c r="C1497" s="16"/>
      <c r="D1497" s="16"/>
      <c r="E1497" s="16"/>
      <c r="F1497" s="16"/>
      <c r="G1497" s="16"/>
      <c r="H1497" s="16"/>
      <c r="I1497" s="16"/>
      <c r="J1497" s="17"/>
      <c r="K1497" s="15">
        <v>0</v>
      </c>
      <c r="L1497" s="17"/>
    </row>
    <row r="1498" spans="1:12" x14ac:dyDescent="0.25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</row>
    <row r="1499" spans="1:12" ht="15" customHeight="1" x14ac:dyDescent="0.25">
      <c r="A1499" s="10" t="s">
        <v>54</v>
      </c>
      <c r="B1499" s="11"/>
      <c r="C1499" s="12"/>
      <c r="D1499" s="8" t="s">
        <v>21</v>
      </c>
      <c r="E1499" s="8" t="s">
        <v>22</v>
      </c>
      <c r="F1499" s="9" t="s">
        <v>55</v>
      </c>
      <c r="G1499" s="8" t="s">
        <v>56</v>
      </c>
      <c r="H1499" s="8" t="s">
        <v>57</v>
      </c>
      <c r="I1499" s="8" t="s">
        <v>58</v>
      </c>
      <c r="J1499" s="9" t="s">
        <v>59</v>
      </c>
      <c r="K1499" s="9" t="s">
        <v>34</v>
      </c>
      <c r="L1499" s="9" t="s">
        <v>50</v>
      </c>
    </row>
    <row r="1500" spans="1:12" ht="15" customHeight="1" x14ac:dyDescent="0.25">
      <c r="A1500" s="15" t="s">
        <v>60</v>
      </c>
      <c r="B1500" s="16"/>
      <c r="C1500" s="16"/>
      <c r="D1500" s="16"/>
      <c r="E1500" s="16"/>
      <c r="F1500" s="16"/>
      <c r="G1500" s="16"/>
      <c r="H1500" s="16"/>
      <c r="I1500" s="16"/>
      <c r="J1500" s="17"/>
      <c r="K1500" s="15">
        <v>0</v>
      </c>
      <c r="L1500" s="17"/>
    </row>
    <row r="1501" spans="1:12" x14ac:dyDescent="0.25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</row>
    <row r="1502" spans="1:12" ht="15" customHeight="1" x14ac:dyDescent="0.25">
      <c r="A1502" s="27" t="s">
        <v>61</v>
      </c>
      <c r="B1502" s="27"/>
      <c r="C1502" s="27"/>
      <c r="D1502" s="27"/>
      <c r="E1502" s="27"/>
      <c r="F1502" s="27"/>
      <c r="G1502" s="27"/>
      <c r="H1502" s="27"/>
      <c r="I1502" s="27"/>
      <c r="J1502" s="27"/>
      <c r="K1502" s="27">
        <v>96.15</v>
      </c>
      <c r="L1502" s="27"/>
    </row>
    <row r="1503" spans="1:12" ht="15" customHeight="1" x14ac:dyDescent="0.25">
      <c r="A1503" s="27" t="s">
        <v>62</v>
      </c>
      <c r="B1503" s="27"/>
      <c r="C1503" s="27"/>
      <c r="D1503" s="27"/>
      <c r="E1503" s="27"/>
      <c r="F1503" s="27"/>
      <c r="G1503" s="27"/>
      <c r="H1503" s="27"/>
      <c r="I1503" s="27"/>
      <c r="J1503" s="27"/>
      <c r="K1503" s="27">
        <v>31.97</v>
      </c>
      <c r="L1503" s="27"/>
    </row>
    <row r="1504" spans="1:12" ht="15" customHeight="1" x14ac:dyDescent="0.25">
      <c r="A1504" s="27" t="s">
        <v>63</v>
      </c>
      <c r="B1504" s="27"/>
      <c r="C1504" s="27"/>
      <c r="D1504" s="27"/>
      <c r="E1504" s="27"/>
      <c r="F1504" s="27"/>
      <c r="G1504" s="27"/>
      <c r="H1504" s="27"/>
      <c r="I1504" s="27"/>
      <c r="J1504" s="27"/>
      <c r="K1504" s="27">
        <v>128.12</v>
      </c>
      <c r="L1504" s="27"/>
    </row>
    <row r="1505" spans="1:12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</row>
    <row r="1506" spans="1:12" ht="15" customHeight="1" x14ac:dyDescent="0.25">
      <c r="A1506" s="3" t="s">
        <v>8</v>
      </c>
      <c r="B1506" s="6" t="s">
        <v>9</v>
      </c>
      <c r="C1506" s="6"/>
      <c r="D1506" s="6"/>
      <c r="E1506" s="6"/>
      <c r="F1506" s="6"/>
      <c r="G1506" s="6"/>
      <c r="H1506" s="6"/>
      <c r="I1506" s="6"/>
      <c r="J1506" s="6"/>
      <c r="K1506" s="6"/>
      <c r="L1506" s="6"/>
    </row>
    <row r="1507" spans="1:12" ht="30" customHeight="1" x14ac:dyDescent="0.25">
      <c r="A1507" s="3" t="s">
        <v>10</v>
      </c>
      <c r="B1507" s="6" t="s">
        <v>200</v>
      </c>
      <c r="C1507" s="6"/>
      <c r="D1507" s="6"/>
      <c r="E1507" s="6"/>
      <c r="F1507" s="6"/>
      <c r="G1507" s="6"/>
      <c r="H1507" s="6"/>
      <c r="I1507" s="6"/>
      <c r="J1507" s="6"/>
      <c r="K1507" s="3" t="s">
        <v>12</v>
      </c>
      <c r="L1507" s="4" t="s">
        <v>13</v>
      </c>
    </row>
    <row r="1508" spans="1:12" ht="15" customHeight="1" x14ac:dyDescent="0.25">
      <c r="A1508" s="3" t="s">
        <v>14</v>
      </c>
      <c r="B1508" s="6" t="s">
        <v>15</v>
      </c>
      <c r="C1508" s="6"/>
      <c r="D1508" s="7" t="s">
        <v>16</v>
      </c>
      <c r="E1508" s="7"/>
      <c r="F1508" s="6" t="str">
        <f>"130231"</f>
        <v>130231</v>
      </c>
      <c r="G1508" s="6"/>
      <c r="H1508" s="3" t="s">
        <v>17</v>
      </c>
      <c r="I1508" s="6" t="s">
        <v>18</v>
      </c>
      <c r="J1508" s="6"/>
      <c r="K1508" s="3" t="s">
        <v>19</v>
      </c>
      <c r="L1508" s="5">
        <v>1</v>
      </c>
    </row>
    <row r="1509" spans="1:12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</row>
    <row r="1510" spans="1:12" ht="15" customHeight="1" x14ac:dyDescent="0.25">
      <c r="A1510" s="10" t="s">
        <v>20</v>
      </c>
      <c r="B1510" s="11"/>
      <c r="C1510" s="12"/>
      <c r="D1510" s="8" t="s">
        <v>21</v>
      </c>
      <c r="E1510" s="8" t="s">
        <v>22</v>
      </c>
      <c r="F1510" s="9" t="s">
        <v>23</v>
      </c>
      <c r="G1510" s="9" t="s">
        <v>24</v>
      </c>
      <c r="H1510" s="9" t="s">
        <v>25</v>
      </c>
      <c r="I1510" s="9" t="s">
        <v>26</v>
      </c>
      <c r="J1510" s="9" t="s">
        <v>27</v>
      </c>
      <c r="K1510" s="13" t="s">
        <v>28</v>
      </c>
      <c r="L1510" s="14"/>
    </row>
    <row r="1511" spans="1:12" ht="15" customHeight="1" x14ac:dyDescent="0.25">
      <c r="A1511" s="15" t="s">
        <v>29</v>
      </c>
      <c r="B1511" s="16"/>
      <c r="C1511" s="16"/>
      <c r="D1511" s="16"/>
      <c r="E1511" s="16"/>
      <c r="F1511" s="16"/>
      <c r="G1511" s="16"/>
      <c r="H1511" s="16"/>
      <c r="I1511" s="16"/>
      <c r="J1511" s="17"/>
      <c r="K1511" s="15">
        <v>0</v>
      </c>
      <c r="L1511" s="17"/>
    </row>
    <row r="1512" spans="1:12" x14ac:dyDescent="0.25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</row>
    <row r="1513" spans="1:12" ht="15" customHeight="1" x14ac:dyDescent="0.25">
      <c r="A1513" s="10" t="s">
        <v>30</v>
      </c>
      <c r="B1513" s="11"/>
      <c r="C1513" s="12"/>
      <c r="D1513" s="8" t="s">
        <v>21</v>
      </c>
      <c r="E1513" s="8" t="s">
        <v>22</v>
      </c>
      <c r="F1513" s="9" t="s">
        <v>31</v>
      </c>
      <c r="G1513" s="9" t="s">
        <v>32</v>
      </c>
      <c r="H1513" s="9" t="s">
        <v>33</v>
      </c>
      <c r="I1513" s="13" t="s">
        <v>34</v>
      </c>
      <c r="J1513" s="14"/>
      <c r="K1513" s="13" t="s">
        <v>28</v>
      </c>
      <c r="L1513" s="14"/>
    </row>
    <row r="1514" spans="1:12" ht="15" customHeight="1" x14ac:dyDescent="0.25">
      <c r="A1514" s="21" t="s">
        <v>65</v>
      </c>
      <c r="B1514" s="22"/>
      <c r="C1514" s="23"/>
      <c r="D1514" s="19" t="str">
        <f>"010124"</f>
        <v>010124</v>
      </c>
      <c r="E1514" s="19" t="s">
        <v>36</v>
      </c>
      <c r="F1514" s="20">
        <v>10.119999999999999</v>
      </c>
      <c r="G1514" s="20">
        <v>157.27000000000001</v>
      </c>
      <c r="H1514" s="20">
        <v>26.03</v>
      </c>
      <c r="I1514" s="24">
        <v>1.4375</v>
      </c>
      <c r="J1514" s="25"/>
      <c r="K1514" s="24">
        <v>37.409999999999997</v>
      </c>
      <c r="L1514" s="25"/>
    </row>
    <row r="1515" spans="1:12" ht="15" customHeight="1" x14ac:dyDescent="0.25">
      <c r="A1515" s="21" t="s">
        <v>69</v>
      </c>
      <c r="B1515" s="22"/>
      <c r="C1515" s="23"/>
      <c r="D1515" s="19" t="str">
        <f>"010139"</f>
        <v>010139</v>
      </c>
      <c r="E1515" s="19" t="s">
        <v>36</v>
      </c>
      <c r="F1515" s="20">
        <v>10.119999999999999</v>
      </c>
      <c r="G1515" s="20">
        <v>157.27000000000001</v>
      </c>
      <c r="H1515" s="20">
        <v>26.03</v>
      </c>
      <c r="I1515" s="24">
        <v>0.2</v>
      </c>
      <c r="J1515" s="25"/>
      <c r="K1515" s="24">
        <v>5.2</v>
      </c>
      <c r="L1515" s="25"/>
    </row>
    <row r="1516" spans="1:12" ht="15" customHeight="1" x14ac:dyDescent="0.25">
      <c r="A1516" s="21" t="s">
        <v>37</v>
      </c>
      <c r="B1516" s="22"/>
      <c r="C1516" s="23"/>
      <c r="D1516" s="19" t="str">
        <f>"010146"</f>
        <v>010146</v>
      </c>
      <c r="E1516" s="19" t="s">
        <v>36</v>
      </c>
      <c r="F1516" s="20">
        <v>7.65</v>
      </c>
      <c r="G1516" s="20">
        <v>157.27000000000001</v>
      </c>
      <c r="H1516" s="20">
        <v>19.68</v>
      </c>
      <c r="I1516" s="24">
        <v>1.0375000000000001</v>
      </c>
      <c r="J1516" s="25"/>
      <c r="K1516" s="24">
        <v>20.41</v>
      </c>
      <c r="L1516" s="25"/>
    </row>
    <row r="1517" spans="1:12" ht="15" customHeight="1" x14ac:dyDescent="0.25">
      <c r="A1517" s="15" t="s">
        <v>38</v>
      </c>
      <c r="B1517" s="16"/>
      <c r="C1517" s="16"/>
      <c r="D1517" s="16"/>
      <c r="E1517" s="16"/>
      <c r="F1517" s="16"/>
      <c r="G1517" s="16"/>
      <c r="H1517" s="16"/>
      <c r="I1517" s="16"/>
      <c r="J1517" s="17"/>
      <c r="K1517" s="15">
        <v>63.02</v>
      </c>
      <c r="L1517" s="17"/>
    </row>
    <row r="1518" spans="1:12" x14ac:dyDescent="0.25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</row>
    <row r="1519" spans="1:12" ht="15" customHeight="1" x14ac:dyDescent="0.25">
      <c r="A1519" s="10" t="s">
        <v>39</v>
      </c>
      <c r="B1519" s="11"/>
      <c r="C1519" s="12"/>
      <c r="D1519" s="8" t="s">
        <v>21</v>
      </c>
      <c r="E1519" s="13" t="s">
        <v>40</v>
      </c>
      <c r="F1519" s="14"/>
      <c r="G1519" s="8" t="s">
        <v>41</v>
      </c>
      <c r="H1519" s="8" t="s">
        <v>42</v>
      </c>
      <c r="I1519" s="8" t="s">
        <v>43</v>
      </c>
      <c r="J1519" s="13" t="s">
        <v>44</v>
      </c>
      <c r="K1519" s="26"/>
      <c r="L1519" s="14"/>
    </row>
    <row r="1520" spans="1:12" ht="15" customHeight="1" x14ac:dyDescent="0.25">
      <c r="A1520" s="15" t="s">
        <v>45</v>
      </c>
      <c r="B1520" s="16"/>
      <c r="C1520" s="16"/>
      <c r="D1520" s="16"/>
      <c r="E1520" s="16"/>
      <c r="F1520" s="16"/>
      <c r="G1520" s="16"/>
      <c r="H1520" s="16"/>
      <c r="I1520" s="16"/>
      <c r="J1520" s="17"/>
      <c r="K1520" s="15">
        <v>0</v>
      </c>
      <c r="L1520" s="17"/>
    </row>
    <row r="1521" spans="1:12" x14ac:dyDescent="0.25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</row>
    <row r="1522" spans="1:12" ht="15" customHeight="1" x14ac:dyDescent="0.25">
      <c r="A1522" s="27" t="s">
        <v>46</v>
      </c>
      <c r="B1522" s="27"/>
      <c r="C1522" s="27"/>
      <c r="D1522" s="27"/>
      <c r="E1522" s="27"/>
      <c r="F1522" s="27"/>
      <c r="G1522" s="27"/>
      <c r="H1522" s="27"/>
      <c r="I1522" s="27"/>
      <c r="J1522" s="27"/>
      <c r="K1522" s="27">
        <v>63.02</v>
      </c>
      <c r="L1522" s="27"/>
    </row>
    <row r="1523" spans="1:12" ht="15" customHeight="1" x14ac:dyDescent="0.25">
      <c r="A1523" s="27" t="s">
        <v>47</v>
      </c>
      <c r="B1523" s="27"/>
      <c r="C1523" s="27"/>
      <c r="D1523" s="27"/>
      <c r="E1523" s="27"/>
      <c r="F1523" s="27"/>
      <c r="G1523" s="27"/>
      <c r="H1523" s="27"/>
      <c r="I1523" s="27"/>
      <c r="J1523" s="27"/>
      <c r="K1523" s="27">
        <v>1</v>
      </c>
      <c r="L1523" s="27"/>
    </row>
    <row r="1524" spans="1:12" ht="15" customHeight="1" x14ac:dyDescent="0.25">
      <c r="A1524" s="27" t="s">
        <v>48</v>
      </c>
      <c r="B1524" s="27"/>
      <c r="C1524" s="27"/>
      <c r="D1524" s="27"/>
      <c r="E1524" s="27"/>
      <c r="F1524" s="27"/>
      <c r="G1524" s="27"/>
      <c r="H1524" s="27"/>
      <c r="I1524" s="27"/>
      <c r="J1524" s="27"/>
      <c r="K1524" s="27">
        <v>63.02</v>
      </c>
      <c r="L1524" s="27"/>
    </row>
    <row r="1525" spans="1:12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</row>
    <row r="1526" spans="1:12" ht="15" customHeight="1" x14ac:dyDescent="0.25">
      <c r="A1526" s="10" t="s">
        <v>49</v>
      </c>
      <c r="B1526" s="11"/>
      <c r="C1526" s="11"/>
      <c r="D1526" s="11"/>
      <c r="E1526" s="12"/>
      <c r="F1526" s="8" t="s">
        <v>21</v>
      </c>
      <c r="G1526" s="8" t="s">
        <v>22</v>
      </c>
      <c r="H1526" s="9" t="s">
        <v>44</v>
      </c>
      <c r="I1526" s="13" t="s">
        <v>34</v>
      </c>
      <c r="J1526" s="14"/>
      <c r="K1526" s="13" t="s">
        <v>50</v>
      </c>
      <c r="L1526" s="14"/>
    </row>
    <row r="1527" spans="1:12" ht="15" customHeight="1" x14ac:dyDescent="0.25">
      <c r="A1527" s="21" t="s">
        <v>122</v>
      </c>
      <c r="B1527" s="22"/>
      <c r="C1527" s="22"/>
      <c r="D1527" s="22"/>
      <c r="E1527" s="23"/>
      <c r="F1527" s="19" t="str">
        <f>"020503"</f>
        <v>020503</v>
      </c>
      <c r="G1527" s="19" t="s">
        <v>105</v>
      </c>
      <c r="H1527" s="20">
        <v>152</v>
      </c>
      <c r="I1527" s="24">
        <v>2.5000000000000001E-3</v>
      </c>
      <c r="J1527" s="25"/>
      <c r="K1527" s="24">
        <v>0.38</v>
      </c>
      <c r="L1527" s="25"/>
    </row>
    <row r="1528" spans="1:12" ht="15" customHeight="1" x14ac:dyDescent="0.25">
      <c r="A1528" s="21" t="s">
        <v>125</v>
      </c>
      <c r="B1528" s="22"/>
      <c r="C1528" s="22"/>
      <c r="D1528" s="22"/>
      <c r="E1528" s="23"/>
      <c r="F1528" s="19" t="str">
        <f>"020508"</f>
        <v>020508</v>
      </c>
      <c r="G1528" s="19" t="s">
        <v>124</v>
      </c>
      <c r="H1528" s="20">
        <v>0.59</v>
      </c>
      <c r="I1528" s="24">
        <v>11.2</v>
      </c>
      <c r="J1528" s="25"/>
      <c r="K1528" s="24">
        <v>6.6</v>
      </c>
      <c r="L1528" s="25"/>
    </row>
    <row r="1529" spans="1:12" ht="15" customHeight="1" x14ac:dyDescent="0.25">
      <c r="A1529" s="21" t="s">
        <v>201</v>
      </c>
      <c r="B1529" s="22"/>
      <c r="C1529" s="22"/>
      <c r="D1529" s="22"/>
      <c r="E1529" s="23"/>
      <c r="F1529" s="19" t="str">
        <f>"035114"</f>
        <v>035114</v>
      </c>
      <c r="G1529" s="19" t="s">
        <v>99</v>
      </c>
      <c r="H1529" s="20">
        <v>1.91</v>
      </c>
      <c r="I1529" s="24">
        <v>2</v>
      </c>
      <c r="J1529" s="25"/>
      <c r="K1529" s="24">
        <v>3.82</v>
      </c>
      <c r="L1529" s="25"/>
    </row>
    <row r="1530" spans="1:12" ht="15" customHeight="1" x14ac:dyDescent="0.25">
      <c r="A1530" s="21" t="s">
        <v>202</v>
      </c>
      <c r="B1530" s="22"/>
      <c r="C1530" s="22"/>
      <c r="D1530" s="22"/>
      <c r="E1530" s="23"/>
      <c r="F1530" s="19" t="str">
        <f>"035504"</f>
        <v>035504</v>
      </c>
      <c r="G1530" s="19" t="s">
        <v>124</v>
      </c>
      <c r="H1530" s="20">
        <v>1.17</v>
      </c>
      <c r="I1530" s="24">
        <v>16</v>
      </c>
      <c r="J1530" s="25"/>
      <c r="K1530" s="24">
        <v>18.72</v>
      </c>
      <c r="L1530" s="25"/>
    </row>
    <row r="1531" spans="1:12" ht="15" customHeight="1" x14ac:dyDescent="0.25">
      <c r="A1531" s="21" t="s">
        <v>203</v>
      </c>
      <c r="B1531" s="22"/>
      <c r="C1531" s="22"/>
      <c r="D1531" s="22"/>
      <c r="E1531" s="23"/>
      <c r="F1531" s="19" t="str">
        <f>"078735"</f>
        <v>078735</v>
      </c>
      <c r="G1531" s="19" t="s">
        <v>81</v>
      </c>
      <c r="H1531" s="20">
        <v>37.06</v>
      </c>
      <c r="I1531" s="24">
        <v>0.26</v>
      </c>
      <c r="J1531" s="25"/>
      <c r="K1531" s="24">
        <v>9.6300000000000008</v>
      </c>
      <c r="L1531" s="25"/>
    </row>
    <row r="1532" spans="1:12" ht="15" customHeight="1" x14ac:dyDescent="0.25">
      <c r="A1532" s="21" t="s">
        <v>204</v>
      </c>
      <c r="B1532" s="22"/>
      <c r="C1532" s="22"/>
      <c r="D1532" s="22"/>
      <c r="E1532" s="23"/>
      <c r="F1532" s="19" t="str">
        <f>"950101"</f>
        <v>950101</v>
      </c>
      <c r="G1532" s="19" t="s">
        <v>36</v>
      </c>
      <c r="H1532" s="20">
        <v>3.58</v>
      </c>
      <c r="I1532" s="24">
        <v>1.4375</v>
      </c>
      <c r="J1532" s="25"/>
      <c r="K1532" s="24">
        <v>5.14</v>
      </c>
      <c r="L1532" s="25"/>
    </row>
    <row r="1533" spans="1:12" ht="15" customHeight="1" x14ac:dyDescent="0.25">
      <c r="A1533" s="15" t="s">
        <v>51</v>
      </c>
      <c r="B1533" s="16"/>
      <c r="C1533" s="16"/>
      <c r="D1533" s="16"/>
      <c r="E1533" s="16"/>
      <c r="F1533" s="16"/>
      <c r="G1533" s="16"/>
      <c r="H1533" s="16"/>
      <c r="I1533" s="16"/>
      <c r="J1533" s="17"/>
      <c r="K1533" s="15">
        <v>44.29</v>
      </c>
      <c r="L1533" s="17"/>
    </row>
    <row r="1534" spans="1:12" x14ac:dyDescent="0.25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</row>
    <row r="1535" spans="1:12" ht="15" customHeight="1" x14ac:dyDescent="0.25">
      <c r="A1535" s="10" t="s">
        <v>52</v>
      </c>
      <c r="B1535" s="11"/>
      <c r="C1535" s="11"/>
      <c r="D1535" s="11"/>
      <c r="E1535" s="12"/>
      <c r="F1535" s="8" t="s">
        <v>21</v>
      </c>
      <c r="G1535" s="8" t="s">
        <v>22</v>
      </c>
      <c r="H1535" s="9" t="s">
        <v>44</v>
      </c>
      <c r="I1535" s="13" t="s">
        <v>34</v>
      </c>
      <c r="J1535" s="14"/>
      <c r="K1535" s="13" t="s">
        <v>50</v>
      </c>
      <c r="L1535" s="14"/>
    </row>
    <row r="1536" spans="1:12" ht="30" customHeight="1" x14ac:dyDescent="0.25">
      <c r="A1536" s="21" t="s">
        <v>205</v>
      </c>
      <c r="B1536" s="22"/>
      <c r="C1536" s="22"/>
      <c r="D1536" s="22"/>
      <c r="E1536" s="23"/>
      <c r="F1536" s="19" t="s">
        <v>192</v>
      </c>
      <c r="G1536" s="19" t="s">
        <v>13</v>
      </c>
      <c r="H1536" s="20">
        <v>1</v>
      </c>
      <c r="I1536" s="24">
        <v>54.32</v>
      </c>
      <c r="J1536" s="25"/>
      <c r="K1536" s="24">
        <v>54.32</v>
      </c>
      <c r="L1536" s="25"/>
    </row>
    <row r="1537" spans="1:12" ht="15" customHeight="1" x14ac:dyDescent="0.25">
      <c r="A1537" s="15" t="s">
        <v>53</v>
      </c>
      <c r="B1537" s="16"/>
      <c r="C1537" s="16"/>
      <c r="D1537" s="16"/>
      <c r="E1537" s="16"/>
      <c r="F1537" s="16"/>
      <c r="G1537" s="16"/>
      <c r="H1537" s="16"/>
      <c r="I1537" s="16"/>
      <c r="J1537" s="17"/>
      <c r="K1537" s="15">
        <v>54.32</v>
      </c>
      <c r="L1537" s="17"/>
    </row>
    <row r="1538" spans="1:12" x14ac:dyDescent="0.25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</row>
    <row r="1539" spans="1:12" ht="15" customHeight="1" x14ac:dyDescent="0.25">
      <c r="A1539" s="10" t="s">
        <v>54</v>
      </c>
      <c r="B1539" s="11"/>
      <c r="C1539" s="12"/>
      <c r="D1539" s="8" t="s">
        <v>21</v>
      </c>
      <c r="E1539" s="8" t="s">
        <v>22</v>
      </c>
      <c r="F1539" s="9" t="s">
        <v>55</v>
      </c>
      <c r="G1539" s="8" t="s">
        <v>56</v>
      </c>
      <c r="H1539" s="8" t="s">
        <v>57</v>
      </c>
      <c r="I1539" s="8" t="s">
        <v>58</v>
      </c>
      <c r="J1539" s="9" t="s">
        <v>59</v>
      </c>
      <c r="K1539" s="9" t="s">
        <v>34</v>
      </c>
      <c r="L1539" s="9" t="s">
        <v>50</v>
      </c>
    </row>
    <row r="1540" spans="1:12" ht="15" customHeight="1" x14ac:dyDescent="0.25">
      <c r="A1540" s="15" t="s">
        <v>60</v>
      </c>
      <c r="B1540" s="16"/>
      <c r="C1540" s="16"/>
      <c r="D1540" s="16"/>
      <c r="E1540" s="16"/>
      <c r="F1540" s="16"/>
      <c r="G1540" s="16"/>
      <c r="H1540" s="16"/>
      <c r="I1540" s="16"/>
      <c r="J1540" s="17"/>
      <c r="K1540" s="15">
        <v>0</v>
      </c>
      <c r="L1540" s="17"/>
    </row>
    <row r="1541" spans="1:12" x14ac:dyDescent="0.25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</row>
    <row r="1542" spans="1:12" ht="15" customHeight="1" x14ac:dyDescent="0.25">
      <c r="A1542" s="27" t="s">
        <v>61</v>
      </c>
      <c r="B1542" s="27"/>
      <c r="C1542" s="27"/>
      <c r="D1542" s="27"/>
      <c r="E1542" s="27"/>
      <c r="F1542" s="27"/>
      <c r="G1542" s="27"/>
      <c r="H1542" s="27"/>
      <c r="I1542" s="27"/>
      <c r="J1542" s="27"/>
      <c r="K1542" s="27">
        <v>161.63</v>
      </c>
      <c r="L1542" s="27"/>
    </row>
    <row r="1543" spans="1:12" ht="15" customHeight="1" x14ac:dyDescent="0.25">
      <c r="A1543" s="27" t="s">
        <v>62</v>
      </c>
      <c r="B1543" s="27"/>
      <c r="C1543" s="27"/>
      <c r="D1543" s="27"/>
      <c r="E1543" s="27"/>
      <c r="F1543" s="27"/>
      <c r="G1543" s="27"/>
      <c r="H1543" s="27"/>
      <c r="I1543" s="27"/>
      <c r="J1543" s="27"/>
      <c r="K1543" s="27">
        <v>53.74</v>
      </c>
      <c r="L1543" s="27"/>
    </row>
    <row r="1544" spans="1:12" ht="15" customHeight="1" x14ac:dyDescent="0.25">
      <c r="A1544" s="27" t="s">
        <v>63</v>
      </c>
      <c r="B1544" s="27"/>
      <c r="C1544" s="27"/>
      <c r="D1544" s="27"/>
      <c r="E1544" s="27"/>
      <c r="F1544" s="27"/>
      <c r="G1544" s="27"/>
      <c r="H1544" s="27"/>
      <c r="I1544" s="27"/>
      <c r="J1544" s="27"/>
      <c r="K1544" s="27">
        <v>215.37</v>
      </c>
      <c r="L1544" s="27"/>
    </row>
    <row r="1545" spans="1:12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</row>
    <row r="1546" spans="1:12" ht="15" customHeight="1" x14ac:dyDescent="0.25">
      <c r="A1546" s="3" t="s">
        <v>8</v>
      </c>
      <c r="B1546" s="6" t="s">
        <v>9</v>
      </c>
      <c r="C1546" s="6"/>
      <c r="D1546" s="6"/>
      <c r="E1546" s="6"/>
      <c r="F1546" s="6"/>
      <c r="G1546" s="6"/>
      <c r="H1546" s="6"/>
      <c r="I1546" s="6"/>
      <c r="J1546" s="6"/>
      <c r="K1546" s="6"/>
      <c r="L1546" s="6"/>
    </row>
    <row r="1547" spans="1:12" ht="15" customHeight="1" x14ac:dyDescent="0.25">
      <c r="A1547" s="3" t="s">
        <v>10</v>
      </c>
      <c r="B1547" s="6" t="s">
        <v>206</v>
      </c>
      <c r="C1547" s="6"/>
      <c r="D1547" s="6"/>
      <c r="E1547" s="6"/>
      <c r="F1547" s="6"/>
      <c r="G1547" s="6"/>
      <c r="H1547" s="6"/>
      <c r="I1547" s="6"/>
      <c r="J1547" s="6"/>
      <c r="K1547" s="3" t="s">
        <v>12</v>
      </c>
      <c r="L1547" s="4" t="s">
        <v>87</v>
      </c>
    </row>
    <row r="1548" spans="1:12" ht="15" customHeight="1" x14ac:dyDescent="0.25">
      <c r="A1548" s="3" t="s">
        <v>14</v>
      </c>
      <c r="B1548" s="6" t="s">
        <v>15</v>
      </c>
      <c r="C1548" s="6"/>
      <c r="D1548" s="7" t="s">
        <v>16</v>
      </c>
      <c r="E1548" s="7"/>
      <c r="F1548" s="6" t="str">
        <f>"130308"</f>
        <v>130308</v>
      </c>
      <c r="G1548" s="6"/>
      <c r="H1548" s="3" t="s">
        <v>17</v>
      </c>
      <c r="I1548" s="6" t="s">
        <v>18</v>
      </c>
      <c r="J1548" s="6"/>
      <c r="K1548" s="3" t="s">
        <v>19</v>
      </c>
      <c r="L1548" s="5">
        <v>1</v>
      </c>
    </row>
    <row r="1549" spans="1:12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</row>
    <row r="1550" spans="1:12" ht="15" customHeight="1" x14ac:dyDescent="0.25">
      <c r="A1550" s="10" t="s">
        <v>20</v>
      </c>
      <c r="B1550" s="11"/>
      <c r="C1550" s="12"/>
      <c r="D1550" s="8" t="s">
        <v>21</v>
      </c>
      <c r="E1550" s="8" t="s">
        <v>22</v>
      </c>
      <c r="F1550" s="9" t="s">
        <v>23</v>
      </c>
      <c r="G1550" s="9" t="s">
        <v>24</v>
      </c>
      <c r="H1550" s="9" t="s">
        <v>25</v>
      </c>
      <c r="I1550" s="9" t="s">
        <v>26</v>
      </c>
      <c r="J1550" s="9" t="s">
        <v>27</v>
      </c>
      <c r="K1550" s="13" t="s">
        <v>28</v>
      </c>
      <c r="L1550" s="14"/>
    </row>
    <row r="1551" spans="1:12" ht="15" customHeight="1" x14ac:dyDescent="0.25">
      <c r="A1551" s="15" t="s">
        <v>29</v>
      </c>
      <c r="B1551" s="16"/>
      <c r="C1551" s="16"/>
      <c r="D1551" s="16"/>
      <c r="E1551" s="16"/>
      <c r="F1551" s="16"/>
      <c r="G1551" s="16"/>
      <c r="H1551" s="16"/>
      <c r="I1551" s="16"/>
      <c r="J1551" s="17"/>
      <c r="K1551" s="15">
        <v>0</v>
      </c>
      <c r="L1551" s="17"/>
    </row>
    <row r="1552" spans="1:12" x14ac:dyDescent="0.25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</row>
    <row r="1553" spans="1:12" ht="15" customHeight="1" x14ac:dyDescent="0.25">
      <c r="A1553" s="10" t="s">
        <v>30</v>
      </c>
      <c r="B1553" s="11"/>
      <c r="C1553" s="12"/>
      <c r="D1553" s="8" t="s">
        <v>21</v>
      </c>
      <c r="E1553" s="8" t="s">
        <v>22</v>
      </c>
      <c r="F1553" s="9" t="s">
        <v>31</v>
      </c>
      <c r="G1553" s="9" t="s">
        <v>32</v>
      </c>
      <c r="H1553" s="9" t="s">
        <v>33</v>
      </c>
      <c r="I1553" s="13" t="s">
        <v>34</v>
      </c>
      <c r="J1553" s="14"/>
      <c r="K1553" s="13" t="s">
        <v>28</v>
      </c>
      <c r="L1553" s="14"/>
    </row>
    <row r="1554" spans="1:12" ht="15" customHeight="1" x14ac:dyDescent="0.25">
      <c r="A1554" s="21" t="s">
        <v>69</v>
      </c>
      <c r="B1554" s="22"/>
      <c r="C1554" s="23"/>
      <c r="D1554" s="19" t="str">
        <f>"010139"</f>
        <v>010139</v>
      </c>
      <c r="E1554" s="19" t="s">
        <v>36</v>
      </c>
      <c r="F1554" s="20">
        <v>10.119999999999999</v>
      </c>
      <c r="G1554" s="20">
        <v>157.27000000000001</v>
      </c>
      <c r="H1554" s="20">
        <v>26.03</v>
      </c>
      <c r="I1554" s="24">
        <v>0.4</v>
      </c>
      <c r="J1554" s="25"/>
      <c r="K1554" s="24">
        <v>10.41</v>
      </c>
      <c r="L1554" s="25"/>
    </row>
    <row r="1555" spans="1:12" ht="15" customHeight="1" x14ac:dyDescent="0.25">
      <c r="A1555" s="21" t="s">
        <v>37</v>
      </c>
      <c r="B1555" s="22"/>
      <c r="C1555" s="23"/>
      <c r="D1555" s="19" t="str">
        <f>"010146"</f>
        <v>010146</v>
      </c>
      <c r="E1555" s="19" t="s">
        <v>36</v>
      </c>
      <c r="F1555" s="20">
        <v>7.65</v>
      </c>
      <c r="G1555" s="20">
        <v>157.27000000000001</v>
      </c>
      <c r="H1555" s="20">
        <v>19.68</v>
      </c>
      <c r="I1555" s="24">
        <v>0.44</v>
      </c>
      <c r="J1555" s="25"/>
      <c r="K1555" s="24">
        <v>8.65</v>
      </c>
      <c r="L1555" s="25"/>
    </row>
    <row r="1556" spans="1:12" ht="15" customHeight="1" x14ac:dyDescent="0.25">
      <c r="A1556" s="15" t="s">
        <v>38</v>
      </c>
      <c r="B1556" s="16"/>
      <c r="C1556" s="16"/>
      <c r="D1556" s="16"/>
      <c r="E1556" s="16"/>
      <c r="F1556" s="16"/>
      <c r="G1556" s="16"/>
      <c r="H1556" s="16"/>
      <c r="I1556" s="16"/>
      <c r="J1556" s="17"/>
      <c r="K1556" s="15">
        <v>19.059999999999999</v>
      </c>
      <c r="L1556" s="17"/>
    </row>
    <row r="1557" spans="1:12" x14ac:dyDescent="0.25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</row>
    <row r="1558" spans="1:12" ht="15" customHeight="1" x14ac:dyDescent="0.25">
      <c r="A1558" s="10" t="s">
        <v>39</v>
      </c>
      <c r="B1558" s="11"/>
      <c r="C1558" s="12"/>
      <c r="D1558" s="8" t="s">
        <v>21</v>
      </c>
      <c r="E1558" s="13" t="s">
        <v>40</v>
      </c>
      <c r="F1558" s="14"/>
      <c r="G1558" s="8" t="s">
        <v>41</v>
      </c>
      <c r="H1558" s="8" t="s">
        <v>42</v>
      </c>
      <c r="I1558" s="8" t="s">
        <v>43</v>
      </c>
      <c r="J1558" s="13" t="s">
        <v>44</v>
      </c>
      <c r="K1558" s="26"/>
      <c r="L1558" s="14"/>
    </row>
    <row r="1559" spans="1:12" ht="15" customHeight="1" x14ac:dyDescent="0.25">
      <c r="A1559" s="15" t="s">
        <v>45</v>
      </c>
      <c r="B1559" s="16"/>
      <c r="C1559" s="16"/>
      <c r="D1559" s="16"/>
      <c r="E1559" s="16"/>
      <c r="F1559" s="16"/>
      <c r="G1559" s="16"/>
      <c r="H1559" s="16"/>
      <c r="I1559" s="16"/>
      <c r="J1559" s="17"/>
      <c r="K1559" s="15">
        <v>0</v>
      </c>
      <c r="L1559" s="17"/>
    </row>
    <row r="1560" spans="1:12" x14ac:dyDescent="0.25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</row>
    <row r="1561" spans="1:12" ht="15" customHeight="1" x14ac:dyDescent="0.25">
      <c r="A1561" s="27" t="s">
        <v>46</v>
      </c>
      <c r="B1561" s="27"/>
      <c r="C1561" s="27"/>
      <c r="D1561" s="27"/>
      <c r="E1561" s="27"/>
      <c r="F1561" s="27"/>
      <c r="G1561" s="27"/>
      <c r="H1561" s="27"/>
      <c r="I1561" s="27"/>
      <c r="J1561" s="27"/>
      <c r="K1561" s="27">
        <v>19.059999999999999</v>
      </c>
      <c r="L1561" s="27"/>
    </row>
    <row r="1562" spans="1:12" ht="15" customHeight="1" x14ac:dyDescent="0.25">
      <c r="A1562" s="27" t="s">
        <v>47</v>
      </c>
      <c r="B1562" s="27"/>
      <c r="C1562" s="27"/>
      <c r="D1562" s="27"/>
      <c r="E1562" s="27"/>
      <c r="F1562" s="27"/>
      <c r="G1562" s="27"/>
      <c r="H1562" s="27"/>
      <c r="I1562" s="27"/>
      <c r="J1562" s="27"/>
      <c r="K1562" s="27">
        <v>1</v>
      </c>
      <c r="L1562" s="27"/>
    </row>
    <row r="1563" spans="1:12" ht="15" customHeight="1" x14ac:dyDescent="0.25">
      <c r="A1563" s="27" t="s">
        <v>48</v>
      </c>
      <c r="B1563" s="27"/>
      <c r="C1563" s="27"/>
      <c r="D1563" s="27"/>
      <c r="E1563" s="27"/>
      <c r="F1563" s="27"/>
      <c r="G1563" s="27"/>
      <c r="H1563" s="27"/>
      <c r="I1563" s="27"/>
      <c r="J1563" s="27"/>
      <c r="K1563" s="27">
        <v>19.059999999999999</v>
      </c>
      <c r="L1563" s="27"/>
    </row>
    <row r="1564" spans="1:12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</row>
    <row r="1565" spans="1:12" ht="15" customHeight="1" x14ac:dyDescent="0.25">
      <c r="A1565" s="10" t="s">
        <v>49</v>
      </c>
      <c r="B1565" s="11"/>
      <c r="C1565" s="11"/>
      <c r="D1565" s="11"/>
      <c r="E1565" s="12"/>
      <c r="F1565" s="8" t="s">
        <v>21</v>
      </c>
      <c r="G1565" s="8" t="s">
        <v>22</v>
      </c>
      <c r="H1565" s="9" t="s">
        <v>44</v>
      </c>
      <c r="I1565" s="13" t="s">
        <v>34</v>
      </c>
      <c r="J1565" s="14"/>
      <c r="K1565" s="13" t="s">
        <v>50</v>
      </c>
      <c r="L1565" s="14"/>
    </row>
    <row r="1566" spans="1:12" ht="15" customHeight="1" x14ac:dyDescent="0.25">
      <c r="A1566" s="21" t="s">
        <v>122</v>
      </c>
      <c r="B1566" s="22"/>
      <c r="C1566" s="22"/>
      <c r="D1566" s="22"/>
      <c r="E1566" s="23"/>
      <c r="F1566" s="19" t="str">
        <f>"020503"</f>
        <v>020503</v>
      </c>
      <c r="G1566" s="19" t="s">
        <v>105</v>
      </c>
      <c r="H1566" s="20">
        <v>152</v>
      </c>
      <c r="I1566" s="24">
        <v>4.5999999999999999E-3</v>
      </c>
      <c r="J1566" s="25"/>
      <c r="K1566" s="24">
        <v>0.69</v>
      </c>
      <c r="L1566" s="25"/>
    </row>
    <row r="1567" spans="1:12" ht="15" customHeight="1" x14ac:dyDescent="0.25">
      <c r="A1567" s="21" t="s">
        <v>123</v>
      </c>
      <c r="B1567" s="22"/>
      <c r="C1567" s="22"/>
      <c r="D1567" s="22"/>
      <c r="E1567" s="23"/>
      <c r="F1567" s="19" t="str">
        <f>"020505"</f>
        <v>020505</v>
      </c>
      <c r="G1567" s="19" t="s">
        <v>124</v>
      </c>
      <c r="H1567" s="20">
        <v>1.07</v>
      </c>
      <c r="I1567" s="24">
        <v>0.68</v>
      </c>
      <c r="J1567" s="25"/>
      <c r="K1567" s="24">
        <v>0.72</v>
      </c>
      <c r="L1567" s="25"/>
    </row>
    <row r="1568" spans="1:12" ht="15" customHeight="1" x14ac:dyDescent="0.25">
      <c r="A1568" s="21" t="s">
        <v>125</v>
      </c>
      <c r="B1568" s="22"/>
      <c r="C1568" s="22"/>
      <c r="D1568" s="22"/>
      <c r="E1568" s="23"/>
      <c r="F1568" s="19" t="str">
        <f>"020508"</f>
        <v>020508</v>
      </c>
      <c r="G1568" s="19" t="s">
        <v>124</v>
      </c>
      <c r="H1568" s="20">
        <v>0.59</v>
      </c>
      <c r="I1568" s="24">
        <v>1.37</v>
      </c>
      <c r="J1568" s="25"/>
      <c r="K1568" s="24">
        <v>0.8</v>
      </c>
      <c r="L1568" s="25"/>
    </row>
    <row r="1569" spans="1:12" ht="15" customHeight="1" x14ac:dyDescent="0.25">
      <c r="A1569" s="21" t="s">
        <v>207</v>
      </c>
      <c r="B1569" s="22"/>
      <c r="C1569" s="22"/>
      <c r="D1569" s="22"/>
      <c r="E1569" s="23"/>
      <c r="F1569" s="19" t="str">
        <f>"036034"</f>
        <v>036034</v>
      </c>
      <c r="G1569" s="19" t="s">
        <v>99</v>
      </c>
      <c r="H1569" s="20">
        <v>29.35</v>
      </c>
      <c r="I1569" s="24">
        <v>1</v>
      </c>
      <c r="J1569" s="25"/>
      <c r="K1569" s="24">
        <v>29.35</v>
      </c>
      <c r="L1569" s="25"/>
    </row>
    <row r="1570" spans="1:12" ht="15" customHeight="1" x14ac:dyDescent="0.25">
      <c r="A1570" s="15" t="s">
        <v>51</v>
      </c>
      <c r="B1570" s="16"/>
      <c r="C1570" s="16"/>
      <c r="D1570" s="16"/>
      <c r="E1570" s="16"/>
      <c r="F1570" s="16"/>
      <c r="G1570" s="16"/>
      <c r="H1570" s="16"/>
      <c r="I1570" s="16"/>
      <c r="J1570" s="17"/>
      <c r="K1570" s="15">
        <v>31.56</v>
      </c>
      <c r="L1570" s="17"/>
    </row>
    <row r="1571" spans="1:12" x14ac:dyDescent="0.25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</row>
    <row r="1572" spans="1:12" ht="15" customHeight="1" x14ac:dyDescent="0.25">
      <c r="A1572" s="10" t="s">
        <v>52</v>
      </c>
      <c r="B1572" s="11"/>
      <c r="C1572" s="11"/>
      <c r="D1572" s="11"/>
      <c r="E1572" s="12"/>
      <c r="F1572" s="8" t="s">
        <v>21</v>
      </c>
      <c r="G1572" s="8" t="s">
        <v>22</v>
      </c>
      <c r="H1572" s="9" t="s">
        <v>44</v>
      </c>
      <c r="I1572" s="13" t="s">
        <v>34</v>
      </c>
      <c r="J1572" s="14"/>
      <c r="K1572" s="13" t="s">
        <v>50</v>
      </c>
      <c r="L1572" s="14"/>
    </row>
    <row r="1573" spans="1:12" ht="15" customHeight="1" x14ac:dyDescent="0.25">
      <c r="A1573" s="15" t="s">
        <v>53</v>
      </c>
      <c r="B1573" s="16"/>
      <c r="C1573" s="16"/>
      <c r="D1573" s="16"/>
      <c r="E1573" s="16"/>
      <c r="F1573" s="16"/>
      <c r="G1573" s="16"/>
      <c r="H1573" s="16"/>
      <c r="I1573" s="16"/>
      <c r="J1573" s="17"/>
      <c r="K1573" s="15">
        <v>0</v>
      </c>
      <c r="L1573" s="17"/>
    </row>
    <row r="1574" spans="1:12" x14ac:dyDescent="0.25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</row>
    <row r="1575" spans="1:12" ht="15" customHeight="1" x14ac:dyDescent="0.25">
      <c r="A1575" s="10" t="s">
        <v>54</v>
      </c>
      <c r="B1575" s="11"/>
      <c r="C1575" s="12"/>
      <c r="D1575" s="8" t="s">
        <v>21</v>
      </c>
      <c r="E1575" s="8" t="s">
        <v>22</v>
      </c>
      <c r="F1575" s="9" t="s">
        <v>55</v>
      </c>
      <c r="G1575" s="8" t="s">
        <v>56</v>
      </c>
      <c r="H1575" s="8" t="s">
        <v>57</v>
      </c>
      <c r="I1575" s="8" t="s">
        <v>58</v>
      </c>
      <c r="J1575" s="9" t="s">
        <v>59</v>
      </c>
      <c r="K1575" s="9" t="s">
        <v>34</v>
      </c>
      <c r="L1575" s="9" t="s">
        <v>50</v>
      </c>
    </row>
    <row r="1576" spans="1:12" ht="15" customHeight="1" x14ac:dyDescent="0.25">
      <c r="A1576" s="15" t="s">
        <v>60</v>
      </c>
      <c r="B1576" s="16"/>
      <c r="C1576" s="16"/>
      <c r="D1576" s="16"/>
      <c r="E1576" s="16"/>
      <c r="F1576" s="16"/>
      <c r="G1576" s="16"/>
      <c r="H1576" s="16"/>
      <c r="I1576" s="16"/>
      <c r="J1576" s="17"/>
      <c r="K1576" s="15">
        <v>0</v>
      </c>
      <c r="L1576" s="17"/>
    </row>
    <row r="1577" spans="1:12" x14ac:dyDescent="0.25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</row>
    <row r="1578" spans="1:12" ht="15" customHeight="1" x14ac:dyDescent="0.25">
      <c r="A1578" s="27" t="s">
        <v>61</v>
      </c>
      <c r="B1578" s="27"/>
      <c r="C1578" s="27"/>
      <c r="D1578" s="27"/>
      <c r="E1578" s="27"/>
      <c r="F1578" s="27"/>
      <c r="G1578" s="27"/>
      <c r="H1578" s="27"/>
      <c r="I1578" s="27"/>
      <c r="J1578" s="27"/>
      <c r="K1578" s="27">
        <v>50.62</v>
      </c>
      <c r="L1578" s="27"/>
    </row>
    <row r="1579" spans="1:12" ht="15" customHeight="1" x14ac:dyDescent="0.25">
      <c r="A1579" s="27" t="s">
        <v>62</v>
      </c>
      <c r="B1579" s="27"/>
      <c r="C1579" s="27"/>
      <c r="D1579" s="27"/>
      <c r="E1579" s="27"/>
      <c r="F1579" s="27"/>
      <c r="G1579" s="27"/>
      <c r="H1579" s="27"/>
      <c r="I1579" s="27"/>
      <c r="J1579" s="27"/>
      <c r="K1579" s="27">
        <v>16.829999999999998</v>
      </c>
      <c r="L1579" s="27"/>
    </row>
    <row r="1580" spans="1:12" ht="15" customHeight="1" x14ac:dyDescent="0.25">
      <c r="A1580" s="27" t="s">
        <v>63</v>
      </c>
      <c r="B1580" s="27"/>
      <c r="C1580" s="27"/>
      <c r="D1580" s="27"/>
      <c r="E1580" s="27"/>
      <c r="F1580" s="27"/>
      <c r="G1580" s="27"/>
      <c r="H1580" s="27"/>
      <c r="I1580" s="27"/>
      <c r="J1580" s="27"/>
      <c r="K1580" s="27">
        <v>67.45</v>
      </c>
      <c r="L1580" s="27"/>
    </row>
    <row r="1581" spans="1:12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</row>
    <row r="1582" spans="1:12" ht="15" customHeight="1" x14ac:dyDescent="0.25">
      <c r="A1582" s="3" t="s">
        <v>8</v>
      </c>
      <c r="B1582" s="6" t="s">
        <v>9</v>
      </c>
      <c r="C1582" s="6"/>
      <c r="D1582" s="6"/>
      <c r="E1582" s="6"/>
      <c r="F1582" s="6"/>
      <c r="G1582" s="6"/>
      <c r="H1582" s="6"/>
      <c r="I1582" s="6"/>
      <c r="J1582" s="6"/>
      <c r="K1582" s="6"/>
      <c r="L1582" s="6"/>
    </row>
    <row r="1583" spans="1:12" ht="15" customHeight="1" x14ac:dyDescent="0.25">
      <c r="A1583" s="3" t="s">
        <v>10</v>
      </c>
      <c r="B1583" s="6" t="s">
        <v>208</v>
      </c>
      <c r="C1583" s="6"/>
      <c r="D1583" s="6"/>
      <c r="E1583" s="6"/>
      <c r="F1583" s="6"/>
      <c r="G1583" s="6"/>
      <c r="H1583" s="6"/>
      <c r="I1583" s="6"/>
      <c r="J1583" s="6"/>
      <c r="K1583" s="3" t="s">
        <v>12</v>
      </c>
      <c r="L1583" s="4" t="s">
        <v>87</v>
      </c>
    </row>
    <row r="1584" spans="1:12" ht="15" customHeight="1" x14ac:dyDescent="0.25">
      <c r="A1584" s="3" t="s">
        <v>14</v>
      </c>
      <c r="B1584" s="6" t="s">
        <v>15</v>
      </c>
      <c r="C1584" s="6"/>
      <c r="D1584" s="7" t="s">
        <v>16</v>
      </c>
      <c r="E1584" s="7"/>
      <c r="F1584" s="6" t="str">
        <f>"130317"</f>
        <v>130317</v>
      </c>
      <c r="G1584" s="6"/>
      <c r="H1584" s="3" t="s">
        <v>17</v>
      </c>
      <c r="I1584" s="6" t="s">
        <v>18</v>
      </c>
      <c r="J1584" s="6"/>
      <c r="K1584" s="3" t="s">
        <v>19</v>
      </c>
      <c r="L1584" s="5">
        <v>1</v>
      </c>
    </row>
    <row r="1585" spans="1:12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</row>
    <row r="1586" spans="1:12" ht="15" customHeight="1" x14ac:dyDescent="0.25">
      <c r="A1586" s="10" t="s">
        <v>20</v>
      </c>
      <c r="B1586" s="11"/>
      <c r="C1586" s="12"/>
      <c r="D1586" s="8" t="s">
        <v>21</v>
      </c>
      <c r="E1586" s="8" t="s">
        <v>22</v>
      </c>
      <c r="F1586" s="9" t="s">
        <v>23</v>
      </c>
      <c r="G1586" s="9" t="s">
        <v>24</v>
      </c>
      <c r="H1586" s="9" t="s">
        <v>25</v>
      </c>
      <c r="I1586" s="9" t="s">
        <v>26</v>
      </c>
      <c r="J1586" s="9" t="s">
        <v>27</v>
      </c>
      <c r="K1586" s="13" t="s">
        <v>28</v>
      </c>
      <c r="L1586" s="14"/>
    </row>
    <row r="1587" spans="1:12" ht="15" customHeight="1" x14ac:dyDescent="0.25">
      <c r="A1587" s="15" t="s">
        <v>29</v>
      </c>
      <c r="B1587" s="16"/>
      <c r="C1587" s="16"/>
      <c r="D1587" s="16"/>
      <c r="E1587" s="16"/>
      <c r="F1587" s="16"/>
      <c r="G1587" s="16"/>
      <c r="H1587" s="16"/>
      <c r="I1587" s="16"/>
      <c r="J1587" s="17"/>
      <c r="K1587" s="15">
        <v>0</v>
      </c>
      <c r="L1587" s="17"/>
    </row>
    <row r="1588" spans="1:12" x14ac:dyDescent="0.25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</row>
    <row r="1589" spans="1:12" ht="15" customHeight="1" x14ac:dyDescent="0.25">
      <c r="A1589" s="10" t="s">
        <v>30</v>
      </c>
      <c r="B1589" s="11"/>
      <c r="C1589" s="12"/>
      <c r="D1589" s="8" t="s">
        <v>21</v>
      </c>
      <c r="E1589" s="8" t="s">
        <v>22</v>
      </c>
      <c r="F1589" s="9" t="s">
        <v>31</v>
      </c>
      <c r="G1589" s="9" t="s">
        <v>32</v>
      </c>
      <c r="H1589" s="9" t="s">
        <v>33</v>
      </c>
      <c r="I1589" s="13" t="s">
        <v>34</v>
      </c>
      <c r="J1589" s="14"/>
      <c r="K1589" s="13" t="s">
        <v>28</v>
      </c>
      <c r="L1589" s="14"/>
    </row>
    <row r="1590" spans="1:12" ht="15" customHeight="1" x14ac:dyDescent="0.25">
      <c r="A1590" s="21" t="s">
        <v>69</v>
      </c>
      <c r="B1590" s="22"/>
      <c r="C1590" s="23"/>
      <c r="D1590" s="19" t="str">
        <f>"010139"</f>
        <v>010139</v>
      </c>
      <c r="E1590" s="19" t="s">
        <v>36</v>
      </c>
      <c r="F1590" s="20">
        <v>10.119999999999999</v>
      </c>
      <c r="G1590" s="20">
        <v>157.27000000000001</v>
      </c>
      <c r="H1590" s="20">
        <v>26.03</v>
      </c>
      <c r="I1590" s="24">
        <v>0.84</v>
      </c>
      <c r="J1590" s="25"/>
      <c r="K1590" s="24">
        <v>21.86</v>
      </c>
      <c r="L1590" s="25"/>
    </row>
    <row r="1591" spans="1:12" ht="15" customHeight="1" x14ac:dyDescent="0.25">
      <c r="A1591" s="21" t="s">
        <v>37</v>
      </c>
      <c r="B1591" s="22"/>
      <c r="C1591" s="23"/>
      <c r="D1591" s="19" t="str">
        <f>"010146"</f>
        <v>010146</v>
      </c>
      <c r="E1591" s="19" t="s">
        <v>36</v>
      </c>
      <c r="F1591" s="20">
        <v>7.65</v>
      </c>
      <c r="G1591" s="20">
        <v>157.27000000000001</v>
      </c>
      <c r="H1591" s="20">
        <v>19.68</v>
      </c>
      <c r="I1591" s="24">
        <v>0.91</v>
      </c>
      <c r="J1591" s="25"/>
      <c r="K1591" s="24">
        <v>17.899999999999999</v>
      </c>
      <c r="L1591" s="25"/>
    </row>
    <row r="1592" spans="1:12" ht="15" customHeight="1" x14ac:dyDescent="0.25">
      <c r="A1592" s="15" t="s">
        <v>38</v>
      </c>
      <c r="B1592" s="16"/>
      <c r="C1592" s="16"/>
      <c r="D1592" s="16"/>
      <c r="E1592" s="16"/>
      <c r="F1592" s="16"/>
      <c r="G1592" s="16"/>
      <c r="H1592" s="16"/>
      <c r="I1592" s="16"/>
      <c r="J1592" s="17"/>
      <c r="K1592" s="15">
        <v>39.76</v>
      </c>
      <c r="L1592" s="17"/>
    </row>
    <row r="1593" spans="1:12" x14ac:dyDescent="0.25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</row>
    <row r="1594" spans="1:12" ht="15" customHeight="1" x14ac:dyDescent="0.25">
      <c r="A1594" s="10" t="s">
        <v>39</v>
      </c>
      <c r="B1594" s="11"/>
      <c r="C1594" s="12"/>
      <c r="D1594" s="8" t="s">
        <v>21</v>
      </c>
      <c r="E1594" s="13" t="s">
        <v>40</v>
      </c>
      <c r="F1594" s="14"/>
      <c r="G1594" s="8" t="s">
        <v>41</v>
      </c>
      <c r="H1594" s="8" t="s">
        <v>42</v>
      </c>
      <c r="I1594" s="8" t="s">
        <v>43</v>
      </c>
      <c r="J1594" s="13" t="s">
        <v>44</v>
      </c>
      <c r="K1594" s="26"/>
      <c r="L1594" s="14"/>
    </row>
    <row r="1595" spans="1:12" ht="15" customHeight="1" x14ac:dyDescent="0.25">
      <c r="A1595" s="15" t="s">
        <v>45</v>
      </c>
      <c r="B1595" s="16"/>
      <c r="C1595" s="16"/>
      <c r="D1595" s="16"/>
      <c r="E1595" s="16"/>
      <c r="F1595" s="16"/>
      <c r="G1595" s="16"/>
      <c r="H1595" s="16"/>
      <c r="I1595" s="16"/>
      <c r="J1595" s="17"/>
      <c r="K1595" s="15">
        <v>0</v>
      </c>
      <c r="L1595" s="17"/>
    </row>
    <row r="1596" spans="1:12" x14ac:dyDescent="0.25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</row>
    <row r="1597" spans="1:12" ht="15" customHeight="1" x14ac:dyDescent="0.25">
      <c r="A1597" s="27" t="s">
        <v>46</v>
      </c>
      <c r="B1597" s="27"/>
      <c r="C1597" s="27"/>
      <c r="D1597" s="27"/>
      <c r="E1597" s="27"/>
      <c r="F1597" s="27"/>
      <c r="G1597" s="27"/>
      <c r="H1597" s="27"/>
      <c r="I1597" s="27"/>
      <c r="J1597" s="27"/>
      <c r="K1597" s="27">
        <v>39.76</v>
      </c>
      <c r="L1597" s="27"/>
    </row>
    <row r="1598" spans="1:12" ht="15" customHeight="1" x14ac:dyDescent="0.25">
      <c r="A1598" s="27" t="s">
        <v>47</v>
      </c>
      <c r="B1598" s="27"/>
      <c r="C1598" s="27"/>
      <c r="D1598" s="27"/>
      <c r="E1598" s="27"/>
      <c r="F1598" s="27"/>
      <c r="G1598" s="27"/>
      <c r="H1598" s="27"/>
      <c r="I1598" s="27"/>
      <c r="J1598" s="27"/>
      <c r="K1598" s="27">
        <v>1</v>
      </c>
      <c r="L1598" s="27"/>
    </row>
    <row r="1599" spans="1:12" ht="15" customHeight="1" x14ac:dyDescent="0.25">
      <c r="A1599" s="27" t="s">
        <v>48</v>
      </c>
      <c r="B1599" s="27"/>
      <c r="C1599" s="27"/>
      <c r="D1599" s="27"/>
      <c r="E1599" s="27"/>
      <c r="F1599" s="27"/>
      <c r="G1599" s="27"/>
      <c r="H1599" s="27"/>
      <c r="I1599" s="27"/>
      <c r="J1599" s="27"/>
      <c r="K1599" s="27">
        <v>39.76</v>
      </c>
      <c r="L1599" s="27"/>
    </row>
    <row r="1600" spans="1:12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</row>
    <row r="1601" spans="1:12" ht="15" customHeight="1" x14ac:dyDescent="0.25">
      <c r="A1601" s="10" t="s">
        <v>49</v>
      </c>
      <c r="B1601" s="11"/>
      <c r="C1601" s="11"/>
      <c r="D1601" s="11"/>
      <c r="E1601" s="12"/>
      <c r="F1601" s="8" t="s">
        <v>21</v>
      </c>
      <c r="G1601" s="8" t="s">
        <v>22</v>
      </c>
      <c r="H1601" s="9" t="s">
        <v>44</v>
      </c>
      <c r="I1601" s="13" t="s">
        <v>34</v>
      </c>
      <c r="J1601" s="14"/>
      <c r="K1601" s="13" t="s">
        <v>50</v>
      </c>
      <c r="L1601" s="14"/>
    </row>
    <row r="1602" spans="1:12" ht="15" customHeight="1" x14ac:dyDescent="0.25">
      <c r="A1602" s="21" t="s">
        <v>122</v>
      </c>
      <c r="B1602" s="22"/>
      <c r="C1602" s="22"/>
      <c r="D1602" s="22"/>
      <c r="E1602" s="23"/>
      <c r="F1602" s="19" t="str">
        <f>"020503"</f>
        <v>020503</v>
      </c>
      <c r="G1602" s="19" t="s">
        <v>105</v>
      </c>
      <c r="H1602" s="20">
        <v>152</v>
      </c>
      <c r="I1602" s="24">
        <v>8.6099999999999996E-3</v>
      </c>
      <c r="J1602" s="25"/>
      <c r="K1602" s="24">
        <v>1.3</v>
      </c>
      <c r="L1602" s="25"/>
    </row>
    <row r="1603" spans="1:12" ht="15" customHeight="1" x14ac:dyDescent="0.25">
      <c r="A1603" s="21" t="s">
        <v>123</v>
      </c>
      <c r="B1603" s="22"/>
      <c r="C1603" s="22"/>
      <c r="D1603" s="22"/>
      <c r="E1603" s="23"/>
      <c r="F1603" s="19" t="str">
        <f>"020505"</f>
        <v>020505</v>
      </c>
      <c r="G1603" s="19" t="s">
        <v>124</v>
      </c>
      <c r="H1603" s="20">
        <v>1.07</v>
      </c>
      <c r="I1603" s="24">
        <v>1.274</v>
      </c>
      <c r="J1603" s="25"/>
      <c r="K1603" s="24">
        <v>1.36</v>
      </c>
      <c r="L1603" s="25"/>
    </row>
    <row r="1604" spans="1:12" ht="15" customHeight="1" x14ac:dyDescent="0.25">
      <c r="A1604" s="21" t="s">
        <v>125</v>
      </c>
      <c r="B1604" s="22"/>
      <c r="C1604" s="22"/>
      <c r="D1604" s="22"/>
      <c r="E1604" s="23"/>
      <c r="F1604" s="19" t="str">
        <f>"020508"</f>
        <v>020508</v>
      </c>
      <c r="G1604" s="19" t="s">
        <v>124</v>
      </c>
      <c r="H1604" s="20">
        <v>0.59</v>
      </c>
      <c r="I1604" s="24">
        <v>2.5619999999999998</v>
      </c>
      <c r="J1604" s="25"/>
      <c r="K1604" s="24">
        <v>1.51</v>
      </c>
      <c r="L1604" s="25"/>
    </row>
    <row r="1605" spans="1:12" ht="15" customHeight="1" x14ac:dyDescent="0.25">
      <c r="A1605" s="21" t="s">
        <v>209</v>
      </c>
      <c r="B1605" s="22"/>
      <c r="C1605" s="22"/>
      <c r="D1605" s="22"/>
      <c r="E1605" s="23"/>
      <c r="F1605" s="19" t="str">
        <f>"033511"</f>
        <v>033511</v>
      </c>
      <c r="G1605" s="19" t="s">
        <v>99</v>
      </c>
      <c r="H1605" s="20">
        <v>38.35</v>
      </c>
      <c r="I1605" s="24">
        <v>1</v>
      </c>
      <c r="J1605" s="25"/>
      <c r="K1605" s="24">
        <v>38.35</v>
      </c>
      <c r="L1605" s="25"/>
    </row>
    <row r="1606" spans="1:12" ht="15" customHeight="1" x14ac:dyDescent="0.25">
      <c r="A1606" s="15" t="s">
        <v>51</v>
      </c>
      <c r="B1606" s="16"/>
      <c r="C1606" s="16"/>
      <c r="D1606" s="16"/>
      <c r="E1606" s="16"/>
      <c r="F1606" s="16"/>
      <c r="G1606" s="16"/>
      <c r="H1606" s="16"/>
      <c r="I1606" s="16"/>
      <c r="J1606" s="17"/>
      <c r="K1606" s="15">
        <v>42.52</v>
      </c>
      <c r="L1606" s="17"/>
    </row>
    <row r="1607" spans="1:12" x14ac:dyDescent="0.25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</row>
    <row r="1608" spans="1:12" ht="15" customHeight="1" x14ac:dyDescent="0.25">
      <c r="A1608" s="10" t="s">
        <v>52</v>
      </c>
      <c r="B1608" s="11"/>
      <c r="C1608" s="11"/>
      <c r="D1608" s="11"/>
      <c r="E1608" s="12"/>
      <c r="F1608" s="8" t="s">
        <v>21</v>
      </c>
      <c r="G1608" s="8" t="s">
        <v>22</v>
      </c>
      <c r="H1608" s="9" t="s">
        <v>44</v>
      </c>
      <c r="I1608" s="13" t="s">
        <v>34</v>
      </c>
      <c r="J1608" s="14"/>
      <c r="K1608" s="13" t="s">
        <v>50</v>
      </c>
      <c r="L1608" s="14"/>
    </row>
    <row r="1609" spans="1:12" ht="15" customHeight="1" x14ac:dyDescent="0.25">
      <c r="A1609" s="15" t="s">
        <v>53</v>
      </c>
      <c r="B1609" s="16"/>
      <c r="C1609" s="16"/>
      <c r="D1609" s="16"/>
      <c r="E1609" s="16"/>
      <c r="F1609" s="16"/>
      <c r="G1609" s="16"/>
      <c r="H1609" s="16"/>
      <c r="I1609" s="16"/>
      <c r="J1609" s="17"/>
      <c r="K1609" s="15">
        <v>0</v>
      </c>
      <c r="L1609" s="17"/>
    </row>
    <row r="1610" spans="1:12" x14ac:dyDescent="0.25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</row>
    <row r="1611" spans="1:12" ht="15" customHeight="1" x14ac:dyDescent="0.25">
      <c r="A1611" s="10" t="s">
        <v>54</v>
      </c>
      <c r="B1611" s="11"/>
      <c r="C1611" s="12"/>
      <c r="D1611" s="8" t="s">
        <v>21</v>
      </c>
      <c r="E1611" s="8" t="s">
        <v>22</v>
      </c>
      <c r="F1611" s="9" t="s">
        <v>55</v>
      </c>
      <c r="G1611" s="8" t="s">
        <v>56</v>
      </c>
      <c r="H1611" s="8" t="s">
        <v>57</v>
      </c>
      <c r="I1611" s="8" t="s">
        <v>58</v>
      </c>
      <c r="J1611" s="9" t="s">
        <v>59</v>
      </c>
      <c r="K1611" s="9" t="s">
        <v>34</v>
      </c>
      <c r="L1611" s="9" t="s">
        <v>50</v>
      </c>
    </row>
    <row r="1612" spans="1:12" ht="15" customHeight="1" x14ac:dyDescent="0.25">
      <c r="A1612" s="15" t="s">
        <v>60</v>
      </c>
      <c r="B1612" s="16"/>
      <c r="C1612" s="16"/>
      <c r="D1612" s="16"/>
      <c r="E1612" s="16"/>
      <c r="F1612" s="16"/>
      <c r="G1612" s="16"/>
      <c r="H1612" s="16"/>
      <c r="I1612" s="16"/>
      <c r="J1612" s="17"/>
      <c r="K1612" s="15">
        <v>0</v>
      </c>
      <c r="L1612" s="17"/>
    </row>
    <row r="1613" spans="1:12" x14ac:dyDescent="0.25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</row>
    <row r="1614" spans="1:12" ht="15" customHeight="1" x14ac:dyDescent="0.25">
      <c r="A1614" s="27" t="s">
        <v>61</v>
      </c>
      <c r="B1614" s="27"/>
      <c r="C1614" s="27"/>
      <c r="D1614" s="27"/>
      <c r="E1614" s="27"/>
      <c r="F1614" s="27"/>
      <c r="G1614" s="27"/>
      <c r="H1614" s="27"/>
      <c r="I1614" s="27"/>
      <c r="J1614" s="27"/>
      <c r="K1614" s="27">
        <v>82.28</v>
      </c>
      <c r="L1614" s="27"/>
    </row>
    <row r="1615" spans="1:12" ht="15" customHeight="1" x14ac:dyDescent="0.25">
      <c r="A1615" s="27" t="s">
        <v>62</v>
      </c>
      <c r="B1615" s="27"/>
      <c r="C1615" s="27"/>
      <c r="D1615" s="27"/>
      <c r="E1615" s="27"/>
      <c r="F1615" s="27"/>
      <c r="G1615" s="27"/>
      <c r="H1615" s="27"/>
      <c r="I1615" s="27"/>
      <c r="J1615" s="27"/>
      <c r="K1615" s="27">
        <v>27.36</v>
      </c>
      <c r="L1615" s="27"/>
    </row>
    <row r="1616" spans="1:12" ht="15" customHeight="1" x14ac:dyDescent="0.25">
      <c r="A1616" s="27" t="s">
        <v>63</v>
      </c>
      <c r="B1616" s="27"/>
      <c r="C1616" s="27"/>
      <c r="D1616" s="27"/>
      <c r="E1616" s="27"/>
      <c r="F1616" s="27"/>
      <c r="G1616" s="27"/>
      <c r="H1616" s="27"/>
      <c r="I1616" s="27"/>
      <c r="J1616" s="27"/>
      <c r="K1616" s="27">
        <v>109.64</v>
      </c>
      <c r="L1616" s="27"/>
    </row>
    <row r="1617" spans="1:12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</row>
    <row r="1618" spans="1:12" ht="15" customHeight="1" x14ac:dyDescent="0.25">
      <c r="A1618" s="3" t="s">
        <v>8</v>
      </c>
      <c r="B1618" s="6" t="s">
        <v>9</v>
      </c>
      <c r="C1618" s="6"/>
      <c r="D1618" s="6"/>
      <c r="E1618" s="6"/>
      <c r="F1618" s="6"/>
      <c r="G1618" s="6"/>
      <c r="H1618" s="6"/>
      <c r="I1618" s="6"/>
      <c r="J1618" s="6"/>
      <c r="K1618" s="6"/>
      <c r="L1618" s="6"/>
    </row>
    <row r="1619" spans="1:12" ht="15" customHeight="1" x14ac:dyDescent="0.25">
      <c r="A1619" s="3" t="s">
        <v>10</v>
      </c>
      <c r="B1619" s="6" t="s">
        <v>210</v>
      </c>
      <c r="C1619" s="6"/>
      <c r="D1619" s="6"/>
      <c r="E1619" s="6"/>
      <c r="F1619" s="6"/>
      <c r="G1619" s="6"/>
      <c r="H1619" s="6"/>
      <c r="I1619" s="6"/>
      <c r="J1619" s="6"/>
      <c r="K1619" s="3" t="s">
        <v>12</v>
      </c>
      <c r="L1619" s="4" t="s">
        <v>87</v>
      </c>
    </row>
    <row r="1620" spans="1:12" ht="15" customHeight="1" x14ac:dyDescent="0.25">
      <c r="A1620" s="3" t="s">
        <v>14</v>
      </c>
      <c r="B1620" s="6" t="s">
        <v>15</v>
      </c>
      <c r="C1620" s="6"/>
      <c r="D1620" s="7" t="s">
        <v>16</v>
      </c>
      <c r="E1620" s="7"/>
      <c r="F1620" s="6" t="str">
        <f>"130321"</f>
        <v>130321</v>
      </c>
      <c r="G1620" s="6"/>
      <c r="H1620" s="3" t="s">
        <v>17</v>
      </c>
      <c r="I1620" s="6" t="s">
        <v>18</v>
      </c>
      <c r="J1620" s="6"/>
      <c r="K1620" s="3" t="s">
        <v>19</v>
      </c>
      <c r="L1620" s="5">
        <v>1</v>
      </c>
    </row>
    <row r="1621" spans="1:12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</row>
    <row r="1622" spans="1:12" ht="15" customHeight="1" x14ac:dyDescent="0.25">
      <c r="A1622" s="10" t="s">
        <v>20</v>
      </c>
      <c r="B1622" s="11"/>
      <c r="C1622" s="12"/>
      <c r="D1622" s="8" t="s">
        <v>21</v>
      </c>
      <c r="E1622" s="8" t="s">
        <v>22</v>
      </c>
      <c r="F1622" s="9" t="s">
        <v>23</v>
      </c>
      <c r="G1622" s="9" t="s">
        <v>24</v>
      </c>
      <c r="H1622" s="9" t="s">
        <v>25</v>
      </c>
      <c r="I1622" s="9" t="s">
        <v>26</v>
      </c>
      <c r="J1622" s="9" t="s">
        <v>27</v>
      </c>
      <c r="K1622" s="13" t="s">
        <v>28</v>
      </c>
      <c r="L1622" s="14"/>
    </row>
    <row r="1623" spans="1:12" ht="15" customHeight="1" x14ac:dyDescent="0.25">
      <c r="A1623" s="15" t="s">
        <v>29</v>
      </c>
      <c r="B1623" s="16"/>
      <c r="C1623" s="16"/>
      <c r="D1623" s="16"/>
      <c r="E1623" s="16"/>
      <c r="F1623" s="16"/>
      <c r="G1623" s="16"/>
      <c r="H1623" s="16"/>
      <c r="I1623" s="16"/>
      <c r="J1623" s="17"/>
      <c r="K1623" s="15">
        <v>0</v>
      </c>
      <c r="L1623" s="17"/>
    </row>
    <row r="1624" spans="1:12" x14ac:dyDescent="0.25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</row>
    <row r="1625" spans="1:12" ht="15" customHeight="1" x14ac:dyDescent="0.25">
      <c r="A1625" s="10" t="s">
        <v>30</v>
      </c>
      <c r="B1625" s="11"/>
      <c r="C1625" s="12"/>
      <c r="D1625" s="8" t="s">
        <v>21</v>
      </c>
      <c r="E1625" s="8" t="s">
        <v>22</v>
      </c>
      <c r="F1625" s="9" t="s">
        <v>31</v>
      </c>
      <c r="G1625" s="9" t="s">
        <v>32</v>
      </c>
      <c r="H1625" s="9" t="s">
        <v>33</v>
      </c>
      <c r="I1625" s="13" t="s">
        <v>34</v>
      </c>
      <c r="J1625" s="14"/>
      <c r="K1625" s="13" t="s">
        <v>28</v>
      </c>
      <c r="L1625" s="14"/>
    </row>
    <row r="1626" spans="1:12" ht="15" customHeight="1" x14ac:dyDescent="0.25">
      <c r="A1626" s="21" t="s">
        <v>65</v>
      </c>
      <c r="B1626" s="22"/>
      <c r="C1626" s="23"/>
      <c r="D1626" s="19" t="str">
        <f>"010124"</f>
        <v>010124</v>
      </c>
      <c r="E1626" s="19" t="s">
        <v>36</v>
      </c>
      <c r="F1626" s="20">
        <v>10.119999999999999</v>
      </c>
      <c r="G1626" s="20">
        <v>157.27000000000001</v>
      </c>
      <c r="H1626" s="20">
        <v>26.03</v>
      </c>
      <c r="I1626" s="24">
        <v>0.51</v>
      </c>
      <c r="J1626" s="25"/>
      <c r="K1626" s="24">
        <v>13.27</v>
      </c>
      <c r="L1626" s="25"/>
    </row>
    <row r="1627" spans="1:12" ht="15" customHeight="1" x14ac:dyDescent="0.25">
      <c r="A1627" s="21" t="s">
        <v>37</v>
      </c>
      <c r="B1627" s="22"/>
      <c r="C1627" s="23"/>
      <c r="D1627" s="19" t="str">
        <f>"010146"</f>
        <v>010146</v>
      </c>
      <c r="E1627" s="19" t="s">
        <v>36</v>
      </c>
      <c r="F1627" s="20">
        <v>7.65</v>
      </c>
      <c r="G1627" s="20">
        <v>157.27000000000001</v>
      </c>
      <c r="H1627" s="20">
        <v>19.68</v>
      </c>
      <c r="I1627" s="24">
        <v>0.75</v>
      </c>
      <c r="J1627" s="25"/>
      <c r="K1627" s="24">
        <v>14.76</v>
      </c>
      <c r="L1627" s="25"/>
    </row>
    <row r="1628" spans="1:12" ht="15" customHeight="1" x14ac:dyDescent="0.25">
      <c r="A1628" s="15" t="s">
        <v>38</v>
      </c>
      <c r="B1628" s="16"/>
      <c r="C1628" s="16"/>
      <c r="D1628" s="16"/>
      <c r="E1628" s="16"/>
      <c r="F1628" s="16"/>
      <c r="G1628" s="16"/>
      <c r="H1628" s="16"/>
      <c r="I1628" s="16"/>
      <c r="J1628" s="17"/>
      <c r="K1628" s="15">
        <v>28.03</v>
      </c>
      <c r="L1628" s="17"/>
    </row>
    <row r="1629" spans="1:12" x14ac:dyDescent="0.25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</row>
    <row r="1630" spans="1:12" ht="15" customHeight="1" x14ac:dyDescent="0.25">
      <c r="A1630" s="10" t="s">
        <v>39</v>
      </c>
      <c r="B1630" s="11"/>
      <c r="C1630" s="12"/>
      <c r="D1630" s="8" t="s">
        <v>21</v>
      </c>
      <c r="E1630" s="13" t="s">
        <v>40</v>
      </c>
      <c r="F1630" s="14"/>
      <c r="G1630" s="8" t="s">
        <v>41</v>
      </c>
      <c r="H1630" s="8" t="s">
        <v>42</v>
      </c>
      <c r="I1630" s="8" t="s">
        <v>43</v>
      </c>
      <c r="J1630" s="13" t="s">
        <v>44</v>
      </c>
      <c r="K1630" s="26"/>
      <c r="L1630" s="14"/>
    </row>
    <row r="1631" spans="1:12" ht="15" customHeight="1" x14ac:dyDescent="0.25">
      <c r="A1631" s="15" t="s">
        <v>45</v>
      </c>
      <c r="B1631" s="16"/>
      <c r="C1631" s="16"/>
      <c r="D1631" s="16"/>
      <c r="E1631" s="16"/>
      <c r="F1631" s="16"/>
      <c r="G1631" s="16"/>
      <c r="H1631" s="16"/>
      <c r="I1631" s="16"/>
      <c r="J1631" s="17"/>
      <c r="K1631" s="15">
        <v>0</v>
      </c>
      <c r="L1631" s="17"/>
    </row>
    <row r="1632" spans="1:12" x14ac:dyDescent="0.25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</row>
    <row r="1633" spans="1:12" ht="15" customHeight="1" x14ac:dyDescent="0.25">
      <c r="A1633" s="27" t="s">
        <v>46</v>
      </c>
      <c r="B1633" s="27"/>
      <c r="C1633" s="27"/>
      <c r="D1633" s="27"/>
      <c r="E1633" s="27"/>
      <c r="F1633" s="27"/>
      <c r="G1633" s="27"/>
      <c r="H1633" s="27"/>
      <c r="I1633" s="27"/>
      <c r="J1633" s="27"/>
      <c r="K1633" s="27">
        <v>28.03</v>
      </c>
      <c r="L1633" s="27"/>
    </row>
    <row r="1634" spans="1:12" ht="15" customHeight="1" x14ac:dyDescent="0.25">
      <c r="A1634" s="27" t="s">
        <v>47</v>
      </c>
      <c r="B1634" s="27"/>
      <c r="C1634" s="27"/>
      <c r="D1634" s="27"/>
      <c r="E1634" s="27"/>
      <c r="F1634" s="27"/>
      <c r="G1634" s="27"/>
      <c r="H1634" s="27"/>
      <c r="I1634" s="27"/>
      <c r="J1634" s="27"/>
      <c r="K1634" s="27">
        <v>1</v>
      </c>
      <c r="L1634" s="27"/>
    </row>
    <row r="1635" spans="1:12" ht="15" customHeight="1" x14ac:dyDescent="0.25">
      <c r="A1635" s="27" t="s">
        <v>48</v>
      </c>
      <c r="B1635" s="27"/>
      <c r="C1635" s="27"/>
      <c r="D1635" s="27"/>
      <c r="E1635" s="27"/>
      <c r="F1635" s="27"/>
      <c r="G1635" s="27"/>
      <c r="H1635" s="27"/>
      <c r="I1635" s="27"/>
      <c r="J1635" s="27"/>
      <c r="K1635" s="27">
        <v>28.03</v>
      </c>
      <c r="L1635" s="27"/>
    </row>
    <row r="1636" spans="1:12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</row>
    <row r="1637" spans="1:12" ht="15" customHeight="1" x14ac:dyDescent="0.25">
      <c r="A1637" s="10" t="s">
        <v>49</v>
      </c>
      <c r="B1637" s="11"/>
      <c r="C1637" s="11"/>
      <c r="D1637" s="11"/>
      <c r="E1637" s="12"/>
      <c r="F1637" s="8" t="s">
        <v>21</v>
      </c>
      <c r="G1637" s="8" t="s">
        <v>22</v>
      </c>
      <c r="H1637" s="9" t="s">
        <v>44</v>
      </c>
      <c r="I1637" s="13" t="s">
        <v>34</v>
      </c>
      <c r="J1637" s="14"/>
      <c r="K1637" s="13" t="s">
        <v>50</v>
      </c>
      <c r="L1637" s="14"/>
    </row>
    <row r="1638" spans="1:12" ht="15" customHeight="1" x14ac:dyDescent="0.25">
      <c r="A1638" s="21" t="s">
        <v>122</v>
      </c>
      <c r="B1638" s="22"/>
      <c r="C1638" s="22"/>
      <c r="D1638" s="22"/>
      <c r="E1638" s="23"/>
      <c r="F1638" s="19" t="str">
        <f>"020503"</f>
        <v>020503</v>
      </c>
      <c r="G1638" s="19" t="s">
        <v>105</v>
      </c>
      <c r="H1638" s="20">
        <v>152</v>
      </c>
      <c r="I1638" s="24">
        <v>8.26E-3</v>
      </c>
      <c r="J1638" s="25"/>
      <c r="K1638" s="24">
        <v>1.25</v>
      </c>
      <c r="L1638" s="25"/>
    </row>
    <row r="1639" spans="1:12" ht="15" customHeight="1" x14ac:dyDescent="0.25">
      <c r="A1639" s="21" t="s">
        <v>123</v>
      </c>
      <c r="B1639" s="22"/>
      <c r="C1639" s="22"/>
      <c r="D1639" s="22"/>
      <c r="E1639" s="23"/>
      <c r="F1639" s="19" t="str">
        <f>"020505"</f>
        <v>020505</v>
      </c>
      <c r="G1639" s="19" t="s">
        <v>124</v>
      </c>
      <c r="H1639" s="20">
        <v>1.07</v>
      </c>
      <c r="I1639" s="24">
        <v>0.308</v>
      </c>
      <c r="J1639" s="25"/>
      <c r="K1639" s="24">
        <v>0.32</v>
      </c>
      <c r="L1639" s="25"/>
    </row>
    <row r="1640" spans="1:12" ht="15" customHeight="1" x14ac:dyDescent="0.25">
      <c r="A1640" s="21" t="s">
        <v>125</v>
      </c>
      <c r="B1640" s="22"/>
      <c r="C1640" s="22"/>
      <c r="D1640" s="22"/>
      <c r="E1640" s="23"/>
      <c r="F1640" s="19" t="str">
        <f>"020508"</f>
        <v>020508</v>
      </c>
      <c r="G1640" s="19" t="s">
        <v>124</v>
      </c>
      <c r="H1640" s="20">
        <v>0.59</v>
      </c>
      <c r="I1640" s="24">
        <v>1.19</v>
      </c>
      <c r="J1640" s="25"/>
      <c r="K1640" s="24">
        <v>0.7</v>
      </c>
      <c r="L1640" s="25"/>
    </row>
    <row r="1641" spans="1:12" ht="15" customHeight="1" x14ac:dyDescent="0.25">
      <c r="A1641" s="21" t="s">
        <v>184</v>
      </c>
      <c r="B1641" s="22"/>
      <c r="C1641" s="22"/>
      <c r="D1641" s="22"/>
      <c r="E1641" s="23"/>
      <c r="F1641" s="19" t="str">
        <f>"020509"</f>
        <v>020509</v>
      </c>
      <c r="G1641" s="19" t="s">
        <v>124</v>
      </c>
      <c r="H1641" s="20">
        <v>4.22</v>
      </c>
      <c r="I1641" s="24">
        <v>0.5</v>
      </c>
      <c r="J1641" s="25"/>
      <c r="K1641" s="24">
        <v>2.11</v>
      </c>
      <c r="L1641" s="25"/>
    </row>
    <row r="1642" spans="1:12" ht="15" customHeight="1" x14ac:dyDescent="0.25">
      <c r="A1642" s="21" t="s">
        <v>211</v>
      </c>
      <c r="B1642" s="22"/>
      <c r="C1642" s="22"/>
      <c r="D1642" s="22"/>
      <c r="E1642" s="23"/>
      <c r="F1642" s="19" t="str">
        <f>"036091"</f>
        <v>036091</v>
      </c>
      <c r="G1642" s="19" t="s">
        <v>99</v>
      </c>
      <c r="H1642" s="20">
        <v>17.940000000000001</v>
      </c>
      <c r="I1642" s="24">
        <v>1</v>
      </c>
      <c r="J1642" s="25"/>
      <c r="K1642" s="24">
        <v>17.940000000000001</v>
      </c>
      <c r="L1642" s="25"/>
    </row>
    <row r="1643" spans="1:12" ht="15" customHeight="1" x14ac:dyDescent="0.25">
      <c r="A1643" s="15" t="s">
        <v>51</v>
      </c>
      <c r="B1643" s="16"/>
      <c r="C1643" s="16"/>
      <c r="D1643" s="16"/>
      <c r="E1643" s="16"/>
      <c r="F1643" s="16"/>
      <c r="G1643" s="16"/>
      <c r="H1643" s="16"/>
      <c r="I1643" s="16"/>
      <c r="J1643" s="17"/>
      <c r="K1643" s="15">
        <v>22.32</v>
      </c>
      <c r="L1643" s="17"/>
    </row>
    <row r="1644" spans="1:12" x14ac:dyDescent="0.25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</row>
    <row r="1645" spans="1:12" ht="15" customHeight="1" x14ac:dyDescent="0.25">
      <c r="A1645" s="10" t="s">
        <v>52</v>
      </c>
      <c r="B1645" s="11"/>
      <c r="C1645" s="11"/>
      <c r="D1645" s="11"/>
      <c r="E1645" s="12"/>
      <c r="F1645" s="8" t="s">
        <v>21</v>
      </c>
      <c r="G1645" s="8" t="s">
        <v>22</v>
      </c>
      <c r="H1645" s="9" t="s">
        <v>44</v>
      </c>
      <c r="I1645" s="13" t="s">
        <v>34</v>
      </c>
      <c r="J1645" s="14"/>
      <c r="K1645" s="13" t="s">
        <v>50</v>
      </c>
      <c r="L1645" s="14"/>
    </row>
    <row r="1646" spans="1:12" ht="15" customHeight="1" x14ac:dyDescent="0.25">
      <c r="A1646" s="15" t="s">
        <v>53</v>
      </c>
      <c r="B1646" s="16"/>
      <c r="C1646" s="16"/>
      <c r="D1646" s="16"/>
      <c r="E1646" s="16"/>
      <c r="F1646" s="16"/>
      <c r="G1646" s="16"/>
      <c r="H1646" s="16"/>
      <c r="I1646" s="16"/>
      <c r="J1646" s="17"/>
      <c r="K1646" s="15">
        <v>0</v>
      </c>
      <c r="L1646" s="17"/>
    </row>
    <row r="1647" spans="1:12" x14ac:dyDescent="0.25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</row>
    <row r="1648" spans="1:12" ht="15" customHeight="1" x14ac:dyDescent="0.25">
      <c r="A1648" s="10" t="s">
        <v>54</v>
      </c>
      <c r="B1648" s="11"/>
      <c r="C1648" s="12"/>
      <c r="D1648" s="8" t="s">
        <v>21</v>
      </c>
      <c r="E1648" s="8" t="s">
        <v>22</v>
      </c>
      <c r="F1648" s="9" t="s">
        <v>55</v>
      </c>
      <c r="G1648" s="8" t="s">
        <v>56</v>
      </c>
      <c r="H1648" s="8" t="s">
        <v>57</v>
      </c>
      <c r="I1648" s="8" t="s">
        <v>58</v>
      </c>
      <c r="J1648" s="9" t="s">
        <v>59</v>
      </c>
      <c r="K1648" s="9" t="s">
        <v>34</v>
      </c>
      <c r="L1648" s="9" t="s">
        <v>50</v>
      </c>
    </row>
    <row r="1649" spans="1:12" ht="15" customHeight="1" x14ac:dyDescent="0.25">
      <c r="A1649" s="15" t="s">
        <v>60</v>
      </c>
      <c r="B1649" s="16"/>
      <c r="C1649" s="16"/>
      <c r="D1649" s="16"/>
      <c r="E1649" s="16"/>
      <c r="F1649" s="16"/>
      <c r="G1649" s="16"/>
      <c r="H1649" s="16"/>
      <c r="I1649" s="16"/>
      <c r="J1649" s="17"/>
      <c r="K1649" s="15">
        <v>0</v>
      </c>
      <c r="L1649" s="17"/>
    </row>
    <row r="1650" spans="1:12" x14ac:dyDescent="0.25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</row>
    <row r="1651" spans="1:12" ht="15" customHeight="1" x14ac:dyDescent="0.25">
      <c r="A1651" s="27" t="s">
        <v>61</v>
      </c>
      <c r="B1651" s="27"/>
      <c r="C1651" s="27"/>
      <c r="D1651" s="27"/>
      <c r="E1651" s="27"/>
      <c r="F1651" s="27"/>
      <c r="G1651" s="27"/>
      <c r="H1651" s="27"/>
      <c r="I1651" s="27"/>
      <c r="J1651" s="27"/>
      <c r="K1651" s="27">
        <v>50.35</v>
      </c>
      <c r="L1651" s="27"/>
    </row>
    <row r="1652" spans="1:12" ht="15" customHeight="1" x14ac:dyDescent="0.25">
      <c r="A1652" s="27" t="s">
        <v>62</v>
      </c>
      <c r="B1652" s="27"/>
      <c r="C1652" s="27"/>
      <c r="D1652" s="27"/>
      <c r="E1652" s="27"/>
      <c r="F1652" s="27"/>
      <c r="G1652" s="27"/>
      <c r="H1652" s="27"/>
      <c r="I1652" s="27"/>
      <c r="J1652" s="27"/>
      <c r="K1652" s="27">
        <v>16.739999999999998</v>
      </c>
      <c r="L1652" s="27"/>
    </row>
    <row r="1653" spans="1:12" ht="15" customHeight="1" x14ac:dyDescent="0.25">
      <c r="A1653" s="27" t="s">
        <v>63</v>
      </c>
      <c r="B1653" s="27"/>
      <c r="C1653" s="27"/>
      <c r="D1653" s="27"/>
      <c r="E1653" s="27"/>
      <c r="F1653" s="27"/>
      <c r="G1653" s="27"/>
      <c r="H1653" s="27"/>
      <c r="I1653" s="27"/>
      <c r="J1653" s="27"/>
      <c r="K1653" s="27">
        <v>67.09</v>
      </c>
      <c r="L1653" s="27"/>
    </row>
    <row r="1654" spans="1:12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</row>
    <row r="1655" spans="1:12" ht="15" customHeight="1" x14ac:dyDescent="0.25">
      <c r="A1655" s="3" t="s">
        <v>8</v>
      </c>
      <c r="B1655" s="6" t="s">
        <v>9</v>
      </c>
      <c r="C1655" s="6"/>
      <c r="D1655" s="6"/>
      <c r="E1655" s="6"/>
      <c r="F1655" s="6"/>
      <c r="G1655" s="6"/>
      <c r="H1655" s="6"/>
      <c r="I1655" s="6"/>
      <c r="J1655" s="6"/>
      <c r="K1655" s="6"/>
      <c r="L1655" s="6"/>
    </row>
    <row r="1656" spans="1:12" ht="15" customHeight="1" x14ac:dyDescent="0.25">
      <c r="A1656" s="3" t="s">
        <v>10</v>
      </c>
      <c r="B1656" s="6" t="s">
        <v>212</v>
      </c>
      <c r="C1656" s="6"/>
      <c r="D1656" s="6"/>
      <c r="E1656" s="6"/>
      <c r="F1656" s="6"/>
      <c r="G1656" s="6"/>
      <c r="H1656" s="6"/>
      <c r="I1656" s="6"/>
      <c r="J1656" s="6"/>
      <c r="K1656" s="3" t="s">
        <v>12</v>
      </c>
      <c r="L1656" s="4" t="s">
        <v>87</v>
      </c>
    </row>
    <row r="1657" spans="1:12" ht="15" customHeight="1" x14ac:dyDescent="0.25">
      <c r="A1657" s="3" t="s">
        <v>14</v>
      </c>
      <c r="B1657" s="6" t="s">
        <v>15</v>
      </c>
      <c r="C1657" s="6"/>
      <c r="D1657" s="7" t="s">
        <v>16</v>
      </c>
      <c r="E1657" s="7"/>
      <c r="F1657" s="6" t="str">
        <f>"141410"</f>
        <v>141410</v>
      </c>
      <c r="G1657" s="6"/>
      <c r="H1657" s="3" t="s">
        <v>17</v>
      </c>
      <c r="I1657" s="6" t="s">
        <v>18</v>
      </c>
      <c r="J1657" s="6"/>
      <c r="K1657" s="3" t="s">
        <v>19</v>
      </c>
      <c r="L1657" s="5">
        <v>1</v>
      </c>
    </row>
    <row r="1658" spans="1:12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</row>
    <row r="1659" spans="1:12" ht="15" customHeight="1" x14ac:dyDescent="0.25">
      <c r="A1659" s="10" t="s">
        <v>20</v>
      </c>
      <c r="B1659" s="11"/>
      <c r="C1659" s="12"/>
      <c r="D1659" s="8" t="s">
        <v>21</v>
      </c>
      <c r="E1659" s="8" t="s">
        <v>22</v>
      </c>
      <c r="F1659" s="9" t="s">
        <v>23</v>
      </c>
      <c r="G1659" s="9" t="s">
        <v>24</v>
      </c>
      <c r="H1659" s="9" t="s">
        <v>25</v>
      </c>
      <c r="I1659" s="9" t="s">
        <v>26</v>
      </c>
      <c r="J1659" s="9" t="s">
        <v>27</v>
      </c>
      <c r="K1659" s="13" t="s">
        <v>28</v>
      </c>
      <c r="L1659" s="14"/>
    </row>
    <row r="1660" spans="1:12" ht="15" customHeight="1" x14ac:dyDescent="0.25">
      <c r="A1660" s="15" t="s">
        <v>29</v>
      </c>
      <c r="B1660" s="16"/>
      <c r="C1660" s="16"/>
      <c r="D1660" s="16"/>
      <c r="E1660" s="16"/>
      <c r="F1660" s="16"/>
      <c r="G1660" s="16"/>
      <c r="H1660" s="16"/>
      <c r="I1660" s="16"/>
      <c r="J1660" s="17"/>
      <c r="K1660" s="15">
        <v>0</v>
      </c>
      <c r="L1660" s="17"/>
    </row>
    <row r="1661" spans="1:12" x14ac:dyDescent="0.25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</row>
    <row r="1662" spans="1:12" ht="15" customHeight="1" x14ac:dyDescent="0.25">
      <c r="A1662" s="10" t="s">
        <v>30</v>
      </c>
      <c r="B1662" s="11"/>
      <c r="C1662" s="12"/>
      <c r="D1662" s="8" t="s">
        <v>21</v>
      </c>
      <c r="E1662" s="8" t="s">
        <v>22</v>
      </c>
      <c r="F1662" s="9" t="s">
        <v>31</v>
      </c>
      <c r="G1662" s="9" t="s">
        <v>32</v>
      </c>
      <c r="H1662" s="9" t="s">
        <v>33</v>
      </c>
      <c r="I1662" s="13" t="s">
        <v>34</v>
      </c>
      <c r="J1662" s="14"/>
      <c r="K1662" s="13" t="s">
        <v>28</v>
      </c>
      <c r="L1662" s="14"/>
    </row>
    <row r="1663" spans="1:12" ht="15" customHeight="1" x14ac:dyDescent="0.25">
      <c r="A1663" s="21" t="s">
        <v>76</v>
      </c>
      <c r="B1663" s="22"/>
      <c r="C1663" s="23"/>
      <c r="D1663" s="19" t="str">
        <f>"010101"</f>
        <v>010101</v>
      </c>
      <c r="E1663" s="19" t="s">
        <v>36</v>
      </c>
      <c r="F1663" s="20">
        <v>8.5299999999999994</v>
      </c>
      <c r="G1663" s="20">
        <v>157.27000000000001</v>
      </c>
      <c r="H1663" s="20">
        <v>21.94</v>
      </c>
      <c r="I1663" s="24">
        <v>0.378</v>
      </c>
      <c r="J1663" s="25"/>
      <c r="K1663" s="24">
        <v>8.2899999999999991</v>
      </c>
      <c r="L1663" s="25"/>
    </row>
    <row r="1664" spans="1:12" ht="15" customHeight="1" x14ac:dyDescent="0.25">
      <c r="A1664" s="21" t="s">
        <v>85</v>
      </c>
      <c r="B1664" s="22"/>
      <c r="C1664" s="23"/>
      <c r="D1664" s="19" t="str">
        <f>"010118"</f>
        <v>010118</v>
      </c>
      <c r="E1664" s="19" t="s">
        <v>36</v>
      </c>
      <c r="F1664" s="20">
        <v>10.119999999999999</v>
      </c>
      <c r="G1664" s="20">
        <v>157.27000000000001</v>
      </c>
      <c r="H1664" s="20">
        <v>26.03</v>
      </c>
      <c r="I1664" s="24">
        <v>0.378</v>
      </c>
      <c r="J1664" s="25"/>
      <c r="K1664" s="24">
        <v>9.83</v>
      </c>
      <c r="L1664" s="25"/>
    </row>
    <row r="1665" spans="1:12" ht="15" customHeight="1" x14ac:dyDescent="0.25">
      <c r="A1665" s="15" t="s">
        <v>38</v>
      </c>
      <c r="B1665" s="16"/>
      <c r="C1665" s="16"/>
      <c r="D1665" s="16"/>
      <c r="E1665" s="16"/>
      <c r="F1665" s="16"/>
      <c r="G1665" s="16"/>
      <c r="H1665" s="16"/>
      <c r="I1665" s="16"/>
      <c r="J1665" s="17"/>
      <c r="K1665" s="15">
        <v>18.12</v>
      </c>
      <c r="L1665" s="17"/>
    </row>
    <row r="1666" spans="1:12" x14ac:dyDescent="0.25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</row>
    <row r="1667" spans="1:12" ht="15" customHeight="1" x14ac:dyDescent="0.25">
      <c r="A1667" s="10" t="s">
        <v>39</v>
      </c>
      <c r="B1667" s="11"/>
      <c r="C1667" s="12"/>
      <c r="D1667" s="8" t="s">
        <v>21</v>
      </c>
      <c r="E1667" s="13" t="s">
        <v>40</v>
      </c>
      <c r="F1667" s="14"/>
      <c r="G1667" s="8" t="s">
        <v>41</v>
      </c>
      <c r="H1667" s="8" t="s">
        <v>42</v>
      </c>
      <c r="I1667" s="8" t="s">
        <v>43</v>
      </c>
      <c r="J1667" s="13" t="s">
        <v>44</v>
      </c>
      <c r="K1667" s="26"/>
      <c r="L1667" s="14"/>
    </row>
    <row r="1668" spans="1:12" ht="15" customHeight="1" x14ac:dyDescent="0.25">
      <c r="A1668" s="15" t="s">
        <v>45</v>
      </c>
      <c r="B1668" s="16"/>
      <c r="C1668" s="16"/>
      <c r="D1668" s="16"/>
      <c r="E1668" s="16"/>
      <c r="F1668" s="16"/>
      <c r="G1668" s="16"/>
      <c r="H1668" s="16"/>
      <c r="I1668" s="16"/>
      <c r="J1668" s="17"/>
      <c r="K1668" s="15">
        <v>0</v>
      </c>
      <c r="L1668" s="17"/>
    </row>
    <row r="1669" spans="1:12" x14ac:dyDescent="0.25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</row>
    <row r="1670" spans="1:12" ht="15" customHeight="1" x14ac:dyDescent="0.25">
      <c r="A1670" s="27" t="s">
        <v>46</v>
      </c>
      <c r="B1670" s="27"/>
      <c r="C1670" s="27"/>
      <c r="D1670" s="27"/>
      <c r="E1670" s="27"/>
      <c r="F1670" s="27"/>
      <c r="G1670" s="27"/>
      <c r="H1670" s="27"/>
      <c r="I1670" s="27"/>
      <c r="J1670" s="27"/>
      <c r="K1670" s="27">
        <v>18.12</v>
      </c>
      <c r="L1670" s="27"/>
    </row>
    <row r="1671" spans="1:12" ht="15" customHeight="1" x14ac:dyDescent="0.25">
      <c r="A1671" s="27" t="s">
        <v>47</v>
      </c>
      <c r="B1671" s="27"/>
      <c r="C1671" s="27"/>
      <c r="D1671" s="27"/>
      <c r="E1671" s="27"/>
      <c r="F1671" s="27"/>
      <c r="G1671" s="27"/>
      <c r="H1671" s="27"/>
      <c r="I1671" s="27"/>
      <c r="J1671" s="27"/>
      <c r="K1671" s="27">
        <v>1</v>
      </c>
      <c r="L1671" s="27"/>
    </row>
    <row r="1672" spans="1:12" ht="15" customHeight="1" x14ac:dyDescent="0.25">
      <c r="A1672" s="27" t="s">
        <v>48</v>
      </c>
      <c r="B1672" s="27"/>
      <c r="C1672" s="27"/>
      <c r="D1672" s="27"/>
      <c r="E1672" s="27"/>
      <c r="F1672" s="27"/>
      <c r="G1672" s="27"/>
      <c r="H1672" s="27"/>
      <c r="I1672" s="27"/>
      <c r="J1672" s="27"/>
      <c r="K1672" s="27">
        <v>18.12</v>
      </c>
      <c r="L1672" s="27"/>
    </row>
    <row r="1673" spans="1:12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</row>
    <row r="1674" spans="1:12" ht="15" customHeight="1" x14ac:dyDescent="0.25">
      <c r="A1674" s="10" t="s">
        <v>49</v>
      </c>
      <c r="B1674" s="11"/>
      <c r="C1674" s="11"/>
      <c r="D1674" s="11"/>
      <c r="E1674" s="12"/>
      <c r="F1674" s="8" t="s">
        <v>21</v>
      </c>
      <c r="G1674" s="8" t="s">
        <v>22</v>
      </c>
      <c r="H1674" s="9" t="s">
        <v>44</v>
      </c>
      <c r="I1674" s="13" t="s">
        <v>34</v>
      </c>
      <c r="J1674" s="14"/>
      <c r="K1674" s="13" t="s">
        <v>50</v>
      </c>
      <c r="L1674" s="14"/>
    </row>
    <row r="1675" spans="1:12" ht="15" customHeight="1" x14ac:dyDescent="0.25">
      <c r="A1675" s="21" t="s">
        <v>213</v>
      </c>
      <c r="B1675" s="22"/>
      <c r="C1675" s="22"/>
      <c r="D1675" s="22"/>
      <c r="E1675" s="23"/>
      <c r="F1675" s="19" t="str">
        <f>"062502"</f>
        <v>062502</v>
      </c>
      <c r="G1675" s="19" t="s">
        <v>99</v>
      </c>
      <c r="H1675" s="20">
        <v>5.41</v>
      </c>
      <c r="I1675" s="24">
        <v>1.1499999999999999</v>
      </c>
      <c r="J1675" s="25"/>
      <c r="K1675" s="24">
        <v>6.22</v>
      </c>
      <c r="L1675" s="25"/>
    </row>
    <row r="1676" spans="1:12" ht="15" customHeight="1" x14ac:dyDescent="0.25">
      <c r="A1676" s="21" t="s">
        <v>214</v>
      </c>
      <c r="B1676" s="22"/>
      <c r="C1676" s="22"/>
      <c r="D1676" s="22"/>
      <c r="E1676" s="23"/>
      <c r="F1676" s="19" t="str">
        <f>"063341"</f>
        <v>063341</v>
      </c>
      <c r="G1676" s="19" t="s">
        <v>81</v>
      </c>
      <c r="H1676" s="20">
        <v>2.38</v>
      </c>
      <c r="I1676" s="24">
        <v>5.4999999999999997E-3</v>
      </c>
      <c r="J1676" s="25"/>
      <c r="K1676" s="24">
        <v>0.01</v>
      </c>
      <c r="L1676" s="25"/>
    </row>
    <row r="1677" spans="1:12" ht="15" customHeight="1" x14ac:dyDescent="0.25">
      <c r="A1677" s="21" t="s">
        <v>215</v>
      </c>
      <c r="B1677" s="22"/>
      <c r="C1677" s="22"/>
      <c r="D1677" s="22"/>
      <c r="E1677" s="23"/>
      <c r="F1677" s="19" t="str">
        <f>"069513"</f>
        <v>069513</v>
      </c>
      <c r="G1677" s="19" t="s">
        <v>124</v>
      </c>
      <c r="H1677" s="20">
        <v>56.83</v>
      </c>
      <c r="I1677" s="24">
        <v>7.0399999999999998E-4</v>
      </c>
      <c r="J1677" s="25"/>
      <c r="K1677" s="24">
        <v>0.04</v>
      </c>
      <c r="L1677" s="25"/>
    </row>
    <row r="1678" spans="1:12" ht="15" customHeight="1" x14ac:dyDescent="0.25">
      <c r="A1678" s="21" t="s">
        <v>216</v>
      </c>
      <c r="B1678" s="22"/>
      <c r="C1678" s="22"/>
      <c r="D1678" s="22"/>
      <c r="E1678" s="23"/>
      <c r="F1678" s="19" t="str">
        <f>"069514"</f>
        <v>069514</v>
      </c>
      <c r="G1678" s="19" t="s">
        <v>109</v>
      </c>
      <c r="H1678" s="20">
        <v>72.23</v>
      </c>
      <c r="I1678" s="24">
        <v>2.9999999999999997E-4</v>
      </c>
      <c r="J1678" s="25"/>
      <c r="K1678" s="24">
        <v>0.02</v>
      </c>
      <c r="L1678" s="25"/>
    </row>
    <row r="1679" spans="1:12" ht="15" customHeight="1" x14ac:dyDescent="0.25">
      <c r="A1679" s="15" t="s">
        <v>51</v>
      </c>
      <c r="B1679" s="16"/>
      <c r="C1679" s="16"/>
      <c r="D1679" s="16"/>
      <c r="E1679" s="16"/>
      <c r="F1679" s="16"/>
      <c r="G1679" s="16"/>
      <c r="H1679" s="16"/>
      <c r="I1679" s="16"/>
      <c r="J1679" s="17"/>
      <c r="K1679" s="15">
        <v>6.29</v>
      </c>
      <c r="L1679" s="17"/>
    </row>
    <row r="1680" spans="1:12" x14ac:dyDescent="0.25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</row>
    <row r="1681" spans="1:12" ht="15" customHeight="1" x14ac:dyDescent="0.25">
      <c r="A1681" s="10" t="s">
        <v>52</v>
      </c>
      <c r="B1681" s="11"/>
      <c r="C1681" s="11"/>
      <c r="D1681" s="11"/>
      <c r="E1681" s="12"/>
      <c r="F1681" s="8" t="s">
        <v>21</v>
      </c>
      <c r="G1681" s="8" t="s">
        <v>22</v>
      </c>
      <c r="H1681" s="9" t="s">
        <v>44</v>
      </c>
      <c r="I1681" s="13" t="s">
        <v>34</v>
      </c>
      <c r="J1681" s="14"/>
      <c r="K1681" s="13" t="s">
        <v>50</v>
      </c>
      <c r="L1681" s="14"/>
    </row>
    <row r="1682" spans="1:12" ht="15" customHeight="1" x14ac:dyDescent="0.25">
      <c r="A1682" s="15" t="s">
        <v>53</v>
      </c>
      <c r="B1682" s="16"/>
      <c r="C1682" s="16"/>
      <c r="D1682" s="16"/>
      <c r="E1682" s="16"/>
      <c r="F1682" s="16"/>
      <c r="G1682" s="16"/>
      <c r="H1682" s="16"/>
      <c r="I1682" s="16"/>
      <c r="J1682" s="17"/>
      <c r="K1682" s="15">
        <v>0</v>
      </c>
      <c r="L1682" s="17"/>
    </row>
    <row r="1683" spans="1:12" x14ac:dyDescent="0.25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</row>
    <row r="1684" spans="1:12" ht="15" customHeight="1" x14ac:dyDescent="0.25">
      <c r="A1684" s="10" t="s">
        <v>54</v>
      </c>
      <c r="B1684" s="11"/>
      <c r="C1684" s="12"/>
      <c r="D1684" s="8" t="s">
        <v>21</v>
      </c>
      <c r="E1684" s="8" t="s">
        <v>22</v>
      </c>
      <c r="F1684" s="9" t="s">
        <v>55</v>
      </c>
      <c r="G1684" s="8" t="s">
        <v>56</v>
      </c>
      <c r="H1684" s="8" t="s">
        <v>57</v>
      </c>
      <c r="I1684" s="8" t="s">
        <v>58</v>
      </c>
      <c r="J1684" s="9" t="s">
        <v>59</v>
      </c>
      <c r="K1684" s="9" t="s">
        <v>34</v>
      </c>
      <c r="L1684" s="9" t="s">
        <v>50</v>
      </c>
    </row>
    <row r="1685" spans="1:12" ht="15" customHeight="1" x14ac:dyDescent="0.25">
      <c r="A1685" s="15" t="s">
        <v>60</v>
      </c>
      <c r="B1685" s="16"/>
      <c r="C1685" s="16"/>
      <c r="D1685" s="16"/>
      <c r="E1685" s="16"/>
      <c r="F1685" s="16"/>
      <c r="G1685" s="16"/>
      <c r="H1685" s="16"/>
      <c r="I1685" s="16"/>
      <c r="J1685" s="17"/>
      <c r="K1685" s="15">
        <v>0</v>
      </c>
      <c r="L1685" s="17"/>
    </row>
    <row r="1686" spans="1:12" x14ac:dyDescent="0.25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</row>
    <row r="1687" spans="1:12" ht="15" customHeight="1" x14ac:dyDescent="0.25">
      <c r="A1687" s="27" t="s">
        <v>61</v>
      </c>
      <c r="B1687" s="27"/>
      <c r="C1687" s="27"/>
      <c r="D1687" s="27"/>
      <c r="E1687" s="27"/>
      <c r="F1687" s="27"/>
      <c r="G1687" s="27"/>
      <c r="H1687" s="27"/>
      <c r="I1687" s="27"/>
      <c r="J1687" s="27"/>
      <c r="K1687" s="27">
        <v>24.41</v>
      </c>
      <c r="L1687" s="27"/>
    </row>
    <row r="1688" spans="1:12" ht="15" customHeight="1" x14ac:dyDescent="0.25">
      <c r="A1688" s="27" t="s">
        <v>62</v>
      </c>
      <c r="B1688" s="27"/>
      <c r="C1688" s="27"/>
      <c r="D1688" s="27"/>
      <c r="E1688" s="27"/>
      <c r="F1688" s="27"/>
      <c r="G1688" s="27"/>
      <c r="H1688" s="27"/>
      <c r="I1688" s="27"/>
      <c r="J1688" s="27"/>
      <c r="K1688" s="27">
        <v>8.1199999999999992</v>
      </c>
      <c r="L1688" s="27"/>
    </row>
    <row r="1689" spans="1:12" ht="15" customHeight="1" x14ac:dyDescent="0.25">
      <c r="A1689" s="27" t="s">
        <v>63</v>
      </c>
      <c r="B1689" s="27"/>
      <c r="C1689" s="27"/>
      <c r="D1689" s="27"/>
      <c r="E1689" s="27"/>
      <c r="F1689" s="27"/>
      <c r="G1689" s="27"/>
      <c r="H1689" s="27"/>
      <c r="I1689" s="27"/>
      <c r="J1689" s="27"/>
      <c r="K1689" s="27">
        <v>32.53</v>
      </c>
      <c r="L1689" s="27"/>
    </row>
    <row r="1690" spans="1:12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</row>
    <row r="1691" spans="1:12" ht="15" customHeight="1" x14ac:dyDescent="0.25">
      <c r="A1691" s="3" t="s">
        <v>8</v>
      </c>
      <c r="B1691" s="6" t="s">
        <v>9</v>
      </c>
      <c r="C1691" s="6"/>
      <c r="D1691" s="6"/>
      <c r="E1691" s="6"/>
      <c r="F1691" s="6"/>
      <c r="G1691" s="6"/>
      <c r="H1691" s="6"/>
      <c r="I1691" s="6"/>
      <c r="J1691" s="6"/>
      <c r="K1691" s="6"/>
      <c r="L1691" s="6"/>
    </row>
    <row r="1692" spans="1:12" ht="15" customHeight="1" x14ac:dyDescent="0.25">
      <c r="A1692" s="3" t="s">
        <v>10</v>
      </c>
      <c r="B1692" s="6" t="s">
        <v>217</v>
      </c>
      <c r="C1692" s="6"/>
      <c r="D1692" s="6"/>
      <c r="E1692" s="6"/>
      <c r="F1692" s="6"/>
      <c r="G1692" s="6"/>
      <c r="H1692" s="6"/>
      <c r="I1692" s="6"/>
      <c r="J1692" s="6"/>
      <c r="K1692" s="3" t="s">
        <v>12</v>
      </c>
      <c r="L1692" s="4" t="s">
        <v>87</v>
      </c>
    </row>
    <row r="1693" spans="1:12" ht="15" customHeight="1" x14ac:dyDescent="0.25">
      <c r="A1693" s="3" t="s">
        <v>14</v>
      </c>
      <c r="B1693" s="6" t="s">
        <v>15</v>
      </c>
      <c r="C1693" s="6"/>
      <c r="D1693" s="7" t="s">
        <v>16</v>
      </c>
      <c r="E1693" s="7"/>
      <c r="F1693" s="6" t="str">
        <f>"141906"</f>
        <v>141906</v>
      </c>
      <c r="G1693" s="6"/>
      <c r="H1693" s="3" t="s">
        <v>17</v>
      </c>
      <c r="I1693" s="6" t="s">
        <v>18</v>
      </c>
      <c r="J1693" s="6"/>
      <c r="K1693" s="3" t="s">
        <v>19</v>
      </c>
      <c r="L1693" s="5">
        <v>1</v>
      </c>
    </row>
    <row r="1694" spans="1:12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</row>
    <row r="1695" spans="1:12" ht="15" customHeight="1" x14ac:dyDescent="0.25">
      <c r="A1695" s="10" t="s">
        <v>20</v>
      </c>
      <c r="B1695" s="11"/>
      <c r="C1695" s="12"/>
      <c r="D1695" s="8" t="s">
        <v>21</v>
      </c>
      <c r="E1695" s="8" t="s">
        <v>22</v>
      </c>
      <c r="F1695" s="9" t="s">
        <v>23</v>
      </c>
      <c r="G1695" s="9" t="s">
        <v>24</v>
      </c>
      <c r="H1695" s="9" t="s">
        <v>25</v>
      </c>
      <c r="I1695" s="9" t="s">
        <v>26</v>
      </c>
      <c r="J1695" s="9" t="s">
        <v>27</v>
      </c>
      <c r="K1695" s="13" t="s">
        <v>28</v>
      </c>
      <c r="L1695" s="14"/>
    </row>
    <row r="1696" spans="1:12" ht="15" customHeight="1" x14ac:dyDescent="0.25">
      <c r="A1696" s="15" t="s">
        <v>29</v>
      </c>
      <c r="B1696" s="16"/>
      <c r="C1696" s="16"/>
      <c r="D1696" s="16"/>
      <c r="E1696" s="16"/>
      <c r="F1696" s="16"/>
      <c r="G1696" s="16"/>
      <c r="H1696" s="16"/>
      <c r="I1696" s="16"/>
      <c r="J1696" s="17"/>
      <c r="K1696" s="15">
        <v>0</v>
      </c>
      <c r="L1696" s="17"/>
    </row>
    <row r="1697" spans="1:12" x14ac:dyDescent="0.25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</row>
    <row r="1698" spans="1:12" ht="15" customHeight="1" x14ac:dyDescent="0.25">
      <c r="A1698" s="10" t="s">
        <v>30</v>
      </c>
      <c r="B1698" s="11"/>
      <c r="C1698" s="12"/>
      <c r="D1698" s="8" t="s">
        <v>21</v>
      </c>
      <c r="E1698" s="8" t="s">
        <v>22</v>
      </c>
      <c r="F1698" s="9" t="s">
        <v>31</v>
      </c>
      <c r="G1698" s="9" t="s">
        <v>32</v>
      </c>
      <c r="H1698" s="9" t="s">
        <v>33</v>
      </c>
      <c r="I1698" s="13" t="s">
        <v>34</v>
      </c>
      <c r="J1698" s="14"/>
      <c r="K1698" s="13" t="s">
        <v>28</v>
      </c>
      <c r="L1698" s="14"/>
    </row>
    <row r="1699" spans="1:12" ht="15" customHeight="1" x14ac:dyDescent="0.25">
      <c r="A1699" s="21" t="s">
        <v>76</v>
      </c>
      <c r="B1699" s="22"/>
      <c r="C1699" s="23"/>
      <c r="D1699" s="19" t="str">
        <f>"010101"</f>
        <v>010101</v>
      </c>
      <c r="E1699" s="19" t="s">
        <v>36</v>
      </c>
      <c r="F1699" s="20">
        <v>8.5299999999999994</v>
      </c>
      <c r="G1699" s="20">
        <v>157.27000000000001</v>
      </c>
      <c r="H1699" s="20">
        <v>21.94</v>
      </c>
      <c r="I1699" s="24">
        <v>0.5</v>
      </c>
      <c r="J1699" s="25"/>
      <c r="K1699" s="24">
        <v>10.97</v>
      </c>
      <c r="L1699" s="25"/>
    </row>
    <row r="1700" spans="1:12" ht="15" customHeight="1" x14ac:dyDescent="0.25">
      <c r="A1700" s="21" t="s">
        <v>85</v>
      </c>
      <c r="B1700" s="22"/>
      <c r="C1700" s="23"/>
      <c r="D1700" s="19" t="str">
        <f>"010118"</f>
        <v>010118</v>
      </c>
      <c r="E1700" s="19" t="s">
        <v>36</v>
      </c>
      <c r="F1700" s="20">
        <v>10.119999999999999</v>
      </c>
      <c r="G1700" s="20">
        <v>157.27000000000001</v>
      </c>
      <c r="H1700" s="20">
        <v>26.03</v>
      </c>
      <c r="I1700" s="24">
        <v>0.5</v>
      </c>
      <c r="J1700" s="25"/>
      <c r="K1700" s="24">
        <v>13.01</v>
      </c>
      <c r="L1700" s="25"/>
    </row>
    <row r="1701" spans="1:12" ht="15" customHeight="1" x14ac:dyDescent="0.25">
      <c r="A1701" s="15" t="s">
        <v>38</v>
      </c>
      <c r="B1701" s="16"/>
      <c r="C1701" s="16"/>
      <c r="D1701" s="16"/>
      <c r="E1701" s="16"/>
      <c r="F1701" s="16"/>
      <c r="G1701" s="16"/>
      <c r="H1701" s="16"/>
      <c r="I1701" s="16"/>
      <c r="J1701" s="17"/>
      <c r="K1701" s="15">
        <v>23.98</v>
      </c>
      <c r="L1701" s="17"/>
    </row>
    <row r="1702" spans="1:12" x14ac:dyDescent="0.25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</row>
    <row r="1703" spans="1:12" ht="15" customHeight="1" x14ac:dyDescent="0.25">
      <c r="A1703" s="10" t="s">
        <v>39</v>
      </c>
      <c r="B1703" s="11"/>
      <c r="C1703" s="12"/>
      <c r="D1703" s="8" t="s">
        <v>21</v>
      </c>
      <c r="E1703" s="13" t="s">
        <v>40</v>
      </c>
      <c r="F1703" s="14"/>
      <c r="G1703" s="8" t="s">
        <v>41</v>
      </c>
      <c r="H1703" s="8" t="s">
        <v>42</v>
      </c>
      <c r="I1703" s="8" t="s">
        <v>43</v>
      </c>
      <c r="J1703" s="13" t="s">
        <v>44</v>
      </c>
      <c r="K1703" s="26"/>
      <c r="L1703" s="14"/>
    </row>
    <row r="1704" spans="1:12" ht="15" customHeight="1" x14ac:dyDescent="0.25">
      <c r="A1704" s="15" t="s">
        <v>45</v>
      </c>
      <c r="B1704" s="16"/>
      <c r="C1704" s="16"/>
      <c r="D1704" s="16"/>
      <c r="E1704" s="16"/>
      <c r="F1704" s="16"/>
      <c r="G1704" s="16"/>
      <c r="H1704" s="16"/>
      <c r="I1704" s="16"/>
      <c r="J1704" s="17"/>
      <c r="K1704" s="15">
        <v>0</v>
      </c>
      <c r="L1704" s="17"/>
    </row>
    <row r="1705" spans="1:12" x14ac:dyDescent="0.25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</row>
    <row r="1706" spans="1:12" ht="15" customHeight="1" x14ac:dyDescent="0.25">
      <c r="A1706" s="27" t="s">
        <v>46</v>
      </c>
      <c r="B1706" s="27"/>
      <c r="C1706" s="27"/>
      <c r="D1706" s="27"/>
      <c r="E1706" s="27"/>
      <c r="F1706" s="27"/>
      <c r="G1706" s="27"/>
      <c r="H1706" s="27"/>
      <c r="I1706" s="27"/>
      <c r="J1706" s="27"/>
      <c r="K1706" s="27">
        <v>23.98</v>
      </c>
      <c r="L1706" s="27"/>
    </row>
    <row r="1707" spans="1:12" ht="15" customHeight="1" x14ac:dyDescent="0.25">
      <c r="A1707" s="27" t="s">
        <v>47</v>
      </c>
      <c r="B1707" s="27"/>
      <c r="C1707" s="27"/>
      <c r="D1707" s="27"/>
      <c r="E1707" s="27"/>
      <c r="F1707" s="27"/>
      <c r="G1707" s="27"/>
      <c r="H1707" s="27"/>
      <c r="I1707" s="27"/>
      <c r="J1707" s="27"/>
      <c r="K1707" s="27">
        <v>1</v>
      </c>
      <c r="L1707" s="27"/>
    </row>
    <row r="1708" spans="1:12" ht="15" customHeight="1" x14ac:dyDescent="0.25">
      <c r="A1708" s="27" t="s">
        <v>48</v>
      </c>
      <c r="B1708" s="27"/>
      <c r="C1708" s="27"/>
      <c r="D1708" s="27"/>
      <c r="E1708" s="27"/>
      <c r="F1708" s="27"/>
      <c r="G1708" s="27"/>
      <c r="H1708" s="27"/>
      <c r="I1708" s="27"/>
      <c r="J1708" s="27"/>
      <c r="K1708" s="27">
        <v>23.98</v>
      </c>
      <c r="L1708" s="27"/>
    </row>
    <row r="1709" spans="1:12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</row>
    <row r="1710" spans="1:12" ht="15" customHeight="1" x14ac:dyDescent="0.25">
      <c r="A1710" s="10" t="s">
        <v>49</v>
      </c>
      <c r="B1710" s="11"/>
      <c r="C1710" s="11"/>
      <c r="D1710" s="11"/>
      <c r="E1710" s="12"/>
      <c r="F1710" s="8" t="s">
        <v>21</v>
      </c>
      <c r="G1710" s="8" t="s">
        <v>22</v>
      </c>
      <c r="H1710" s="9" t="s">
        <v>44</v>
      </c>
      <c r="I1710" s="13" t="s">
        <v>34</v>
      </c>
      <c r="J1710" s="14"/>
      <c r="K1710" s="13" t="s">
        <v>50</v>
      </c>
      <c r="L1710" s="14"/>
    </row>
    <row r="1711" spans="1:12" ht="15" customHeight="1" x14ac:dyDescent="0.25">
      <c r="A1711" s="21" t="s">
        <v>218</v>
      </c>
      <c r="B1711" s="22"/>
      <c r="C1711" s="22"/>
      <c r="D1711" s="22"/>
      <c r="E1711" s="23"/>
      <c r="F1711" s="19" t="str">
        <f>"062530"</f>
        <v>062530</v>
      </c>
      <c r="G1711" s="19" t="s">
        <v>99</v>
      </c>
      <c r="H1711" s="20">
        <v>6</v>
      </c>
      <c r="I1711" s="24">
        <v>1.1499999999999999</v>
      </c>
      <c r="J1711" s="25"/>
      <c r="K1711" s="24">
        <v>6.9</v>
      </c>
      <c r="L1711" s="25"/>
    </row>
    <row r="1712" spans="1:12" ht="15" customHeight="1" x14ac:dyDescent="0.25">
      <c r="A1712" s="21" t="s">
        <v>214</v>
      </c>
      <c r="B1712" s="22"/>
      <c r="C1712" s="22"/>
      <c r="D1712" s="22"/>
      <c r="E1712" s="23"/>
      <c r="F1712" s="19" t="str">
        <f>"063341"</f>
        <v>063341</v>
      </c>
      <c r="G1712" s="19" t="s">
        <v>81</v>
      </c>
      <c r="H1712" s="20">
        <v>2.38</v>
      </c>
      <c r="I1712" s="24">
        <v>1.6299999999999999E-2</v>
      </c>
      <c r="J1712" s="25"/>
      <c r="K1712" s="24">
        <v>0.03</v>
      </c>
      <c r="L1712" s="25"/>
    </row>
    <row r="1713" spans="1:12" ht="15" customHeight="1" x14ac:dyDescent="0.25">
      <c r="A1713" s="21" t="s">
        <v>215</v>
      </c>
      <c r="B1713" s="22"/>
      <c r="C1713" s="22"/>
      <c r="D1713" s="22"/>
      <c r="E1713" s="23"/>
      <c r="F1713" s="19" t="str">
        <f>"069513"</f>
        <v>069513</v>
      </c>
      <c r="G1713" s="19" t="s">
        <v>124</v>
      </c>
      <c r="H1713" s="20">
        <v>56.83</v>
      </c>
      <c r="I1713" s="24">
        <v>1.06E-3</v>
      </c>
      <c r="J1713" s="25"/>
      <c r="K1713" s="24">
        <v>0.06</v>
      </c>
      <c r="L1713" s="25"/>
    </row>
    <row r="1714" spans="1:12" ht="15" customHeight="1" x14ac:dyDescent="0.25">
      <c r="A1714" s="21" t="s">
        <v>216</v>
      </c>
      <c r="B1714" s="22"/>
      <c r="C1714" s="22"/>
      <c r="D1714" s="22"/>
      <c r="E1714" s="23"/>
      <c r="F1714" s="19" t="str">
        <f>"069514"</f>
        <v>069514</v>
      </c>
      <c r="G1714" s="19" t="s">
        <v>109</v>
      </c>
      <c r="H1714" s="20">
        <v>72.23</v>
      </c>
      <c r="I1714" s="24">
        <v>5.0000000000000001E-4</v>
      </c>
      <c r="J1714" s="25"/>
      <c r="K1714" s="24">
        <v>0.03</v>
      </c>
      <c r="L1714" s="25"/>
    </row>
    <row r="1715" spans="1:12" ht="15" customHeight="1" x14ac:dyDescent="0.25">
      <c r="A1715" s="15" t="s">
        <v>51</v>
      </c>
      <c r="B1715" s="16"/>
      <c r="C1715" s="16"/>
      <c r="D1715" s="16"/>
      <c r="E1715" s="16"/>
      <c r="F1715" s="16"/>
      <c r="G1715" s="16"/>
      <c r="H1715" s="16"/>
      <c r="I1715" s="16"/>
      <c r="J1715" s="17"/>
      <c r="K1715" s="15">
        <v>7.02</v>
      </c>
      <c r="L1715" s="17"/>
    </row>
    <row r="1716" spans="1:12" x14ac:dyDescent="0.25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</row>
    <row r="1717" spans="1:12" ht="15" customHeight="1" x14ac:dyDescent="0.25">
      <c r="A1717" s="10" t="s">
        <v>52</v>
      </c>
      <c r="B1717" s="11"/>
      <c r="C1717" s="11"/>
      <c r="D1717" s="11"/>
      <c r="E1717" s="12"/>
      <c r="F1717" s="8" t="s">
        <v>21</v>
      </c>
      <c r="G1717" s="8" t="s">
        <v>22</v>
      </c>
      <c r="H1717" s="9" t="s">
        <v>44</v>
      </c>
      <c r="I1717" s="13" t="s">
        <v>34</v>
      </c>
      <c r="J1717" s="14"/>
      <c r="K1717" s="13" t="s">
        <v>50</v>
      </c>
      <c r="L1717" s="14"/>
    </row>
    <row r="1718" spans="1:12" ht="15" customHeight="1" x14ac:dyDescent="0.25">
      <c r="A1718" s="15" t="s">
        <v>53</v>
      </c>
      <c r="B1718" s="16"/>
      <c r="C1718" s="16"/>
      <c r="D1718" s="16"/>
      <c r="E1718" s="16"/>
      <c r="F1718" s="16"/>
      <c r="G1718" s="16"/>
      <c r="H1718" s="16"/>
      <c r="I1718" s="16"/>
      <c r="J1718" s="17"/>
      <c r="K1718" s="15">
        <v>0</v>
      </c>
      <c r="L1718" s="17"/>
    </row>
    <row r="1719" spans="1:12" x14ac:dyDescent="0.25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</row>
    <row r="1720" spans="1:12" ht="15" customHeight="1" x14ac:dyDescent="0.25">
      <c r="A1720" s="10" t="s">
        <v>54</v>
      </c>
      <c r="B1720" s="11"/>
      <c r="C1720" s="12"/>
      <c r="D1720" s="8" t="s">
        <v>21</v>
      </c>
      <c r="E1720" s="8" t="s">
        <v>22</v>
      </c>
      <c r="F1720" s="9" t="s">
        <v>55</v>
      </c>
      <c r="G1720" s="8" t="s">
        <v>56</v>
      </c>
      <c r="H1720" s="8" t="s">
        <v>57</v>
      </c>
      <c r="I1720" s="8" t="s">
        <v>58</v>
      </c>
      <c r="J1720" s="9" t="s">
        <v>59</v>
      </c>
      <c r="K1720" s="9" t="s">
        <v>34</v>
      </c>
      <c r="L1720" s="9" t="s">
        <v>50</v>
      </c>
    </row>
    <row r="1721" spans="1:12" ht="15" customHeight="1" x14ac:dyDescent="0.25">
      <c r="A1721" s="15" t="s">
        <v>60</v>
      </c>
      <c r="B1721" s="16"/>
      <c r="C1721" s="16"/>
      <c r="D1721" s="16"/>
      <c r="E1721" s="16"/>
      <c r="F1721" s="16"/>
      <c r="G1721" s="16"/>
      <c r="H1721" s="16"/>
      <c r="I1721" s="16"/>
      <c r="J1721" s="17"/>
      <c r="K1721" s="15">
        <v>0</v>
      </c>
      <c r="L1721" s="17"/>
    </row>
    <row r="1722" spans="1:12" x14ac:dyDescent="0.25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</row>
    <row r="1723" spans="1:12" ht="15" customHeight="1" x14ac:dyDescent="0.25">
      <c r="A1723" s="27" t="s">
        <v>61</v>
      </c>
      <c r="B1723" s="27"/>
      <c r="C1723" s="27"/>
      <c r="D1723" s="27"/>
      <c r="E1723" s="27"/>
      <c r="F1723" s="27"/>
      <c r="G1723" s="27"/>
      <c r="H1723" s="27"/>
      <c r="I1723" s="27"/>
      <c r="J1723" s="27"/>
      <c r="K1723" s="27">
        <v>31</v>
      </c>
      <c r="L1723" s="27"/>
    </row>
    <row r="1724" spans="1:12" ht="15" customHeight="1" x14ac:dyDescent="0.25">
      <c r="A1724" s="27" t="s">
        <v>62</v>
      </c>
      <c r="B1724" s="27"/>
      <c r="C1724" s="27"/>
      <c r="D1724" s="27"/>
      <c r="E1724" s="27"/>
      <c r="F1724" s="27"/>
      <c r="G1724" s="27"/>
      <c r="H1724" s="27"/>
      <c r="I1724" s="27"/>
      <c r="J1724" s="27"/>
      <c r="K1724" s="27">
        <v>10.31</v>
      </c>
      <c r="L1724" s="27"/>
    </row>
    <row r="1725" spans="1:12" ht="15" customHeight="1" x14ac:dyDescent="0.25">
      <c r="A1725" s="27" t="s">
        <v>63</v>
      </c>
      <c r="B1725" s="27"/>
      <c r="C1725" s="27"/>
      <c r="D1725" s="27"/>
      <c r="E1725" s="27"/>
      <c r="F1725" s="27"/>
      <c r="G1725" s="27"/>
      <c r="H1725" s="27"/>
      <c r="I1725" s="27"/>
      <c r="J1725" s="27"/>
      <c r="K1725" s="27">
        <v>41.31</v>
      </c>
      <c r="L1725" s="27"/>
    </row>
    <row r="1726" spans="1:12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</row>
    <row r="1727" spans="1:12" ht="15" customHeight="1" x14ac:dyDescent="0.25">
      <c r="A1727" s="3" t="s">
        <v>8</v>
      </c>
      <c r="B1727" s="6" t="s">
        <v>9</v>
      </c>
      <c r="C1727" s="6"/>
      <c r="D1727" s="6"/>
      <c r="E1727" s="6"/>
      <c r="F1727" s="6"/>
      <c r="G1727" s="6"/>
      <c r="H1727" s="6"/>
      <c r="I1727" s="6"/>
      <c r="J1727" s="6"/>
      <c r="K1727" s="6"/>
      <c r="L1727" s="6"/>
    </row>
    <row r="1728" spans="1:12" ht="15" customHeight="1" x14ac:dyDescent="0.25">
      <c r="A1728" s="3" t="s">
        <v>10</v>
      </c>
      <c r="B1728" s="6" t="s">
        <v>219</v>
      </c>
      <c r="C1728" s="6"/>
      <c r="D1728" s="6"/>
      <c r="E1728" s="6"/>
      <c r="F1728" s="6"/>
      <c r="G1728" s="6"/>
      <c r="H1728" s="6"/>
      <c r="I1728" s="6"/>
      <c r="J1728" s="6"/>
      <c r="K1728" s="3" t="s">
        <v>12</v>
      </c>
      <c r="L1728" s="4" t="s">
        <v>87</v>
      </c>
    </row>
    <row r="1729" spans="1:12" ht="15" customHeight="1" x14ac:dyDescent="0.25">
      <c r="A1729" s="3" t="s">
        <v>14</v>
      </c>
      <c r="B1729" s="6" t="s">
        <v>15</v>
      </c>
      <c r="C1729" s="6"/>
      <c r="D1729" s="7" t="s">
        <v>16</v>
      </c>
      <c r="E1729" s="7"/>
      <c r="F1729" s="6" t="str">
        <f>"141907"</f>
        <v>141907</v>
      </c>
      <c r="G1729" s="6"/>
      <c r="H1729" s="3" t="s">
        <v>17</v>
      </c>
      <c r="I1729" s="6" t="s">
        <v>18</v>
      </c>
      <c r="J1729" s="6"/>
      <c r="K1729" s="3" t="s">
        <v>19</v>
      </c>
      <c r="L1729" s="5">
        <v>1</v>
      </c>
    </row>
    <row r="1730" spans="1:12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</row>
    <row r="1731" spans="1:12" ht="15" customHeight="1" x14ac:dyDescent="0.25">
      <c r="A1731" s="10" t="s">
        <v>20</v>
      </c>
      <c r="B1731" s="11"/>
      <c r="C1731" s="12"/>
      <c r="D1731" s="8" t="s">
        <v>21</v>
      </c>
      <c r="E1731" s="8" t="s">
        <v>22</v>
      </c>
      <c r="F1731" s="9" t="s">
        <v>23</v>
      </c>
      <c r="G1731" s="9" t="s">
        <v>24</v>
      </c>
      <c r="H1731" s="9" t="s">
        <v>25</v>
      </c>
      <c r="I1731" s="9" t="s">
        <v>26</v>
      </c>
      <c r="J1731" s="9" t="s">
        <v>27</v>
      </c>
      <c r="K1731" s="13" t="s">
        <v>28</v>
      </c>
      <c r="L1731" s="14"/>
    </row>
    <row r="1732" spans="1:12" ht="15" customHeight="1" x14ac:dyDescent="0.25">
      <c r="A1732" s="15" t="s">
        <v>29</v>
      </c>
      <c r="B1732" s="16"/>
      <c r="C1732" s="16"/>
      <c r="D1732" s="16"/>
      <c r="E1732" s="16"/>
      <c r="F1732" s="16"/>
      <c r="G1732" s="16"/>
      <c r="H1732" s="16"/>
      <c r="I1732" s="16"/>
      <c r="J1732" s="17"/>
      <c r="K1732" s="15">
        <v>0</v>
      </c>
      <c r="L1732" s="17"/>
    </row>
    <row r="1733" spans="1:12" x14ac:dyDescent="0.25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</row>
    <row r="1734" spans="1:12" ht="15" customHeight="1" x14ac:dyDescent="0.25">
      <c r="A1734" s="10" t="s">
        <v>30</v>
      </c>
      <c r="B1734" s="11"/>
      <c r="C1734" s="12"/>
      <c r="D1734" s="8" t="s">
        <v>21</v>
      </c>
      <c r="E1734" s="8" t="s">
        <v>22</v>
      </c>
      <c r="F1734" s="9" t="s">
        <v>31</v>
      </c>
      <c r="G1734" s="9" t="s">
        <v>32</v>
      </c>
      <c r="H1734" s="9" t="s">
        <v>33</v>
      </c>
      <c r="I1734" s="13" t="s">
        <v>34</v>
      </c>
      <c r="J1734" s="14"/>
      <c r="K1734" s="13" t="s">
        <v>28</v>
      </c>
      <c r="L1734" s="14"/>
    </row>
    <row r="1735" spans="1:12" ht="15" customHeight="1" x14ac:dyDescent="0.25">
      <c r="A1735" s="21" t="s">
        <v>76</v>
      </c>
      <c r="B1735" s="22"/>
      <c r="C1735" s="23"/>
      <c r="D1735" s="19" t="str">
        <f>"010101"</f>
        <v>010101</v>
      </c>
      <c r="E1735" s="19" t="s">
        <v>36</v>
      </c>
      <c r="F1735" s="20">
        <v>8.5299999999999994</v>
      </c>
      <c r="G1735" s="20">
        <v>157.27000000000001</v>
      </c>
      <c r="H1735" s="20">
        <v>21.94</v>
      </c>
      <c r="I1735" s="24">
        <v>0.6</v>
      </c>
      <c r="J1735" s="25"/>
      <c r="K1735" s="24">
        <v>13.16</v>
      </c>
      <c r="L1735" s="25"/>
    </row>
    <row r="1736" spans="1:12" ht="15" customHeight="1" x14ac:dyDescent="0.25">
      <c r="A1736" s="21" t="s">
        <v>85</v>
      </c>
      <c r="B1736" s="22"/>
      <c r="C1736" s="23"/>
      <c r="D1736" s="19" t="str">
        <f>"010118"</f>
        <v>010118</v>
      </c>
      <c r="E1736" s="19" t="s">
        <v>36</v>
      </c>
      <c r="F1736" s="20">
        <v>10.119999999999999</v>
      </c>
      <c r="G1736" s="20">
        <v>157.27000000000001</v>
      </c>
      <c r="H1736" s="20">
        <v>26.03</v>
      </c>
      <c r="I1736" s="24">
        <v>0.6</v>
      </c>
      <c r="J1736" s="25"/>
      <c r="K1736" s="24">
        <v>15.61</v>
      </c>
      <c r="L1736" s="25"/>
    </row>
    <row r="1737" spans="1:12" ht="15" customHeight="1" x14ac:dyDescent="0.25">
      <c r="A1737" s="15" t="s">
        <v>38</v>
      </c>
      <c r="B1737" s="16"/>
      <c r="C1737" s="16"/>
      <c r="D1737" s="16"/>
      <c r="E1737" s="16"/>
      <c r="F1737" s="16"/>
      <c r="G1737" s="16"/>
      <c r="H1737" s="16"/>
      <c r="I1737" s="16"/>
      <c r="J1737" s="17"/>
      <c r="K1737" s="15">
        <v>28.77</v>
      </c>
      <c r="L1737" s="17"/>
    </row>
    <row r="1738" spans="1:12" x14ac:dyDescent="0.25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</row>
    <row r="1739" spans="1:12" ht="15" customHeight="1" x14ac:dyDescent="0.25">
      <c r="A1739" s="10" t="s">
        <v>39</v>
      </c>
      <c r="B1739" s="11"/>
      <c r="C1739" s="12"/>
      <c r="D1739" s="8" t="s">
        <v>21</v>
      </c>
      <c r="E1739" s="13" t="s">
        <v>40</v>
      </c>
      <c r="F1739" s="14"/>
      <c r="G1739" s="8" t="s">
        <v>41</v>
      </c>
      <c r="H1739" s="8" t="s">
        <v>42</v>
      </c>
      <c r="I1739" s="8" t="s">
        <v>43</v>
      </c>
      <c r="J1739" s="13" t="s">
        <v>44</v>
      </c>
      <c r="K1739" s="26"/>
      <c r="L1739" s="14"/>
    </row>
    <row r="1740" spans="1:12" ht="15" customHeight="1" x14ac:dyDescent="0.25">
      <c r="A1740" s="15" t="s">
        <v>45</v>
      </c>
      <c r="B1740" s="16"/>
      <c r="C1740" s="16"/>
      <c r="D1740" s="16"/>
      <c r="E1740" s="16"/>
      <c r="F1740" s="16"/>
      <c r="G1740" s="16"/>
      <c r="H1740" s="16"/>
      <c r="I1740" s="16"/>
      <c r="J1740" s="17"/>
      <c r="K1740" s="15">
        <v>0</v>
      </c>
      <c r="L1740" s="17"/>
    </row>
    <row r="1741" spans="1:12" x14ac:dyDescent="0.25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</row>
    <row r="1742" spans="1:12" ht="15" customHeight="1" x14ac:dyDescent="0.25">
      <c r="A1742" s="27" t="s">
        <v>46</v>
      </c>
      <c r="B1742" s="27"/>
      <c r="C1742" s="27"/>
      <c r="D1742" s="27"/>
      <c r="E1742" s="27"/>
      <c r="F1742" s="27"/>
      <c r="G1742" s="27"/>
      <c r="H1742" s="27"/>
      <c r="I1742" s="27"/>
      <c r="J1742" s="27"/>
      <c r="K1742" s="27">
        <v>28.77</v>
      </c>
      <c r="L1742" s="27"/>
    </row>
    <row r="1743" spans="1:12" ht="15" customHeight="1" x14ac:dyDescent="0.25">
      <c r="A1743" s="27" t="s">
        <v>47</v>
      </c>
      <c r="B1743" s="27"/>
      <c r="C1743" s="27"/>
      <c r="D1743" s="27"/>
      <c r="E1743" s="27"/>
      <c r="F1743" s="27"/>
      <c r="G1743" s="27"/>
      <c r="H1743" s="27"/>
      <c r="I1743" s="27"/>
      <c r="J1743" s="27"/>
      <c r="K1743" s="27">
        <v>1</v>
      </c>
      <c r="L1743" s="27"/>
    </row>
    <row r="1744" spans="1:12" ht="15" customHeight="1" x14ac:dyDescent="0.25">
      <c r="A1744" s="27" t="s">
        <v>48</v>
      </c>
      <c r="B1744" s="27"/>
      <c r="C1744" s="27"/>
      <c r="D1744" s="27"/>
      <c r="E1744" s="27"/>
      <c r="F1744" s="27"/>
      <c r="G1744" s="27"/>
      <c r="H1744" s="27"/>
      <c r="I1744" s="27"/>
      <c r="J1744" s="27"/>
      <c r="K1744" s="27">
        <v>28.77</v>
      </c>
      <c r="L1744" s="27"/>
    </row>
    <row r="1745" spans="1:12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</row>
    <row r="1746" spans="1:12" ht="15" customHeight="1" x14ac:dyDescent="0.25">
      <c r="A1746" s="10" t="s">
        <v>49</v>
      </c>
      <c r="B1746" s="11"/>
      <c r="C1746" s="11"/>
      <c r="D1746" s="11"/>
      <c r="E1746" s="12"/>
      <c r="F1746" s="8" t="s">
        <v>21</v>
      </c>
      <c r="G1746" s="8" t="s">
        <v>22</v>
      </c>
      <c r="H1746" s="9" t="s">
        <v>44</v>
      </c>
      <c r="I1746" s="13" t="s">
        <v>34</v>
      </c>
      <c r="J1746" s="14"/>
      <c r="K1746" s="13" t="s">
        <v>50</v>
      </c>
      <c r="L1746" s="14"/>
    </row>
    <row r="1747" spans="1:12" ht="15" customHeight="1" x14ac:dyDescent="0.25">
      <c r="A1747" s="21" t="s">
        <v>220</v>
      </c>
      <c r="B1747" s="22"/>
      <c r="C1747" s="22"/>
      <c r="D1747" s="22"/>
      <c r="E1747" s="23"/>
      <c r="F1747" s="19" t="str">
        <f>"062531"</f>
        <v>062531</v>
      </c>
      <c r="G1747" s="19" t="s">
        <v>99</v>
      </c>
      <c r="H1747" s="20">
        <v>8.99</v>
      </c>
      <c r="I1747" s="24">
        <v>1.1499999999999999</v>
      </c>
      <c r="J1747" s="25"/>
      <c r="K1747" s="24">
        <v>10.33</v>
      </c>
      <c r="L1747" s="25"/>
    </row>
    <row r="1748" spans="1:12" ht="15" customHeight="1" x14ac:dyDescent="0.25">
      <c r="A1748" s="21" t="s">
        <v>214</v>
      </c>
      <c r="B1748" s="22"/>
      <c r="C1748" s="22"/>
      <c r="D1748" s="22"/>
      <c r="E1748" s="23"/>
      <c r="F1748" s="19" t="str">
        <f>"063341"</f>
        <v>063341</v>
      </c>
      <c r="G1748" s="19" t="s">
        <v>81</v>
      </c>
      <c r="H1748" s="20">
        <v>2.38</v>
      </c>
      <c r="I1748" s="24">
        <v>1.77E-2</v>
      </c>
      <c r="J1748" s="25"/>
      <c r="K1748" s="24">
        <v>0.04</v>
      </c>
      <c r="L1748" s="25"/>
    </row>
    <row r="1749" spans="1:12" ht="15" customHeight="1" x14ac:dyDescent="0.25">
      <c r="A1749" s="21" t="s">
        <v>215</v>
      </c>
      <c r="B1749" s="22"/>
      <c r="C1749" s="22"/>
      <c r="D1749" s="22"/>
      <c r="E1749" s="23"/>
      <c r="F1749" s="19" t="str">
        <f>"069513"</f>
        <v>069513</v>
      </c>
      <c r="G1749" s="19" t="s">
        <v>124</v>
      </c>
      <c r="H1749" s="20">
        <v>56.83</v>
      </c>
      <c r="I1749" s="24">
        <v>1.5E-3</v>
      </c>
      <c r="J1749" s="25"/>
      <c r="K1749" s="24">
        <v>0.08</v>
      </c>
      <c r="L1749" s="25"/>
    </row>
    <row r="1750" spans="1:12" ht="15" customHeight="1" x14ac:dyDescent="0.25">
      <c r="A1750" s="21" t="s">
        <v>216</v>
      </c>
      <c r="B1750" s="22"/>
      <c r="C1750" s="22"/>
      <c r="D1750" s="22"/>
      <c r="E1750" s="23"/>
      <c r="F1750" s="19" t="str">
        <f>"069514"</f>
        <v>069514</v>
      </c>
      <c r="G1750" s="19" t="s">
        <v>109</v>
      </c>
      <c r="H1750" s="20">
        <v>72.23</v>
      </c>
      <c r="I1750" s="24">
        <v>6.9999999999999999E-4</v>
      </c>
      <c r="J1750" s="25"/>
      <c r="K1750" s="24">
        <v>0.05</v>
      </c>
      <c r="L1750" s="25"/>
    </row>
    <row r="1751" spans="1:12" ht="15" customHeight="1" x14ac:dyDescent="0.25">
      <c r="A1751" s="15" t="s">
        <v>51</v>
      </c>
      <c r="B1751" s="16"/>
      <c r="C1751" s="16"/>
      <c r="D1751" s="16"/>
      <c r="E1751" s="16"/>
      <c r="F1751" s="16"/>
      <c r="G1751" s="16"/>
      <c r="H1751" s="16"/>
      <c r="I1751" s="16"/>
      <c r="J1751" s="17"/>
      <c r="K1751" s="15">
        <v>10.5</v>
      </c>
      <c r="L1751" s="17"/>
    </row>
    <row r="1752" spans="1:12" x14ac:dyDescent="0.25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</row>
    <row r="1753" spans="1:12" ht="15" customHeight="1" x14ac:dyDescent="0.25">
      <c r="A1753" s="10" t="s">
        <v>52</v>
      </c>
      <c r="B1753" s="11"/>
      <c r="C1753" s="11"/>
      <c r="D1753" s="11"/>
      <c r="E1753" s="12"/>
      <c r="F1753" s="8" t="s">
        <v>21</v>
      </c>
      <c r="G1753" s="8" t="s">
        <v>22</v>
      </c>
      <c r="H1753" s="9" t="s">
        <v>44</v>
      </c>
      <c r="I1753" s="13" t="s">
        <v>34</v>
      </c>
      <c r="J1753" s="14"/>
      <c r="K1753" s="13" t="s">
        <v>50</v>
      </c>
      <c r="L1753" s="14"/>
    </row>
    <row r="1754" spans="1:12" ht="15" customHeight="1" x14ac:dyDescent="0.25">
      <c r="A1754" s="15" t="s">
        <v>53</v>
      </c>
      <c r="B1754" s="16"/>
      <c r="C1754" s="16"/>
      <c r="D1754" s="16"/>
      <c r="E1754" s="16"/>
      <c r="F1754" s="16"/>
      <c r="G1754" s="16"/>
      <c r="H1754" s="16"/>
      <c r="I1754" s="16"/>
      <c r="J1754" s="17"/>
      <c r="K1754" s="15">
        <v>0</v>
      </c>
      <c r="L1754" s="17"/>
    </row>
    <row r="1755" spans="1:12" x14ac:dyDescent="0.25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</row>
    <row r="1756" spans="1:12" ht="15" customHeight="1" x14ac:dyDescent="0.25">
      <c r="A1756" s="10" t="s">
        <v>54</v>
      </c>
      <c r="B1756" s="11"/>
      <c r="C1756" s="12"/>
      <c r="D1756" s="8" t="s">
        <v>21</v>
      </c>
      <c r="E1756" s="8" t="s">
        <v>22</v>
      </c>
      <c r="F1756" s="9" t="s">
        <v>55</v>
      </c>
      <c r="G1756" s="8" t="s">
        <v>56</v>
      </c>
      <c r="H1756" s="8" t="s">
        <v>57</v>
      </c>
      <c r="I1756" s="8" t="s">
        <v>58</v>
      </c>
      <c r="J1756" s="9" t="s">
        <v>59</v>
      </c>
      <c r="K1756" s="9" t="s">
        <v>34</v>
      </c>
      <c r="L1756" s="9" t="s">
        <v>50</v>
      </c>
    </row>
    <row r="1757" spans="1:12" ht="15" customHeight="1" x14ac:dyDescent="0.25">
      <c r="A1757" s="15" t="s">
        <v>60</v>
      </c>
      <c r="B1757" s="16"/>
      <c r="C1757" s="16"/>
      <c r="D1757" s="16"/>
      <c r="E1757" s="16"/>
      <c r="F1757" s="16"/>
      <c r="G1757" s="16"/>
      <c r="H1757" s="16"/>
      <c r="I1757" s="16"/>
      <c r="J1757" s="17"/>
      <c r="K1757" s="15">
        <v>0</v>
      </c>
      <c r="L1757" s="17"/>
    </row>
    <row r="1758" spans="1:12" x14ac:dyDescent="0.25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</row>
    <row r="1759" spans="1:12" ht="15" customHeight="1" x14ac:dyDescent="0.25">
      <c r="A1759" s="27" t="s">
        <v>61</v>
      </c>
      <c r="B1759" s="27"/>
      <c r="C1759" s="27"/>
      <c r="D1759" s="27"/>
      <c r="E1759" s="27"/>
      <c r="F1759" s="27"/>
      <c r="G1759" s="27"/>
      <c r="H1759" s="27"/>
      <c r="I1759" s="27"/>
      <c r="J1759" s="27"/>
      <c r="K1759" s="27">
        <v>39.270000000000003</v>
      </c>
      <c r="L1759" s="27"/>
    </row>
    <row r="1760" spans="1:12" ht="15" customHeight="1" x14ac:dyDescent="0.25">
      <c r="A1760" s="27" t="s">
        <v>62</v>
      </c>
      <c r="B1760" s="27"/>
      <c r="C1760" s="27"/>
      <c r="D1760" s="27"/>
      <c r="E1760" s="27"/>
      <c r="F1760" s="27"/>
      <c r="G1760" s="27"/>
      <c r="H1760" s="27"/>
      <c r="I1760" s="27"/>
      <c r="J1760" s="27"/>
      <c r="K1760" s="27">
        <v>13.06</v>
      </c>
      <c r="L1760" s="27"/>
    </row>
    <row r="1761" spans="1:12" ht="15" customHeight="1" x14ac:dyDescent="0.25">
      <c r="A1761" s="27" t="s">
        <v>63</v>
      </c>
      <c r="B1761" s="27"/>
      <c r="C1761" s="27"/>
      <c r="D1761" s="27"/>
      <c r="E1761" s="27"/>
      <c r="F1761" s="27"/>
      <c r="G1761" s="27"/>
      <c r="H1761" s="27"/>
      <c r="I1761" s="27"/>
      <c r="J1761" s="27"/>
      <c r="K1761" s="27">
        <v>52.33</v>
      </c>
      <c r="L1761" s="27"/>
    </row>
    <row r="1762" spans="1:12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</row>
    <row r="1763" spans="1:12" ht="15" customHeight="1" x14ac:dyDescent="0.25">
      <c r="A1763" s="3" t="s">
        <v>8</v>
      </c>
      <c r="B1763" s="6" t="s">
        <v>9</v>
      </c>
      <c r="C1763" s="6"/>
      <c r="D1763" s="6"/>
      <c r="E1763" s="6"/>
      <c r="F1763" s="6"/>
      <c r="G1763" s="6"/>
      <c r="H1763" s="6"/>
      <c r="I1763" s="6"/>
      <c r="J1763" s="6"/>
      <c r="K1763" s="6"/>
      <c r="L1763" s="6"/>
    </row>
    <row r="1764" spans="1:12" ht="15" customHeight="1" x14ac:dyDescent="0.25">
      <c r="A1764" s="3" t="s">
        <v>10</v>
      </c>
      <c r="B1764" s="6" t="s">
        <v>221</v>
      </c>
      <c r="C1764" s="6"/>
      <c r="D1764" s="6"/>
      <c r="E1764" s="6"/>
      <c r="F1764" s="6"/>
      <c r="G1764" s="6"/>
      <c r="H1764" s="6"/>
      <c r="I1764" s="6"/>
      <c r="J1764" s="6"/>
      <c r="K1764" s="3" t="s">
        <v>12</v>
      </c>
      <c r="L1764" s="4" t="s">
        <v>87</v>
      </c>
    </row>
    <row r="1765" spans="1:12" ht="15" customHeight="1" x14ac:dyDescent="0.25">
      <c r="A1765" s="3" t="s">
        <v>14</v>
      </c>
      <c r="B1765" s="6" t="s">
        <v>15</v>
      </c>
      <c r="C1765" s="6"/>
      <c r="D1765" s="7" t="s">
        <v>16</v>
      </c>
      <c r="E1765" s="7"/>
      <c r="F1765" s="6" t="str">
        <f>"141908"</f>
        <v>141908</v>
      </c>
      <c r="G1765" s="6"/>
      <c r="H1765" s="3" t="s">
        <v>17</v>
      </c>
      <c r="I1765" s="6" t="s">
        <v>18</v>
      </c>
      <c r="J1765" s="6"/>
      <c r="K1765" s="3" t="s">
        <v>19</v>
      </c>
      <c r="L1765" s="5">
        <v>1</v>
      </c>
    </row>
    <row r="1766" spans="1:12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</row>
    <row r="1767" spans="1:12" ht="15" customHeight="1" x14ac:dyDescent="0.25">
      <c r="A1767" s="10" t="s">
        <v>20</v>
      </c>
      <c r="B1767" s="11"/>
      <c r="C1767" s="12"/>
      <c r="D1767" s="8" t="s">
        <v>21</v>
      </c>
      <c r="E1767" s="8" t="s">
        <v>22</v>
      </c>
      <c r="F1767" s="9" t="s">
        <v>23</v>
      </c>
      <c r="G1767" s="9" t="s">
        <v>24</v>
      </c>
      <c r="H1767" s="9" t="s">
        <v>25</v>
      </c>
      <c r="I1767" s="9" t="s">
        <v>26</v>
      </c>
      <c r="J1767" s="9" t="s">
        <v>27</v>
      </c>
      <c r="K1767" s="13" t="s">
        <v>28</v>
      </c>
      <c r="L1767" s="14"/>
    </row>
    <row r="1768" spans="1:12" ht="15" customHeight="1" x14ac:dyDescent="0.25">
      <c r="A1768" s="15" t="s">
        <v>29</v>
      </c>
      <c r="B1768" s="16"/>
      <c r="C1768" s="16"/>
      <c r="D1768" s="16"/>
      <c r="E1768" s="16"/>
      <c r="F1768" s="16"/>
      <c r="G1768" s="16"/>
      <c r="H1768" s="16"/>
      <c r="I1768" s="16"/>
      <c r="J1768" s="17"/>
      <c r="K1768" s="15">
        <v>0</v>
      </c>
      <c r="L1768" s="17"/>
    </row>
    <row r="1769" spans="1:12" x14ac:dyDescent="0.25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</row>
    <row r="1770" spans="1:12" ht="15" customHeight="1" x14ac:dyDescent="0.25">
      <c r="A1770" s="10" t="s">
        <v>30</v>
      </c>
      <c r="B1770" s="11"/>
      <c r="C1770" s="12"/>
      <c r="D1770" s="8" t="s">
        <v>21</v>
      </c>
      <c r="E1770" s="8" t="s">
        <v>22</v>
      </c>
      <c r="F1770" s="9" t="s">
        <v>31</v>
      </c>
      <c r="G1770" s="9" t="s">
        <v>32</v>
      </c>
      <c r="H1770" s="9" t="s">
        <v>33</v>
      </c>
      <c r="I1770" s="13" t="s">
        <v>34</v>
      </c>
      <c r="J1770" s="14"/>
      <c r="K1770" s="13" t="s">
        <v>28</v>
      </c>
      <c r="L1770" s="14"/>
    </row>
    <row r="1771" spans="1:12" ht="15" customHeight="1" x14ac:dyDescent="0.25">
      <c r="A1771" s="21" t="s">
        <v>76</v>
      </c>
      <c r="B1771" s="22"/>
      <c r="C1771" s="23"/>
      <c r="D1771" s="19" t="str">
        <f>"010101"</f>
        <v>010101</v>
      </c>
      <c r="E1771" s="19" t="s">
        <v>36</v>
      </c>
      <c r="F1771" s="20">
        <v>8.5299999999999994</v>
      </c>
      <c r="G1771" s="20">
        <v>157.27000000000001</v>
      </c>
      <c r="H1771" s="20">
        <v>21.94</v>
      </c>
      <c r="I1771" s="24">
        <v>0.9</v>
      </c>
      <c r="J1771" s="25"/>
      <c r="K1771" s="24">
        <v>19.739999999999998</v>
      </c>
      <c r="L1771" s="25"/>
    </row>
    <row r="1772" spans="1:12" ht="15" customHeight="1" x14ac:dyDescent="0.25">
      <c r="A1772" s="21" t="s">
        <v>85</v>
      </c>
      <c r="B1772" s="22"/>
      <c r="C1772" s="23"/>
      <c r="D1772" s="19" t="str">
        <f>"010118"</f>
        <v>010118</v>
      </c>
      <c r="E1772" s="19" t="s">
        <v>36</v>
      </c>
      <c r="F1772" s="20">
        <v>10.119999999999999</v>
      </c>
      <c r="G1772" s="20">
        <v>157.27000000000001</v>
      </c>
      <c r="H1772" s="20">
        <v>26.03</v>
      </c>
      <c r="I1772" s="24">
        <v>0.9</v>
      </c>
      <c r="J1772" s="25"/>
      <c r="K1772" s="24">
        <v>23.42</v>
      </c>
      <c r="L1772" s="25"/>
    </row>
    <row r="1773" spans="1:12" ht="15" customHeight="1" x14ac:dyDescent="0.25">
      <c r="A1773" s="15" t="s">
        <v>38</v>
      </c>
      <c r="B1773" s="16"/>
      <c r="C1773" s="16"/>
      <c r="D1773" s="16"/>
      <c r="E1773" s="16"/>
      <c r="F1773" s="16"/>
      <c r="G1773" s="16"/>
      <c r="H1773" s="16"/>
      <c r="I1773" s="16"/>
      <c r="J1773" s="17"/>
      <c r="K1773" s="15">
        <v>43.16</v>
      </c>
      <c r="L1773" s="17"/>
    </row>
    <row r="1774" spans="1:12" x14ac:dyDescent="0.25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</row>
    <row r="1775" spans="1:12" ht="15" customHeight="1" x14ac:dyDescent="0.25">
      <c r="A1775" s="10" t="s">
        <v>39</v>
      </c>
      <c r="B1775" s="11"/>
      <c r="C1775" s="12"/>
      <c r="D1775" s="8" t="s">
        <v>21</v>
      </c>
      <c r="E1775" s="13" t="s">
        <v>40</v>
      </c>
      <c r="F1775" s="14"/>
      <c r="G1775" s="8" t="s">
        <v>41</v>
      </c>
      <c r="H1775" s="8" t="s">
        <v>42</v>
      </c>
      <c r="I1775" s="8" t="s">
        <v>43</v>
      </c>
      <c r="J1775" s="13" t="s">
        <v>44</v>
      </c>
      <c r="K1775" s="26"/>
      <c r="L1775" s="14"/>
    </row>
    <row r="1776" spans="1:12" ht="15" customHeight="1" x14ac:dyDescent="0.25">
      <c r="A1776" s="15" t="s">
        <v>45</v>
      </c>
      <c r="B1776" s="16"/>
      <c r="C1776" s="16"/>
      <c r="D1776" s="16"/>
      <c r="E1776" s="16"/>
      <c r="F1776" s="16"/>
      <c r="G1776" s="16"/>
      <c r="H1776" s="16"/>
      <c r="I1776" s="16"/>
      <c r="J1776" s="17"/>
      <c r="K1776" s="15">
        <v>0</v>
      </c>
      <c r="L1776" s="17"/>
    </row>
    <row r="1777" spans="1:12" x14ac:dyDescent="0.25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</row>
    <row r="1778" spans="1:12" ht="15" customHeight="1" x14ac:dyDescent="0.25">
      <c r="A1778" s="27" t="s">
        <v>46</v>
      </c>
      <c r="B1778" s="27"/>
      <c r="C1778" s="27"/>
      <c r="D1778" s="27"/>
      <c r="E1778" s="27"/>
      <c r="F1778" s="27"/>
      <c r="G1778" s="27"/>
      <c r="H1778" s="27"/>
      <c r="I1778" s="27"/>
      <c r="J1778" s="27"/>
      <c r="K1778" s="27">
        <v>43.16</v>
      </c>
      <c r="L1778" s="27"/>
    </row>
    <row r="1779" spans="1:12" ht="15" customHeight="1" x14ac:dyDescent="0.25">
      <c r="A1779" s="27" t="s">
        <v>47</v>
      </c>
      <c r="B1779" s="27"/>
      <c r="C1779" s="27"/>
      <c r="D1779" s="27"/>
      <c r="E1779" s="27"/>
      <c r="F1779" s="27"/>
      <c r="G1779" s="27"/>
      <c r="H1779" s="27"/>
      <c r="I1779" s="27"/>
      <c r="J1779" s="27"/>
      <c r="K1779" s="27">
        <v>1</v>
      </c>
      <c r="L1779" s="27"/>
    </row>
    <row r="1780" spans="1:12" ht="15" customHeight="1" x14ac:dyDescent="0.25">
      <c r="A1780" s="27" t="s">
        <v>48</v>
      </c>
      <c r="B1780" s="27"/>
      <c r="C1780" s="27"/>
      <c r="D1780" s="27"/>
      <c r="E1780" s="27"/>
      <c r="F1780" s="27"/>
      <c r="G1780" s="27"/>
      <c r="H1780" s="27"/>
      <c r="I1780" s="27"/>
      <c r="J1780" s="27"/>
      <c r="K1780" s="27">
        <v>43.16</v>
      </c>
      <c r="L1780" s="27"/>
    </row>
    <row r="1781" spans="1:12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</row>
    <row r="1782" spans="1:12" ht="15" customHeight="1" x14ac:dyDescent="0.25">
      <c r="A1782" s="10" t="s">
        <v>49</v>
      </c>
      <c r="B1782" s="11"/>
      <c r="C1782" s="11"/>
      <c r="D1782" s="11"/>
      <c r="E1782" s="12"/>
      <c r="F1782" s="8" t="s">
        <v>21</v>
      </c>
      <c r="G1782" s="8" t="s">
        <v>22</v>
      </c>
      <c r="H1782" s="9" t="s">
        <v>44</v>
      </c>
      <c r="I1782" s="13" t="s">
        <v>34</v>
      </c>
      <c r="J1782" s="14"/>
      <c r="K1782" s="13" t="s">
        <v>50</v>
      </c>
      <c r="L1782" s="14"/>
    </row>
    <row r="1783" spans="1:12" ht="15" customHeight="1" x14ac:dyDescent="0.25">
      <c r="A1783" s="21" t="s">
        <v>222</v>
      </c>
      <c r="B1783" s="22"/>
      <c r="C1783" s="22"/>
      <c r="D1783" s="22"/>
      <c r="E1783" s="23"/>
      <c r="F1783" s="19" t="str">
        <f>"062532"</f>
        <v>062532</v>
      </c>
      <c r="G1783" s="19" t="s">
        <v>99</v>
      </c>
      <c r="H1783" s="20">
        <v>15.22</v>
      </c>
      <c r="I1783" s="24">
        <v>1.1499999999999999</v>
      </c>
      <c r="J1783" s="25"/>
      <c r="K1783" s="24">
        <v>17.5</v>
      </c>
      <c r="L1783" s="25"/>
    </row>
    <row r="1784" spans="1:12" ht="15" customHeight="1" x14ac:dyDescent="0.25">
      <c r="A1784" s="21" t="s">
        <v>214</v>
      </c>
      <c r="B1784" s="22"/>
      <c r="C1784" s="22"/>
      <c r="D1784" s="22"/>
      <c r="E1784" s="23"/>
      <c r="F1784" s="19" t="str">
        <f>"063341"</f>
        <v>063341</v>
      </c>
      <c r="G1784" s="19" t="s">
        <v>81</v>
      </c>
      <c r="H1784" s="20">
        <v>2.38</v>
      </c>
      <c r="I1784" s="24">
        <v>2.12E-2</v>
      </c>
      <c r="J1784" s="25"/>
      <c r="K1784" s="24">
        <v>0.05</v>
      </c>
      <c r="L1784" s="25"/>
    </row>
    <row r="1785" spans="1:12" ht="15" customHeight="1" x14ac:dyDescent="0.25">
      <c r="A1785" s="21" t="s">
        <v>215</v>
      </c>
      <c r="B1785" s="22"/>
      <c r="C1785" s="22"/>
      <c r="D1785" s="22"/>
      <c r="E1785" s="23"/>
      <c r="F1785" s="19" t="str">
        <f>"069513"</f>
        <v>069513</v>
      </c>
      <c r="G1785" s="19" t="s">
        <v>124</v>
      </c>
      <c r="H1785" s="20">
        <v>56.83</v>
      </c>
      <c r="I1785" s="24">
        <v>2.7299999999999998E-3</v>
      </c>
      <c r="J1785" s="25"/>
      <c r="K1785" s="24">
        <v>0.15</v>
      </c>
      <c r="L1785" s="25"/>
    </row>
    <row r="1786" spans="1:12" ht="15" customHeight="1" x14ac:dyDescent="0.25">
      <c r="A1786" s="21" t="s">
        <v>216</v>
      </c>
      <c r="B1786" s="22"/>
      <c r="C1786" s="22"/>
      <c r="D1786" s="22"/>
      <c r="E1786" s="23"/>
      <c r="F1786" s="19" t="str">
        <f>"069514"</f>
        <v>069514</v>
      </c>
      <c r="G1786" s="19" t="s">
        <v>109</v>
      </c>
      <c r="H1786" s="20">
        <v>72.23</v>
      </c>
      <c r="I1786" s="24">
        <v>1.1000000000000001E-3</v>
      </c>
      <c r="J1786" s="25"/>
      <c r="K1786" s="24">
        <v>7.0000000000000007E-2</v>
      </c>
      <c r="L1786" s="25"/>
    </row>
    <row r="1787" spans="1:12" ht="15" customHeight="1" x14ac:dyDescent="0.25">
      <c r="A1787" s="15" t="s">
        <v>51</v>
      </c>
      <c r="B1787" s="16"/>
      <c r="C1787" s="16"/>
      <c r="D1787" s="16"/>
      <c r="E1787" s="16"/>
      <c r="F1787" s="16"/>
      <c r="G1787" s="16"/>
      <c r="H1787" s="16"/>
      <c r="I1787" s="16"/>
      <c r="J1787" s="17"/>
      <c r="K1787" s="15">
        <v>17.77</v>
      </c>
      <c r="L1787" s="17"/>
    </row>
    <row r="1788" spans="1:12" x14ac:dyDescent="0.25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</row>
    <row r="1789" spans="1:12" ht="15" customHeight="1" x14ac:dyDescent="0.25">
      <c r="A1789" s="10" t="s">
        <v>52</v>
      </c>
      <c r="B1789" s="11"/>
      <c r="C1789" s="11"/>
      <c r="D1789" s="11"/>
      <c r="E1789" s="12"/>
      <c r="F1789" s="8" t="s">
        <v>21</v>
      </c>
      <c r="G1789" s="8" t="s">
        <v>22</v>
      </c>
      <c r="H1789" s="9" t="s">
        <v>44</v>
      </c>
      <c r="I1789" s="13" t="s">
        <v>34</v>
      </c>
      <c r="J1789" s="14"/>
      <c r="K1789" s="13" t="s">
        <v>50</v>
      </c>
      <c r="L1789" s="14"/>
    </row>
    <row r="1790" spans="1:12" ht="15" customHeight="1" x14ac:dyDescent="0.25">
      <c r="A1790" s="15" t="s">
        <v>53</v>
      </c>
      <c r="B1790" s="16"/>
      <c r="C1790" s="16"/>
      <c r="D1790" s="16"/>
      <c r="E1790" s="16"/>
      <c r="F1790" s="16"/>
      <c r="G1790" s="16"/>
      <c r="H1790" s="16"/>
      <c r="I1790" s="16"/>
      <c r="J1790" s="17"/>
      <c r="K1790" s="15">
        <v>0</v>
      </c>
      <c r="L1790" s="17"/>
    </row>
    <row r="1791" spans="1:12" x14ac:dyDescent="0.25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</row>
    <row r="1792" spans="1:12" ht="15" customHeight="1" x14ac:dyDescent="0.25">
      <c r="A1792" s="10" t="s">
        <v>54</v>
      </c>
      <c r="B1792" s="11"/>
      <c r="C1792" s="12"/>
      <c r="D1792" s="8" t="s">
        <v>21</v>
      </c>
      <c r="E1792" s="8" t="s">
        <v>22</v>
      </c>
      <c r="F1792" s="9" t="s">
        <v>55</v>
      </c>
      <c r="G1792" s="8" t="s">
        <v>56</v>
      </c>
      <c r="H1792" s="8" t="s">
        <v>57</v>
      </c>
      <c r="I1792" s="8" t="s">
        <v>58</v>
      </c>
      <c r="J1792" s="9" t="s">
        <v>59</v>
      </c>
      <c r="K1792" s="9" t="s">
        <v>34</v>
      </c>
      <c r="L1792" s="9" t="s">
        <v>50</v>
      </c>
    </row>
    <row r="1793" spans="1:12" ht="15" customHeight="1" x14ac:dyDescent="0.25">
      <c r="A1793" s="15" t="s">
        <v>60</v>
      </c>
      <c r="B1793" s="16"/>
      <c r="C1793" s="16"/>
      <c r="D1793" s="16"/>
      <c r="E1793" s="16"/>
      <c r="F1793" s="16"/>
      <c r="G1793" s="16"/>
      <c r="H1793" s="16"/>
      <c r="I1793" s="16"/>
      <c r="J1793" s="17"/>
      <c r="K1793" s="15">
        <v>0</v>
      </c>
      <c r="L1793" s="17"/>
    </row>
    <row r="1794" spans="1:12" x14ac:dyDescent="0.25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</row>
    <row r="1795" spans="1:12" ht="15" customHeight="1" x14ac:dyDescent="0.25">
      <c r="A1795" s="27" t="s">
        <v>61</v>
      </c>
      <c r="B1795" s="27"/>
      <c r="C1795" s="27"/>
      <c r="D1795" s="27"/>
      <c r="E1795" s="27"/>
      <c r="F1795" s="27"/>
      <c r="G1795" s="27"/>
      <c r="H1795" s="27"/>
      <c r="I1795" s="27"/>
      <c r="J1795" s="27"/>
      <c r="K1795" s="27">
        <v>60.93</v>
      </c>
      <c r="L1795" s="27"/>
    </row>
    <row r="1796" spans="1:12" ht="15" customHeight="1" x14ac:dyDescent="0.25">
      <c r="A1796" s="27" t="s">
        <v>62</v>
      </c>
      <c r="B1796" s="27"/>
      <c r="C1796" s="27"/>
      <c r="D1796" s="27"/>
      <c r="E1796" s="27"/>
      <c r="F1796" s="27"/>
      <c r="G1796" s="27"/>
      <c r="H1796" s="27"/>
      <c r="I1796" s="27"/>
      <c r="J1796" s="27"/>
      <c r="K1796" s="27">
        <v>20.260000000000002</v>
      </c>
      <c r="L1796" s="27"/>
    </row>
    <row r="1797" spans="1:12" ht="15" customHeight="1" x14ac:dyDescent="0.25">
      <c r="A1797" s="27" t="s">
        <v>63</v>
      </c>
      <c r="B1797" s="27"/>
      <c r="C1797" s="27"/>
      <c r="D1797" s="27"/>
      <c r="E1797" s="27"/>
      <c r="F1797" s="27"/>
      <c r="G1797" s="27"/>
      <c r="H1797" s="27"/>
      <c r="I1797" s="27"/>
      <c r="J1797" s="27"/>
      <c r="K1797" s="27">
        <v>81.19</v>
      </c>
      <c r="L1797" s="27"/>
    </row>
    <row r="1798" spans="1:12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</row>
    <row r="1799" spans="1:12" ht="15" customHeight="1" x14ac:dyDescent="0.25">
      <c r="A1799" s="3" t="s">
        <v>8</v>
      </c>
      <c r="B1799" s="6" t="s">
        <v>9</v>
      </c>
      <c r="C1799" s="6"/>
      <c r="D1799" s="6"/>
      <c r="E1799" s="6"/>
      <c r="F1799" s="6"/>
      <c r="G1799" s="6"/>
      <c r="H1799" s="6"/>
      <c r="I1799" s="6"/>
      <c r="J1799" s="6"/>
      <c r="K1799" s="6"/>
      <c r="L1799" s="6"/>
    </row>
    <row r="1800" spans="1:12" ht="15" customHeight="1" x14ac:dyDescent="0.25">
      <c r="A1800" s="3" t="s">
        <v>10</v>
      </c>
      <c r="B1800" s="6" t="s">
        <v>223</v>
      </c>
      <c r="C1800" s="6"/>
      <c r="D1800" s="6"/>
      <c r="E1800" s="6"/>
      <c r="F1800" s="6"/>
      <c r="G1800" s="6"/>
      <c r="H1800" s="6"/>
      <c r="I1800" s="6"/>
      <c r="J1800" s="6"/>
      <c r="K1800" s="3" t="s">
        <v>12</v>
      </c>
      <c r="L1800" s="4" t="s">
        <v>87</v>
      </c>
    </row>
    <row r="1801" spans="1:12" ht="15" customHeight="1" x14ac:dyDescent="0.25">
      <c r="A1801" s="3" t="s">
        <v>14</v>
      </c>
      <c r="B1801" s="6" t="s">
        <v>15</v>
      </c>
      <c r="C1801" s="6"/>
      <c r="D1801" s="7" t="s">
        <v>16</v>
      </c>
      <c r="E1801" s="7"/>
      <c r="F1801" s="6" t="str">
        <f>"141909"</f>
        <v>141909</v>
      </c>
      <c r="G1801" s="6"/>
      <c r="H1801" s="3" t="s">
        <v>17</v>
      </c>
      <c r="I1801" s="6" t="s">
        <v>18</v>
      </c>
      <c r="J1801" s="6"/>
      <c r="K1801" s="3" t="s">
        <v>19</v>
      </c>
      <c r="L1801" s="5">
        <v>1</v>
      </c>
    </row>
    <row r="1802" spans="1:12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</row>
    <row r="1803" spans="1:12" ht="15" customHeight="1" x14ac:dyDescent="0.25">
      <c r="A1803" s="10" t="s">
        <v>20</v>
      </c>
      <c r="B1803" s="11"/>
      <c r="C1803" s="12"/>
      <c r="D1803" s="8" t="s">
        <v>21</v>
      </c>
      <c r="E1803" s="8" t="s">
        <v>22</v>
      </c>
      <c r="F1803" s="9" t="s">
        <v>23</v>
      </c>
      <c r="G1803" s="9" t="s">
        <v>24</v>
      </c>
      <c r="H1803" s="9" t="s">
        <v>25</v>
      </c>
      <c r="I1803" s="9" t="s">
        <v>26</v>
      </c>
      <c r="J1803" s="9" t="s">
        <v>27</v>
      </c>
      <c r="K1803" s="13" t="s">
        <v>28</v>
      </c>
      <c r="L1803" s="14"/>
    </row>
    <row r="1804" spans="1:12" ht="15" customHeight="1" x14ac:dyDescent="0.25">
      <c r="A1804" s="15" t="s">
        <v>29</v>
      </c>
      <c r="B1804" s="16"/>
      <c r="C1804" s="16"/>
      <c r="D1804" s="16"/>
      <c r="E1804" s="16"/>
      <c r="F1804" s="16"/>
      <c r="G1804" s="16"/>
      <c r="H1804" s="16"/>
      <c r="I1804" s="16"/>
      <c r="J1804" s="17"/>
      <c r="K1804" s="15">
        <v>0</v>
      </c>
      <c r="L1804" s="17"/>
    </row>
    <row r="1805" spans="1:12" x14ac:dyDescent="0.25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</row>
    <row r="1806" spans="1:12" ht="15" customHeight="1" x14ac:dyDescent="0.25">
      <c r="A1806" s="10" t="s">
        <v>30</v>
      </c>
      <c r="B1806" s="11"/>
      <c r="C1806" s="12"/>
      <c r="D1806" s="8" t="s">
        <v>21</v>
      </c>
      <c r="E1806" s="8" t="s">
        <v>22</v>
      </c>
      <c r="F1806" s="9" t="s">
        <v>31</v>
      </c>
      <c r="G1806" s="9" t="s">
        <v>32</v>
      </c>
      <c r="H1806" s="9" t="s">
        <v>33</v>
      </c>
      <c r="I1806" s="13" t="s">
        <v>34</v>
      </c>
      <c r="J1806" s="14"/>
      <c r="K1806" s="13" t="s">
        <v>28</v>
      </c>
      <c r="L1806" s="14"/>
    </row>
    <row r="1807" spans="1:12" ht="15" customHeight="1" x14ac:dyDescent="0.25">
      <c r="A1807" s="21" t="s">
        <v>76</v>
      </c>
      <c r="B1807" s="22"/>
      <c r="C1807" s="23"/>
      <c r="D1807" s="19" t="str">
        <f>"010101"</f>
        <v>010101</v>
      </c>
      <c r="E1807" s="19" t="s">
        <v>36</v>
      </c>
      <c r="F1807" s="20">
        <v>8.5299999999999994</v>
      </c>
      <c r="G1807" s="20">
        <v>157.27000000000001</v>
      </c>
      <c r="H1807" s="20">
        <v>21.94</v>
      </c>
      <c r="I1807" s="24">
        <v>1.1000000000000001</v>
      </c>
      <c r="J1807" s="25"/>
      <c r="K1807" s="24">
        <v>24.13</v>
      </c>
      <c r="L1807" s="25"/>
    </row>
    <row r="1808" spans="1:12" ht="15" customHeight="1" x14ac:dyDescent="0.25">
      <c r="A1808" s="21" t="s">
        <v>85</v>
      </c>
      <c r="B1808" s="22"/>
      <c r="C1808" s="23"/>
      <c r="D1808" s="19" t="str">
        <f>"010118"</f>
        <v>010118</v>
      </c>
      <c r="E1808" s="19" t="s">
        <v>36</v>
      </c>
      <c r="F1808" s="20">
        <v>10.119999999999999</v>
      </c>
      <c r="G1808" s="20">
        <v>157.27000000000001</v>
      </c>
      <c r="H1808" s="20">
        <v>26.03</v>
      </c>
      <c r="I1808" s="24">
        <v>1.1000000000000001</v>
      </c>
      <c r="J1808" s="25"/>
      <c r="K1808" s="24">
        <v>28.63</v>
      </c>
      <c r="L1808" s="25"/>
    </row>
    <row r="1809" spans="1:12" ht="15" customHeight="1" x14ac:dyDescent="0.25">
      <c r="A1809" s="15" t="s">
        <v>38</v>
      </c>
      <c r="B1809" s="16"/>
      <c r="C1809" s="16"/>
      <c r="D1809" s="16"/>
      <c r="E1809" s="16"/>
      <c r="F1809" s="16"/>
      <c r="G1809" s="16"/>
      <c r="H1809" s="16"/>
      <c r="I1809" s="16"/>
      <c r="J1809" s="17"/>
      <c r="K1809" s="15">
        <v>52.76</v>
      </c>
      <c r="L1809" s="17"/>
    </row>
    <row r="1810" spans="1:12" x14ac:dyDescent="0.25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</row>
    <row r="1811" spans="1:12" ht="15" customHeight="1" x14ac:dyDescent="0.25">
      <c r="A1811" s="10" t="s">
        <v>39</v>
      </c>
      <c r="B1811" s="11"/>
      <c r="C1811" s="12"/>
      <c r="D1811" s="8" t="s">
        <v>21</v>
      </c>
      <c r="E1811" s="13" t="s">
        <v>40</v>
      </c>
      <c r="F1811" s="14"/>
      <c r="G1811" s="8" t="s">
        <v>41</v>
      </c>
      <c r="H1811" s="8" t="s">
        <v>42</v>
      </c>
      <c r="I1811" s="8" t="s">
        <v>43</v>
      </c>
      <c r="J1811" s="13" t="s">
        <v>44</v>
      </c>
      <c r="K1811" s="26"/>
      <c r="L1811" s="14"/>
    </row>
    <row r="1812" spans="1:12" ht="15" customHeight="1" x14ac:dyDescent="0.25">
      <c r="A1812" s="15" t="s">
        <v>45</v>
      </c>
      <c r="B1812" s="16"/>
      <c r="C1812" s="16"/>
      <c r="D1812" s="16"/>
      <c r="E1812" s="16"/>
      <c r="F1812" s="16"/>
      <c r="G1812" s="16"/>
      <c r="H1812" s="16"/>
      <c r="I1812" s="16"/>
      <c r="J1812" s="17"/>
      <c r="K1812" s="15">
        <v>0</v>
      </c>
      <c r="L1812" s="17"/>
    </row>
    <row r="1813" spans="1:12" x14ac:dyDescent="0.25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</row>
    <row r="1814" spans="1:12" ht="15" customHeight="1" x14ac:dyDescent="0.25">
      <c r="A1814" s="27" t="s">
        <v>46</v>
      </c>
      <c r="B1814" s="27"/>
      <c r="C1814" s="27"/>
      <c r="D1814" s="27"/>
      <c r="E1814" s="27"/>
      <c r="F1814" s="27"/>
      <c r="G1814" s="27"/>
      <c r="H1814" s="27"/>
      <c r="I1814" s="27"/>
      <c r="J1814" s="27"/>
      <c r="K1814" s="27">
        <v>52.76</v>
      </c>
      <c r="L1814" s="27"/>
    </row>
    <row r="1815" spans="1:12" ht="15" customHeight="1" x14ac:dyDescent="0.25">
      <c r="A1815" s="27" t="s">
        <v>47</v>
      </c>
      <c r="B1815" s="27"/>
      <c r="C1815" s="27"/>
      <c r="D1815" s="27"/>
      <c r="E1815" s="27"/>
      <c r="F1815" s="27"/>
      <c r="G1815" s="27"/>
      <c r="H1815" s="27"/>
      <c r="I1815" s="27"/>
      <c r="J1815" s="27"/>
      <c r="K1815" s="27">
        <v>1</v>
      </c>
      <c r="L1815" s="27"/>
    </row>
    <row r="1816" spans="1:12" ht="15" customHeight="1" x14ac:dyDescent="0.25">
      <c r="A1816" s="27" t="s">
        <v>48</v>
      </c>
      <c r="B1816" s="27"/>
      <c r="C1816" s="27"/>
      <c r="D1816" s="27"/>
      <c r="E1816" s="27"/>
      <c r="F1816" s="27"/>
      <c r="G1816" s="27"/>
      <c r="H1816" s="27"/>
      <c r="I1816" s="27"/>
      <c r="J1816" s="27"/>
      <c r="K1816" s="27">
        <v>52.76</v>
      </c>
      <c r="L1816" s="27"/>
    </row>
    <row r="1817" spans="1:12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</row>
    <row r="1818" spans="1:12" ht="15" customHeight="1" x14ac:dyDescent="0.25">
      <c r="A1818" s="10" t="s">
        <v>49</v>
      </c>
      <c r="B1818" s="11"/>
      <c r="C1818" s="11"/>
      <c r="D1818" s="11"/>
      <c r="E1818" s="12"/>
      <c r="F1818" s="8" t="s">
        <v>21</v>
      </c>
      <c r="G1818" s="8" t="s">
        <v>22</v>
      </c>
      <c r="H1818" s="9" t="s">
        <v>44</v>
      </c>
      <c r="I1818" s="13" t="s">
        <v>34</v>
      </c>
      <c r="J1818" s="14"/>
      <c r="K1818" s="13" t="s">
        <v>50</v>
      </c>
      <c r="L1818" s="14"/>
    </row>
    <row r="1819" spans="1:12" ht="15" customHeight="1" x14ac:dyDescent="0.25">
      <c r="A1819" s="21" t="s">
        <v>224</v>
      </c>
      <c r="B1819" s="22"/>
      <c r="C1819" s="22"/>
      <c r="D1819" s="22"/>
      <c r="E1819" s="23"/>
      <c r="F1819" s="19" t="str">
        <f>"062533"</f>
        <v>062533</v>
      </c>
      <c r="G1819" s="19" t="s">
        <v>99</v>
      </c>
      <c r="H1819" s="20">
        <v>18.46</v>
      </c>
      <c r="I1819" s="24">
        <v>1.1499999999999999</v>
      </c>
      <c r="J1819" s="25"/>
      <c r="K1819" s="24">
        <v>21.22</v>
      </c>
      <c r="L1819" s="25"/>
    </row>
    <row r="1820" spans="1:12" ht="15" customHeight="1" x14ac:dyDescent="0.25">
      <c r="A1820" s="21" t="s">
        <v>214</v>
      </c>
      <c r="B1820" s="22"/>
      <c r="C1820" s="22"/>
      <c r="D1820" s="22"/>
      <c r="E1820" s="23"/>
      <c r="F1820" s="19" t="str">
        <f>"063341"</f>
        <v>063341</v>
      </c>
      <c r="G1820" s="19" t="s">
        <v>81</v>
      </c>
      <c r="H1820" s="20">
        <v>2.38</v>
      </c>
      <c r="I1820" s="24">
        <v>2.47E-2</v>
      </c>
      <c r="J1820" s="25"/>
      <c r="K1820" s="24">
        <v>0.05</v>
      </c>
      <c r="L1820" s="25"/>
    </row>
    <row r="1821" spans="1:12" ht="15" customHeight="1" x14ac:dyDescent="0.25">
      <c r="A1821" s="21" t="s">
        <v>215</v>
      </c>
      <c r="B1821" s="22"/>
      <c r="C1821" s="22"/>
      <c r="D1821" s="22"/>
      <c r="E1821" s="23"/>
      <c r="F1821" s="19" t="str">
        <f>"069513"</f>
        <v>069513</v>
      </c>
      <c r="G1821" s="19" t="s">
        <v>124</v>
      </c>
      <c r="H1821" s="20">
        <v>56.83</v>
      </c>
      <c r="I1821" s="24">
        <v>3.7000000000000002E-3</v>
      </c>
      <c r="J1821" s="25"/>
      <c r="K1821" s="24">
        <v>0.21</v>
      </c>
      <c r="L1821" s="25"/>
    </row>
    <row r="1822" spans="1:12" ht="15" customHeight="1" x14ac:dyDescent="0.25">
      <c r="A1822" s="21" t="s">
        <v>216</v>
      </c>
      <c r="B1822" s="22"/>
      <c r="C1822" s="22"/>
      <c r="D1822" s="22"/>
      <c r="E1822" s="23"/>
      <c r="F1822" s="19" t="str">
        <f>"069514"</f>
        <v>069514</v>
      </c>
      <c r="G1822" s="19" t="s">
        <v>109</v>
      </c>
      <c r="H1822" s="20">
        <v>72.23</v>
      </c>
      <c r="I1822" s="24">
        <v>1.8E-3</v>
      </c>
      <c r="J1822" s="25"/>
      <c r="K1822" s="24">
        <v>0.13</v>
      </c>
      <c r="L1822" s="25"/>
    </row>
    <row r="1823" spans="1:12" ht="15" customHeight="1" x14ac:dyDescent="0.25">
      <c r="A1823" s="15" t="s">
        <v>51</v>
      </c>
      <c r="B1823" s="16"/>
      <c r="C1823" s="16"/>
      <c r="D1823" s="16"/>
      <c r="E1823" s="16"/>
      <c r="F1823" s="16"/>
      <c r="G1823" s="16"/>
      <c r="H1823" s="16"/>
      <c r="I1823" s="16"/>
      <c r="J1823" s="17"/>
      <c r="K1823" s="15">
        <v>21.61</v>
      </c>
      <c r="L1823" s="17"/>
    </row>
    <row r="1824" spans="1:12" x14ac:dyDescent="0.25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</row>
    <row r="1825" spans="1:12" ht="15" customHeight="1" x14ac:dyDescent="0.25">
      <c r="A1825" s="10" t="s">
        <v>52</v>
      </c>
      <c r="B1825" s="11"/>
      <c r="C1825" s="11"/>
      <c r="D1825" s="11"/>
      <c r="E1825" s="12"/>
      <c r="F1825" s="8" t="s">
        <v>21</v>
      </c>
      <c r="G1825" s="8" t="s">
        <v>22</v>
      </c>
      <c r="H1825" s="9" t="s">
        <v>44</v>
      </c>
      <c r="I1825" s="13" t="s">
        <v>34</v>
      </c>
      <c r="J1825" s="14"/>
      <c r="K1825" s="13" t="s">
        <v>50</v>
      </c>
      <c r="L1825" s="14"/>
    </row>
    <row r="1826" spans="1:12" ht="15" customHeight="1" x14ac:dyDescent="0.25">
      <c r="A1826" s="15" t="s">
        <v>53</v>
      </c>
      <c r="B1826" s="16"/>
      <c r="C1826" s="16"/>
      <c r="D1826" s="16"/>
      <c r="E1826" s="16"/>
      <c r="F1826" s="16"/>
      <c r="G1826" s="16"/>
      <c r="H1826" s="16"/>
      <c r="I1826" s="16"/>
      <c r="J1826" s="17"/>
      <c r="K1826" s="15">
        <v>0</v>
      </c>
      <c r="L1826" s="17"/>
    </row>
    <row r="1827" spans="1:12" x14ac:dyDescent="0.25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</row>
    <row r="1828" spans="1:12" ht="15" customHeight="1" x14ac:dyDescent="0.25">
      <c r="A1828" s="10" t="s">
        <v>54</v>
      </c>
      <c r="B1828" s="11"/>
      <c r="C1828" s="12"/>
      <c r="D1828" s="8" t="s">
        <v>21</v>
      </c>
      <c r="E1828" s="8" t="s">
        <v>22</v>
      </c>
      <c r="F1828" s="9" t="s">
        <v>55</v>
      </c>
      <c r="G1828" s="8" t="s">
        <v>56</v>
      </c>
      <c r="H1828" s="8" t="s">
        <v>57</v>
      </c>
      <c r="I1828" s="8" t="s">
        <v>58</v>
      </c>
      <c r="J1828" s="9" t="s">
        <v>59</v>
      </c>
      <c r="K1828" s="9" t="s">
        <v>34</v>
      </c>
      <c r="L1828" s="9" t="s">
        <v>50</v>
      </c>
    </row>
    <row r="1829" spans="1:12" ht="15" customHeight="1" x14ac:dyDescent="0.25">
      <c r="A1829" s="15" t="s">
        <v>60</v>
      </c>
      <c r="B1829" s="16"/>
      <c r="C1829" s="16"/>
      <c r="D1829" s="16"/>
      <c r="E1829" s="16"/>
      <c r="F1829" s="16"/>
      <c r="G1829" s="16"/>
      <c r="H1829" s="16"/>
      <c r="I1829" s="16"/>
      <c r="J1829" s="17"/>
      <c r="K1829" s="15">
        <v>0</v>
      </c>
      <c r="L1829" s="17"/>
    </row>
    <row r="1830" spans="1:12" x14ac:dyDescent="0.25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</row>
    <row r="1831" spans="1:12" ht="15" customHeight="1" x14ac:dyDescent="0.25">
      <c r="A1831" s="27" t="s">
        <v>61</v>
      </c>
      <c r="B1831" s="27"/>
      <c r="C1831" s="27"/>
      <c r="D1831" s="27"/>
      <c r="E1831" s="27"/>
      <c r="F1831" s="27"/>
      <c r="G1831" s="27"/>
      <c r="H1831" s="27"/>
      <c r="I1831" s="27"/>
      <c r="J1831" s="27"/>
      <c r="K1831" s="27">
        <v>74.37</v>
      </c>
      <c r="L1831" s="27"/>
    </row>
    <row r="1832" spans="1:12" ht="15" customHeight="1" x14ac:dyDescent="0.25">
      <c r="A1832" s="27" t="s">
        <v>62</v>
      </c>
      <c r="B1832" s="27"/>
      <c r="C1832" s="27"/>
      <c r="D1832" s="27"/>
      <c r="E1832" s="27"/>
      <c r="F1832" s="27"/>
      <c r="G1832" s="27"/>
      <c r="H1832" s="27"/>
      <c r="I1832" s="27"/>
      <c r="J1832" s="27"/>
      <c r="K1832" s="27">
        <v>24.73</v>
      </c>
      <c r="L1832" s="27"/>
    </row>
    <row r="1833" spans="1:12" ht="15" customHeight="1" x14ac:dyDescent="0.25">
      <c r="A1833" s="27" t="s">
        <v>63</v>
      </c>
      <c r="B1833" s="27"/>
      <c r="C1833" s="27"/>
      <c r="D1833" s="27"/>
      <c r="E1833" s="27"/>
      <c r="F1833" s="27"/>
      <c r="G1833" s="27"/>
      <c r="H1833" s="27"/>
      <c r="I1833" s="27"/>
      <c r="J1833" s="27"/>
      <c r="K1833" s="27">
        <v>99.1</v>
      </c>
      <c r="L1833" s="27"/>
    </row>
    <row r="1834" spans="1:12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</row>
    <row r="1835" spans="1:12" ht="15" customHeight="1" x14ac:dyDescent="0.25">
      <c r="A1835" s="3" t="s">
        <v>8</v>
      </c>
      <c r="B1835" s="6" t="s">
        <v>9</v>
      </c>
      <c r="C1835" s="6"/>
      <c r="D1835" s="6"/>
      <c r="E1835" s="6"/>
      <c r="F1835" s="6"/>
      <c r="G1835" s="6"/>
      <c r="H1835" s="6"/>
      <c r="I1835" s="6"/>
      <c r="J1835" s="6"/>
      <c r="K1835" s="6"/>
      <c r="L1835" s="6"/>
    </row>
    <row r="1836" spans="1:12" ht="15" customHeight="1" x14ac:dyDescent="0.25">
      <c r="A1836" s="3" t="s">
        <v>10</v>
      </c>
      <c r="B1836" s="6" t="s">
        <v>225</v>
      </c>
      <c r="C1836" s="6"/>
      <c r="D1836" s="6"/>
      <c r="E1836" s="6"/>
      <c r="F1836" s="6"/>
      <c r="G1836" s="6"/>
      <c r="H1836" s="6"/>
      <c r="I1836" s="6"/>
      <c r="J1836" s="6"/>
      <c r="K1836" s="3" t="s">
        <v>12</v>
      </c>
      <c r="L1836" s="4" t="s">
        <v>84</v>
      </c>
    </row>
    <row r="1837" spans="1:12" ht="15" customHeight="1" x14ac:dyDescent="0.25">
      <c r="A1837" s="3" t="s">
        <v>14</v>
      </c>
      <c r="B1837" s="6" t="s">
        <v>15</v>
      </c>
      <c r="C1837" s="6"/>
      <c r="D1837" s="7" t="s">
        <v>16</v>
      </c>
      <c r="E1837" s="7"/>
      <c r="F1837" s="6" t="str">
        <f>"142111"</f>
        <v>142111</v>
      </c>
      <c r="G1837" s="6"/>
      <c r="H1837" s="3" t="s">
        <v>17</v>
      </c>
      <c r="I1837" s="6" t="s">
        <v>18</v>
      </c>
      <c r="J1837" s="6"/>
      <c r="K1837" s="3" t="s">
        <v>19</v>
      </c>
      <c r="L1837" s="5">
        <v>1</v>
      </c>
    </row>
    <row r="1838" spans="1:12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</row>
    <row r="1839" spans="1:12" ht="15" customHeight="1" x14ac:dyDescent="0.25">
      <c r="A1839" s="10" t="s">
        <v>20</v>
      </c>
      <c r="B1839" s="11"/>
      <c r="C1839" s="12"/>
      <c r="D1839" s="8" t="s">
        <v>21</v>
      </c>
      <c r="E1839" s="8" t="s">
        <v>22</v>
      </c>
      <c r="F1839" s="9" t="s">
        <v>23</v>
      </c>
      <c r="G1839" s="9" t="s">
        <v>24</v>
      </c>
      <c r="H1839" s="9" t="s">
        <v>25</v>
      </c>
      <c r="I1839" s="9" t="s">
        <v>26</v>
      </c>
      <c r="J1839" s="9" t="s">
        <v>27</v>
      </c>
      <c r="K1839" s="13" t="s">
        <v>28</v>
      </c>
      <c r="L1839" s="14"/>
    </row>
    <row r="1840" spans="1:12" ht="15" customHeight="1" x14ac:dyDescent="0.25">
      <c r="A1840" s="15" t="s">
        <v>29</v>
      </c>
      <c r="B1840" s="16"/>
      <c r="C1840" s="16"/>
      <c r="D1840" s="16"/>
      <c r="E1840" s="16"/>
      <c r="F1840" s="16"/>
      <c r="G1840" s="16"/>
      <c r="H1840" s="16"/>
      <c r="I1840" s="16"/>
      <c r="J1840" s="17"/>
      <c r="K1840" s="15">
        <v>0</v>
      </c>
      <c r="L1840" s="17"/>
    </row>
    <row r="1841" spans="1:12" x14ac:dyDescent="0.25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</row>
    <row r="1842" spans="1:12" ht="15" customHeight="1" x14ac:dyDescent="0.25">
      <c r="A1842" s="10" t="s">
        <v>30</v>
      </c>
      <c r="B1842" s="11"/>
      <c r="C1842" s="12"/>
      <c r="D1842" s="8" t="s">
        <v>21</v>
      </c>
      <c r="E1842" s="8" t="s">
        <v>22</v>
      </c>
      <c r="F1842" s="9" t="s">
        <v>31</v>
      </c>
      <c r="G1842" s="9" t="s">
        <v>32</v>
      </c>
      <c r="H1842" s="9" t="s">
        <v>33</v>
      </c>
      <c r="I1842" s="13" t="s">
        <v>34</v>
      </c>
      <c r="J1842" s="14"/>
      <c r="K1842" s="13" t="s">
        <v>28</v>
      </c>
      <c r="L1842" s="14"/>
    </row>
    <row r="1843" spans="1:12" ht="15" customHeight="1" x14ac:dyDescent="0.25">
      <c r="A1843" s="21" t="s">
        <v>76</v>
      </c>
      <c r="B1843" s="22"/>
      <c r="C1843" s="23"/>
      <c r="D1843" s="19" t="str">
        <f>"010101"</f>
        <v>010101</v>
      </c>
      <c r="E1843" s="19" t="s">
        <v>36</v>
      </c>
      <c r="F1843" s="20">
        <v>8.5299999999999994</v>
      </c>
      <c r="G1843" s="20">
        <v>157.27000000000001</v>
      </c>
      <c r="H1843" s="20">
        <v>21.94</v>
      </c>
      <c r="I1843" s="24">
        <v>0.98</v>
      </c>
      <c r="J1843" s="25"/>
      <c r="K1843" s="24">
        <v>21.5</v>
      </c>
      <c r="L1843" s="25"/>
    </row>
    <row r="1844" spans="1:12" ht="15" customHeight="1" x14ac:dyDescent="0.25">
      <c r="A1844" s="21" t="s">
        <v>85</v>
      </c>
      <c r="B1844" s="22"/>
      <c r="C1844" s="23"/>
      <c r="D1844" s="19" t="str">
        <f>"010118"</f>
        <v>010118</v>
      </c>
      <c r="E1844" s="19" t="s">
        <v>36</v>
      </c>
      <c r="F1844" s="20">
        <v>10.119999999999999</v>
      </c>
      <c r="G1844" s="20">
        <v>157.27000000000001</v>
      </c>
      <c r="H1844" s="20">
        <v>26.03</v>
      </c>
      <c r="I1844" s="24">
        <v>0.98</v>
      </c>
      <c r="J1844" s="25"/>
      <c r="K1844" s="24">
        <v>25.5</v>
      </c>
      <c r="L1844" s="25"/>
    </row>
    <row r="1845" spans="1:12" ht="15" customHeight="1" x14ac:dyDescent="0.25">
      <c r="A1845" s="15" t="s">
        <v>38</v>
      </c>
      <c r="B1845" s="16"/>
      <c r="C1845" s="16"/>
      <c r="D1845" s="16"/>
      <c r="E1845" s="16"/>
      <c r="F1845" s="16"/>
      <c r="G1845" s="16"/>
      <c r="H1845" s="16"/>
      <c r="I1845" s="16"/>
      <c r="J1845" s="17"/>
      <c r="K1845" s="15">
        <v>47</v>
      </c>
      <c r="L1845" s="17"/>
    </row>
    <row r="1846" spans="1:12" x14ac:dyDescent="0.25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</row>
    <row r="1847" spans="1:12" ht="15" customHeight="1" x14ac:dyDescent="0.25">
      <c r="A1847" s="10" t="s">
        <v>39</v>
      </c>
      <c r="B1847" s="11"/>
      <c r="C1847" s="12"/>
      <c r="D1847" s="8" t="s">
        <v>21</v>
      </c>
      <c r="E1847" s="13" t="s">
        <v>40</v>
      </c>
      <c r="F1847" s="14"/>
      <c r="G1847" s="8" t="s">
        <v>41</v>
      </c>
      <c r="H1847" s="8" t="s">
        <v>42</v>
      </c>
      <c r="I1847" s="8" t="s">
        <v>43</v>
      </c>
      <c r="J1847" s="13" t="s">
        <v>44</v>
      </c>
      <c r="K1847" s="26"/>
      <c r="L1847" s="14"/>
    </row>
    <row r="1848" spans="1:12" ht="15" customHeight="1" x14ac:dyDescent="0.25">
      <c r="A1848" s="15" t="s">
        <v>45</v>
      </c>
      <c r="B1848" s="16"/>
      <c r="C1848" s="16"/>
      <c r="D1848" s="16"/>
      <c r="E1848" s="16"/>
      <c r="F1848" s="16"/>
      <c r="G1848" s="16"/>
      <c r="H1848" s="16"/>
      <c r="I1848" s="16"/>
      <c r="J1848" s="17"/>
      <c r="K1848" s="15">
        <v>0</v>
      </c>
      <c r="L1848" s="17"/>
    </row>
    <row r="1849" spans="1:12" x14ac:dyDescent="0.25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</row>
    <row r="1850" spans="1:12" ht="15" customHeight="1" x14ac:dyDescent="0.25">
      <c r="A1850" s="27" t="s">
        <v>46</v>
      </c>
      <c r="B1850" s="27"/>
      <c r="C1850" s="27"/>
      <c r="D1850" s="27"/>
      <c r="E1850" s="27"/>
      <c r="F1850" s="27"/>
      <c r="G1850" s="27"/>
      <c r="H1850" s="27"/>
      <c r="I1850" s="27"/>
      <c r="J1850" s="27"/>
      <c r="K1850" s="27">
        <v>47</v>
      </c>
      <c r="L1850" s="27"/>
    </row>
    <row r="1851" spans="1:12" ht="15" customHeight="1" x14ac:dyDescent="0.25">
      <c r="A1851" s="27" t="s">
        <v>47</v>
      </c>
      <c r="B1851" s="27"/>
      <c r="C1851" s="27"/>
      <c r="D1851" s="27"/>
      <c r="E1851" s="27"/>
      <c r="F1851" s="27"/>
      <c r="G1851" s="27"/>
      <c r="H1851" s="27"/>
      <c r="I1851" s="27"/>
      <c r="J1851" s="27"/>
      <c r="K1851" s="27">
        <v>1</v>
      </c>
      <c r="L1851" s="27"/>
    </row>
    <row r="1852" spans="1:12" ht="15" customHeight="1" x14ac:dyDescent="0.25">
      <c r="A1852" s="27" t="s">
        <v>48</v>
      </c>
      <c r="B1852" s="27"/>
      <c r="C1852" s="27"/>
      <c r="D1852" s="27"/>
      <c r="E1852" s="27"/>
      <c r="F1852" s="27"/>
      <c r="G1852" s="27"/>
      <c r="H1852" s="27"/>
      <c r="I1852" s="27"/>
      <c r="J1852" s="27"/>
      <c r="K1852" s="27">
        <v>47</v>
      </c>
      <c r="L1852" s="27"/>
    </row>
    <row r="1853" spans="1:12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</row>
    <row r="1854" spans="1:12" ht="15" customHeight="1" x14ac:dyDescent="0.25">
      <c r="A1854" s="10" t="s">
        <v>49</v>
      </c>
      <c r="B1854" s="11"/>
      <c r="C1854" s="11"/>
      <c r="D1854" s="11"/>
      <c r="E1854" s="12"/>
      <c r="F1854" s="8" t="s">
        <v>21</v>
      </c>
      <c r="G1854" s="8" t="s">
        <v>22</v>
      </c>
      <c r="H1854" s="9" t="s">
        <v>44</v>
      </c>
      <c r="I1854" s="13" t="s">
        <v>34</v>
      </c>
      <c r="J1854" s="14"/>
      <c r="K1854" s="13" t="s">
        <v>50</v>
      </c>
      <c r="L1854" s="14"/>
    </row>
    <row r="1855" spans="1:12" ht="15" customHeight="1" x14ac:dyDescent="0.25">
      <c r="A1855" s="21" t="s">
        <v>226</v>
      </c>
      <c r="B1855" s="22"/>
      <c r="C1855" s="22"/>
      <c r="D1855" s="22"/>
      <c r="E1855" s="23"/>
      <c r="F1855" s="19" t="str">
        <f>"069409"</f>
        <v>069409</v>
      </c>
      <c r="G1855" s="19" t="s">
        <v>81</v>
      </c>
      <c r="H1855" s="20">
        <v>91.6</v>
      </c>
      <c r="I1855" s="24">
        <v>1</v>
      </c>
      <c r="J1855" s="25"/>
      <c r="K1855" s="24">
        <v>91.6</v>
      </c>
      <c r="L1855" s="25"/>
    </row>
    <row r="1856" spans="1:12" ht="15" customHeight="1" x14ac:dyDescent="0.25">
      <c r="A1856" s="15" t="s">
        <v>51</v>
      </c>
      <c r="B1856" s="16"/>
      <c r="C1856" s="16"/>
      <c r="D1856" s="16"/>
      <c r="E1856" s="16"/>
      <c r="F1856" s="16"/>
      <c r="G1856" s="16"/>
      <c r="H1856" s="16"/>
      <c r="I1856" s="16"/>
      <c r="J1856" s="17"/>
      <c r="K1856" s="15">
        <v>91.6</v>
      </c>
      <c r="L1856" s="17"/>
    </row>
    <row r="1857" spans="1:12" x14ac:dyDescent="0.25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</row>
    <row r="1858" spans="1:12" ht="15" customHeight="1" x14ac:dyDescent="0.25">
      <c r="A1858" s="10" t="s">
        <v>52</v>
      </c>
      <c r="B1858" s="11"/>
      <c r="C1858" s="11"/>
      <c r="D1858" s="11"/>
      <c r="E1858" s="12"/>
      <c r="F1858" s="8" t="s">
        <v>21</v>
      </c>
      <c r="G1858" s="8" t="s">
        <v>22</v>
      </c>
      <c r="H1858" s="9" t="s">
        <v>44</v>
      </c>
      <c r="I1858" s="13" t="s">
        <v>34</v>
      </c>
      <c r="J1858" s="14"/>
      <c r="K1858" s="13" t="s">
        <v>50</v>
      </c>
      <c r="L1858" s="14"/>
    </row>
    <row r="1859" spans="1:12" ht="15" customHeight="1" x14ac:dyDescent="0.25">
      <c r="A1859" s="15" t="s">
        <v>53</v>
      </c>
      <c r="B1859" s="16"/>
      <c r="C1859" s="16"/>
      <c r="D1859" s="16"/>
      <c r="E1859" s="16"/>
      <c r="F1859" s="16"/>
      <c r="G1859" s="16"/>
      <c r="H1859" s="16"/>
      <c r="I1859" s="16"/>
      <c r="J1859" s="17"/>
      <c r="K1859" s="15">
        <v>0</v>
      </c>
      <c r="L1859" s="17"/>
    </row>
    <row r="1860" spans="1:12" x14ac:dyDescent="0.25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</row>
    <row r="1861" spans="1:12" ht="15" customHeight="1" x14ac:dyDescent="0.25">
      <c r="A1861" s="10" t="s">
        <v>54</v>
      </c>
      <c r="B1861" s="11"/>
      <c r="C1861" s="12"/>
      <c r="D1861" s="8" t="s">
        <v>21</v>
      </c>
      <c r="E1861" s="8" t="s">
        <v>22</v>
      </c>
      <c r="F1861" s="9" t="s">
        <v>55</v>
      </c>
      <c r="G1861" s="8" t="s">
        <v>56</v>
      </c>
      <c r="H1861" s="8" t="s">
        <v>57</v>
      </c>
      <c r="I1861" s="8" t="s">
        <v>58</v>
      </c>
      <c r="J1861" s="9" t="s">
        <v>59</v>
      </c>
      <c r="K1861" s="9" t="s">
        <v>34</v>
      </c>
      <c r="L1861" s="9" t="s">
        <v>50</v>
      </c>
    </row>
    <row r="1862" spans="1:12" ht="15" customHeight="1" x14ac:dyDescent="0.25">
      <c r="A1862" s="15" t="s">
        <v>60</v>
      </c>
      <c r="B1862" s="16"/>
      <c r="C1862" s="16"/>
      <c r="D1862" s="16"/>
      <c r="E1862" s="16"/>
      <c r="F1862" s="16"/>
      <c r="G1862" s="16"/>
      <c r="H1862" s="16"/>
      <c r="I1862" s="16"/>
      <c r="J1862" s="17"/>
      <c r="K1862" s="15">
        <v>0</v>
      </c>
      <c r="L1862" s="17"/>
    </row>
    <row r="1863" spans="1:12" x14ac:dyDescent="0.25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</row>
    <row r="1864" spans="1:12" ht="15" customHeight="1" x14ac:dyDescent="0.25">
      <c r="A1864" s="27" t="s">
        <v>61</v>
      </c>
      <c r="B1864" s="27"/>
      <c r="C1864" s="27"/>
      <c r="D1864" s="27"/>
      <c r="E1864" s="27"/>
      <c r="F1864" s="27"/>
      <c r="G1864" s="27"/>
      <c r="H1864" s="27"/>
      <c r="I1864" s="27"/>
      <c r="J1864" s="27"/>
      <c r="K1864" s="27">
        <v>138.6</v>
      </c>
      <c r="L1864" s="27"/>
    </row>
    <row r="1865" spans="1:12" ht="15" customHeight="1" x14ac:dyDescent="0.25">
      <c r="A1865" s="27" t="s">
        <v>62</v>
      </c>
      <c r="B1865" s="27"/>
      <c r="C1865" s="27"/>
      <c r="D1865" s="27"/>
      <c r="E1865" s="27"/>
      <c r="F1865" s="27"/>
      <c r="G1865" s="27"/>
      <c r="H1865" s="27"/>
      <c r="I1865" s="27"/>
      <c r="J1865" s="27"/>
      <c r="K1865" s="27">
        <v>46.08</v>
      </c>
      <c r="L1865" s="27"/>
    </row>
    <row r="1866" spans="1:12" ht="15" customHeight="1" x14ac:dyDescent="0.25">
      <c r="A1866" s="27" t="s">
        <v>63</v>
      </c>
      <c r="B1866" s="27"/>
      <c r="C1866" s="27"/>
      <c r="D1866" s="27"/>
      <c r="E1866" s="27"/>
      <c r="F1866" s="27"/>
      <c r="G1866" s="27"/>
      <c r="H1866" s="27"/>
      <c r="I1866" s="27"/>
      <c r="J1866" s="27"/>
      <c r="K1866" s="27">
        <v>184.68</v>
      </c>
      <c r="L1866" s="27"/>
    </row>
    <row r="1867" spans="1:12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</row>
    <row r="1868" spans="1:12" ht="15" customHeight="1" x14ac:dyDescent="0.25">
      <c r="A1868" s="3" t="s">
        <v>8</v>
      </c>
      <c r="B1868" s="6" t="s">
        <v>9</v>
      </c>
      <c r="C1868" s="6"/>
      <c r="D1868" s="6"/>
      <c r="E1868" s="6"/>
      <c r="F1868" s="6"/>
      <c r="G1868" s="6"/>
      <c r="H1868" s="6"/>
      <c r="I1868" s="6"/>
      <c r="J1868" s="6"/>
      <c r="K1868" s="6"/>
      <c r="L1868" s="6"/>
    </row>
    <row r="1869" spans="1:12" ht="15" customHeight="1" x14ac:dyDescent="0.25">
      <c r="A1869" s="3" t="s">
        <v>10</v>
      </c>
      <c r="B1869" s="6" t="s">
        <v>227</v>
      </c>
      <c r="C1869" s="6"/>
      <c r="D1869" s="6"/>
      <c r="E1869" s="6"/>
      <c r="F1869" s="6"/>
      <c r="G1869" s="6"/>
      <c r="H1869" s="6"/>
      <c r="I1869" s="6"/>
      <c r="J1869" s="6"/>
      <c r="K1869" s="3" t="s">
        <v>12</v>
      </c>
      <c r="L1869" s="4" t="s">
        <v>84</v>
      </c>
    </row>
    <row r="1870" spans="1:12" ht="15" customHeight="1" x14ac:dyDescent="0.25">
      <c r="A1870" s="3" t="s">
        <v>14</v>
      </c>
      <c r="B1870" s="6" t="s">
        <v>15</v>
      </c>
      <c r="C1870" s="6"/>
      <c r="D1870" s="7" t="s">
        <v>16</v>
      </c>
      <c r="E1870" s="7"/>
      <c r="F1870" s="6" t="str">
        <f>"142107"</f>
        <v>142107</v>
      </c>
      <c r="G1870" s="6"/>
      <c r="H1870" s="3" t="s">
        <v>17</v>
      </c>
      <c r="I1870" s="6" t="s">
        <v>18</v>
      </c>
      <c r="J1870" s="6"/>
      <c r="K1870" s="3" t="s">
        <v>19</v>
      </c>
      <c r="L1870" s="5">
        <v>1</v>
      </c>
    </row>
    <row r="1871" spans="1:12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</row>
    <row r="1872" spans="1:12" ht="15" customHeight="1" x14ac:dyDescent="0.25">
      <c r="A1872" s="10" t="s">
        <v>20</v>
      </c>
      <c r="B1872" s="11"/>
      <c r="C1872" s="12"/>
      <c r="D1872" s="8" t="s">
        <v>21</v>
      </c>
      <c r="E1872" s="8" t="s">
        <v>22</v>
      </c>
      <c r="F1872" s="9" t="s">
        <v>23</v>
      </c>
      <c r="G1872" s="9" t="s">
        <v>24</v>
      </c>
      <c r="H1872" s="9" t="s">
        <v>25</v>
      </c>
      <c r="I1872" s="9" t="s">
        <v>26</v>
      </c>
      <c r="J1872" s="9" t="s">
        <v>27</v>
      </c>
      <c r="K1872" s="13" t="s">
        <v>28</v>
      </c>
      <c r="L1872" s="14"/>
    </row>
    <row r="1873" spans="1:12" ht="15" customHeight="1" x14ac:dyDescent="0.25">
      <c r="A1873" s="15" t="s">
        <v>29</v>
      </c>
      <c r="B1873" s="16"/>
      <c r="C1873" s="16"/>
      <c r="D1873" s="16"/>
      <c r="E1873" s="16"/>
      <c r="F1873" s="16"/>
      <c r="G1873" s="16"/>
      <c r="H1873" s="16"/>
      <c r="I1873" s="16"/>
      <c r="J1873" s="17"/>
      <c r="K1873" s="15">
        <v>0</v>
      </c>
      <c r="L1873" s="17"/>
    </row>
    <row r="1874" spans="1:12" x14ac:dyDescent="0.25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</row>
    <row r="1875" spans="1:12" ht="15" customHeight="1" x14ac:dyDescent="0.25">
      <c r="A1875" s="10" t="s">
        <v>30</v>
      </c>
      <c r="B1875" s="11"/>
      <c r="C1875" s="12"/>
      <c r="D1875" s="8" t="s">
        <v>21</v>
      </c>
      <c r="E1875" s="8" t="s">
        <v>22</v>
      </c>
      <c r="F1875" s="9" t="s">
        <v>31</v>
      </c>
      <c r="G1875" s="9" t="s">
        <v>32</v>
      </c>
      <c r="H1875" s="9" t="s">
        <v>33</v>
      </c>
      <c r="I1875" s="13" t="s">
        <v>34</v>
      </c>
      <c r="J1875" s="14"/>
      <c r="K1875" s="13" t="s">
        <v>28</v>
      </c>
      <c r="L1875" s="14"/>
    </row>
    <row r="1876" spans="1:12" ht="15" customHeight="1" x14ac:dyDescent="0.25">
      <c r="A1876" s="21" t="s">
        <v>76</v>
      </c>
      <c r="B1876" s="22"/>
      <c r="C1876" s="23"/>
      <c r="D1876" s="19" t="str">
        <f>"010101"</f>
        <v>010101</v>
      </c>
      <c r="E1876" s="19" t="s">
        <v>36</v>
      </c>
      <c r="F1876" s="20">
        <v>8.5299999999999994</v>
      </c>
      <c r="G1876" s="20">
        <v>157.27000000000001</v>
      </c>
      <c r="H1876" s="20">
        <v>21.94</v>
      </c>
      <c r="I1876" s="24">
        <v>0.98</v>
      </c>
      <c r="J1876" s="25"/>
      <c r="K1876" s="24">
        <v>21.5</v>
      </c>
      <c r="L1876" s="25"/>
    </row>
    <row r="1877" spans="1:12" ht="15" customHeight="1" x14ac:dyDescent="0.25">
      <c r="A1877" s="21" t="s">
        <v>85</v>
      </c>
      <c r="B1877" s="22"/>
      <c r="C1877" s="23"/>
      <c r="D1877" s="19" t="str">
        <f>"010118"</f>
        <v>010118</v>
      </c>
      <c r="E1877" s="19" t="s">
        <v>36</v>
      </c>
      <c r="F1877" s="20">
        <v>10.119999999999999</v>
      </c>
      <c r="G1877" s="20">
        <v>157.27000000000001</v>
      </c>
      <c r="H1877" s="20">
        <v>26.03</v>
      </c>
      <c r="I1877" s="24">
        <v>0.98</v>
      </c>
      <c r="J1877" s="25"/>
      <c r="K1877" s="24">
        <v>25.5</v>
      </c>
      <c r="L1877" s="25"/>
    </row>
    <row r="1878" spans="1:12" ht="15" customHeight="1" x14ac:dyDescent="0.25">
      <c r="A1878" s="15" t="s">
        <v>38</v>
      </c>
      <c r="B1878" s="16"/>
      <c r="C1878" s="16"/>
      <c r="D1878" s="16"/>
      <c r="E1878" s="16"/>
      <c r="F1878" s="16"/>
      <c r="G1878" s="16"/>
      <c r="H1878" s="16"/>
      <c r="I1878" s="16"/>
      <c r="J1878" s="17"/>
      <c r="K1878" s="15">
        <v>47</v>
      </c>
      <c r="L1878" s="17"/>
    </row>
    <row r="1879" spans="1:12" x14ac:dyDescent="0.25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</row>
    <row r="1880" spans="1:12" ht="15" customHeight="1" x14ac:dyDescent="0.25">
      <c r="A1880" s="10" t="s">
        <v>39</v>
      </c>
      <c r="B1880" s="11"/>
      <c r="C1880" s="12"/>
      <c r="D1880" s="8" t="s">
        <v>21</v>
      </c>
      <c r="E1880" s="13" t="s">
        <v>40</v>
      </c>
      <c r="F1880" s="14"/>
      <c r="G1880" s="8" t="s">
        <v>41</v>
      </c>
      <c r="H1880" s="8" t="s">
        <v>42</v>
      </c>
      <c r="I1880" s="8" t="s">
        <v>43</v>
      </c>
      <c r="J1880" s="13" t="s">
        <v>44</v>
      </c>
      <c r="K1880" s="26"/>
      <c r="L1880" s="14"/>
    </row>
    <row r="1881" spans="1:12" ht="15" customHeight="1" x14ac:dyDescent="0.25">
      <c r="A1881" s="15" t="s">
        <v>45</v>
      </c>
      <c r="B1881" s="16"/>
      <c r="C1881" s="16"/>
      <c r="D1881" s="16"/>
      <c r="E1881" s="16"/>
      <c r="F1881" s="16"/>
      <c r="G1881" s="16"/>
      <c r="H1881" s="16"/>
      <c r="I1881" s="16"/>
      <c r="J1881" s="17"/>
      <c r="K1881" s="15">
        <v>0</v>
      </c>
      <c r="L1881" s="17"/>
    </row>
    <row r="1882" spans="1:12" x14ac:dyDescent="0.25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</row>
    <row r="1883" spans="1:12" ht="15" customHeight="1" x14ac:dyDescent="0.25">
      <c r="A1883" s="27" t="s">
        <v>46</v>
      </c>
      <c r="B1883" s="27"/>
      <c r="C1883" s="27"/>
      <c r="D1883" s="27"/>
      <c r="E1883" s="27"/>
      <c r="F1883" s="27"/>
      <c r="G1883" s="27"/>
      <c r="H1883" s="27"/>
      <c r="I1883" s="27"/>
      <c r="J1883" s="27"/>
      <c r="K1883" s="27">
        <v>47</v>
      </c>
      <c r="L1883" s="27"/>
    </row>
    <row r="1884" spans="1:12" ht="15" customHeight="1" x14ac:dyDescent="0.25">
      <c r="A1884" s="27" t="s">
        <v>47</v>
      </c>
      <c r="B1884" s="27"/>
      <c r="C1884" s="27"/>
      <c r="D1884" s="27"/>
      <c r="E1884" s="27"/>
      <c r="F1884" s="27"/>
      <c r="G1884" s="27"/>
      <c r="H1884" s="27"/>
      <c r="I1884" s="27"/>
      <c r="J1884" s="27"/>
      <c r="K1884" s="27">
        <v>1</v>
      </c>
      <c r="L1884" s="27"/>
    </row>
    <row r="1885" spans="1:12" ht="15" customHeight="1" x14ac:dyDescent="0.25">
      <c r="A1885" s="27" t="s">
        <v>48</v>
      </c>
      <c r="B1885" s="27"/>
      <c r="C1885" s="27"/>
      <c r="D1885" s="27"/>
      <c r="E1885" s="27"/>
      <c r="F1885" s="27"/>
      <c r="G1885" s="27"/>
      <c r="H1885" s="27"/>
      <c r="I1885" s="27"/>
      <c r="J1885" s="27"/>
      <c r="K1885" s="27">
        <v>47</v>
      </c>
      <c r="L1885" s="27"/>
    </row>
    <row r="1886" spans="1:12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</row>
    <row r="1887" spans="1:12" ht="15" customHeight="1" x14ac:dyDescent="0.25">
      <c r="A1887" s="10" t="s">
        <v>49</v>
      </c>
      <c r="B1887" s="11"/>
      <c r="C1887" s="11"/>
      <c r="D1887" s="11"/>
      <c r="E1887" s="12"/>
      <c r="F1887" s="8" t="s">
        <v>21</v>
      </c>
      <c r="G1887" s="8" t="s">
        <v>22</v>
      </c>
      <c r="H1887" s="9" t="s">
        <v>44</v>
      </c>
      <c r="I1887" s="13" t="s">
        <v>34</v>
      </c>
      <c r="J1887" s="14"/>
      <c r="K1887" s="13" t="s">
        <v>50</v>
      </c>
      <c r="L1887" s="14"/>
    </row>
    <row r="1888" spans="1:12" ht="15" customHeight="1" x14ac:dyDescent="0.25">
      <c r="A1888" s="21" t="s">
        <v>228</v>
      </c>
      <c r="B1888" s="22"/>
      <c r="C1888" s="22"/>
      <c r="D1888" s="22"/>
      <c r="E1888" s="23"/>
      <c r="F1888" s="19" t="str">
        <f>"067552"</f>
        <v>067552</v>
      </c>
      <c r="G1888" s="19" t="s">
        <v>81</v>
      </c>
      <c r="H1888" s="20">
        <v>26.61</v>
      </c>
      <c r="I1888" s="24">
        <v>1</v>
      </c>
      <c r="J1888" s="25"/>
      <c r="K1888" s="24">
        <v>26.61</v>
      </c>
      <c r="L1888" s="25"/>
    </row>
    <row r="1889" spans="1:12" ht="15" customHeight="1" x14ac:dyDescent="0.25">
      <c r="A1889" s="15" t="s">
        <v>51</v>
      </c>
      <c r="B1889" s="16"/>
      <c r="C1889" s="16"/>
      <c r="D1889" s="16"/>
      <c r="E1889" s="16"/>
      <c r="F1889" s="16"/>
      <c r="G1889" s="16"/>
      <c r="H1889" s="16"/>
      <c r="I1889" s="16"/>
      <c r="J1889" s="17"/>
      <c r="K1889" s="15">
        <v>26.61</v>
      </c>
      <c r="L1889" s="17"/>
    </row>
    <row r="1890" spans="1:12" x14ac:dyDescent="0.25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</row>
    <row r="1891" spans="1:12" ht="15" customHeight="1" x14ac:dyDescent="0.25">
      <c r="A1891" s="10" t="s">
        <v>52</v>
      </c>
      <c r="B1891" s="11"/>
      <c r="C1891" s="11"/>
      <c r="D1891" s="11"/>
      <c r="E1891" s="12"/>
      <c r="F1891" s="8" t="s">
        <v>21</v>
      </c>
      <c r="G1891" s="8" t="s">
        <v>22</v>
      </c>
      <c r="H1891" s="9" t="s">
        <v>44</v>
      </c>
      <c r="I1891" s="13" t="s">
        <v>34</v>
      </c>
      <c r="J1891" s="14"/>
      <c r="K1891" s="13" t="s">
        <v>50</v>
      </c>
      <c r="L1891" s="14"/>
    </row>
    <row r="1892" spans="1:12" ht="15" customHeight="1" x14ac:dyDescent="0.25">
      <c r="A1892" s="15" t="s">
        <v>53</v>
      </c>
      <c r="B1892" s="16"/>
      <c r="C1892" s="16"/>
      <c r="D1892" s="16"/>
      <c r="E1892" s="16"/>
      <c r="F1892" s="16"/>
      <c r="G1892" s="16"/>
      <c r="H1892" s="16"/>
      <c r="I1892" s="16"/>
      <c r="J1892" s="17"/>
      <c r="K1892" s="15">
        <v>0</v>
      </c>
      <c r="L1892" s="17"/>
    </row>
    <row r="1893" spans="1:12" x14ac:dyDescent="0.25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</row>
    <row r="1894" spans="1:12" ht="15" customHeight="1" x14ac:dyDescent="0.25">
      <c r="A1894" s="10" t="s">
        <v>54</v>
      </c>
      <c r="B1894" s="11"/>
      <c r="C1894" s="12"/>
      <c r="D1894" s="8" t="s">
        <v>21</v>
      </c>
      <c r="E1894" s="8" t="s">
        <v>22</v>
      </c>
      <c r="F1894" s="9" t="s">
        <v>55</v>
      </c>
      <c r="G1894" s="8" t="s">
        <v>56</v>
      </c>
      <c r="H1894" s="8" t="s">
        <v>57</v>
      </c>
      <c r="I1894" s="8" t="s">
        <v>58</v>
      </c>
      <c r="J1894" s="9" t="s">
        <v>59</v>
      </c>
      <c r="K1894" s="9" t="s">
        <v>34</v>
      </c>
      <c r="L1894" s="9" t="s">
        <v>50</v>
      </c>
    </row>
    <row r="1895" spans="1:12" ht="15" customHeight="1" x14ac:dyDescent="0.25">
      <c r="A1895" s="15" t="s">
        <v>60</v>
      </c>
      <c r="B1895" s="16"/>
      <c r="C1895" s="16"/>
      <c r="D1895" s="16"/>
      <c r="E1895" s="16"/>
      <c r="F1895" s="16"/>
      <c r="G1895" s="16"/>
      <c r="H1895" s="16"/>
      <c r="I1895" s="16"/>
      <c r="J1895" s="17"/>
      <c r="K1895" s="15">
        <v>0</v>
      </c>
      <c r="L1895" s="17"/>
    </row>
    <row r="1896" spans="1:12" x14ac:dyDescent="0.25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</row>
    <row r="1897" spans="1:12" ht="15" customHeight="1" x14ac:dyDescent="0.25">
      <c r="A1897" s="27" t="s">
        <v>61</v>
      </c>
      <c r="B1897" s="27"/>
      <c r="C1897" s="27"/>
      <c r="D1897" s="27"/>
      <c r="E1897" s="27"/>
      <c r="F1897" s="27"/>
      <c r="G1897" s="27"/>
      <c r="H1897" s="27"/>
      <c r="I1897" s="27"/>
      <c r="J1897" s="27"/>
      <c r="K1897" s="27">
        <v>73.61</v>
      </c>
      <c r="L1897" s="27"/>
    </row>
    <row r="1898" spans="1:12" ht="15" customHeight="1" x14ac:dyDescent="0.25">
      <c r="A1898" s="27" t="s">
        <v>62</v>
      </c>
      <c r="B1898" s="27"/>
      <c r="C1898" s="27"/>
      <c r="D1898" s="27"/>
      <c r="E1898" s="27"/>
      <c r="F1898" s="27"/>
      <c r="G1898" s="27"/>
      <c r="H1898" s="27"/>
      <c r="I1898" s="27"/>
      <c r="J1898" s="27"/>
      <c r="K1898" s="27">
        <v>24.48</v>
      </c>
      <c r="L1898" s="27"/>
    </row>
    <row r="1899" spans="1:12" ht="15" customHeight="1" x14ac:dyDescent="0.25">
      <c r="A1899" s="27" t="s">
        <v>63</v>
      </c>
      <c r="B1899" s="27"/>
      <c r="C1899" s="27"/>
      <c r="D1899" s="27"/>
      <c r="E1899" s="27"/>
      <c r="F1899" s="27"/>
      <c r="G1899" s="27"/>
      <c r="H1899" s="27"/>
      <c r="I1899" s="27"/>
      <c r="J1899" s="27"/>
      <c r="K1899" s="27">
        <v>98.09</v>
      </c>
      <c r="L1899" s="27"/>
    </row>
    <row r="1900" spans="1:12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</row>
    <row r="1901" spans="1:12" ht="15" customHeight="1" x14ac:dyDescent="0.25">
      <c r="A1901" s="3" t="s">
        <v>8</v>
      </c>
      <c r="B1901" s="6" t="s">
        <v>9</v>
      </c>
      <c r="C1901" s="6"/>
      <c r="D1901" s="6"/>
      <c r="E1901" s="6"/>
      <c r="F1901" s="6"/>
      <c r="G1901" s="6"/>
      <c r="H1901" s="6"/>
      <c r="I1901" s="6"/>
      <c r="J1901" s="6"/>
      <c r="K1901" s="6"/>
      <c r="L1901" s="6"/>
    </row>
    <row r="1902" spans="1:12" ht="30" customHeight="1" x14ac:dyDescent="0.25">
      <c r="A1902" s="3" t="s">
        <v>10</v>
      </c>
      <c r="B1902" s="6" t="s">
        <v>229</v>
      </c>
      <c r="C1902" s="6"/>
      <c r="D1902" s="6"/>
      <c r="E1902" s="6"/>
      <c r="F1902" s="6"/>
      <c r="G1902" s="6"/>
      <c r="H1902" s="6"/>
      <c r="I1902" s="6"/>
      <c r="J1902" s="6"/>
      <c r="K1902" s="3" t="s">
        <v>12</v>
      </c>
      <c r="L1902" s="4" t="s">
        <v>84</v>
      </c>
    </row>
    <row r="1903" spans="1:12" ht="15" customHeight="1" x14ac:dyDescent="0.25">
      <c r="A1903" s="3" t="s">
        <v>14</v>
      </c>
      <c r="B1903" s="6" t="s">
        <v>88</v>
      </c>
      <c r="C1903" s="6"/>
      <c r="D1903" s="7" t="s">
        <v>16</v>
      </c>
      <c r="E1903" s="7"/>
      <c r="F1903" s="6" t="str">
        <f>"3E8C.000006"</f>
        <v>3E8C.000006</v>
      </c>
      <c r="G1903" s="6"/>
      <c r="H1903" s="3" t="s">
        <v>17</v>
      </c>
      <c r="I1903" s="6" t="s">
        <v>89</v>
      </c>
      <c r="J1903" s="6"/>
      <c r="K1903" s="3" t="s">
        <v>19</v>
      </c>
      <c r="L1903" s="5">
        <v>1</v>
      </c>
    </row>
    <row r="1904" spans="1:12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</row>
    <row r="1905" spans="1:12" ht="15" customHeight="1" x14ac:dyDescent="0.25">
      <c r="A1905" s="10" t="s">
        <v>20</v>
      </c>
      <c r="B1905" s="11"/>
      <c r="C1905" s="12"/>
      <c r="D1905" s="8" t="s">
        <v>21</v>
      </c>
      <c r="E1905" s="8" t="s">
        <v>22</v>
      </c>
      <c r="F1905" s="9" t="s">
        <v>23</v>
      </c>
      <c r="G1905" s="9" t="s">
        <v>24</v>
      </c>
      <c r="H1905" s="9" t="s">
        <v>25</v>
      </c>
      <c r="I1905" s="9" t="s">
        <v>26</v>
      </c>
      <c r="J1905" s="9" t="s">
        <v>27</v>
      </c>
      <c r="K1905" s="13" t="s">
        <v>28</v>
      </c>
      <c r="L1905" s="14"/>
    </row>
    <row r="1906" spans="1:12" ht="15" customHeight="1" x14ac:dyDescent="0.25">
      <c r="A1906" s="15" t="s">
        <v>29</v>
      </c>
      <c r="B1906" s="16"/>
      <c r="C1906" s="16"/>
      <c r="D1906" s="16"/>
      <c r="E1906" s="16"/>
      <c r="F1906" s="16"/>
      <c r="G1906" s="16"/>
      <c r="H1906" s="16"/>
      <c r="I1906" s="16"/>
      <c r="J1906" s="17"/>
      <c r="K1906" s="15">
        <v>0</v>
      </c>
      <c r="L1906" s="17"/>
    </row>
    <row r="1907" spans="1:12" x14ac:dyDescent="0.25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</row>
    <row r="1908" spans="1:12" ht="15" customHeight="1" x14ac:dyDescent="0.25">
      <c r="A1908" s="10" t="s">
        <v>30</v>
      </c>
      <c r="B1908" s="11"/>
      <c r="C1908" s="12"/>
      <c r="D1908" s="8" t="s">
        <v>21</v>
      </c>
      <c r="E1908" s="8" t="s">
        <v>22</v>
      </c>
      <c r="F1908" s="9" t="s">
        <v>31</v>
      </c>
      <c r="G1908" s="9" t="s">
        <v>32</v>
      </c>
      <c r="H1908" s="9" t="s">
        <v>33</v>
      </c>
      <c r="I1908" s="13" t="s">
        <v>34</v>
      </c>
      <c r="J1908" s="14"/>
      <c r="K1908" s="13" t="s">
        <v>28</v>
      </c>
      <c r="L1908" s="14"/>
    </row>
    <row r="1909" spans="1:12" ht="15" customHeight="1" x14ac:dyDescent="0.25">
      <c r="A1909" s="15" t="s">
        <v>38</v>
      </c>
      <c r="B1909" s="16"/>
      <c r="C1909" s="16"/>
      <c r="D1909" s="16"/>
      <c r="E1909" s="16"/>
      <c r="F1909" s="16"/>
      <c r="G1909" s="16"/>
      <c r="H1909" s="16"/>
      <c r="I1909" s="16"/>
      <c r="J1909" s="17"/>
      <c r="K1909" s="15">
        <v>0</v>
      </c>
      <c r="L1909" s="17"/>
    </row>
    <row r="1910" spans="1:12" x14ac:dyDescent="0.25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</row>
    <row r="1911" spans="1:12" ht="15" customHeight="1" x14ac:dyDescent="0.25">
      <c r="A1911" s="10" t="s">
        <v>39</v>
      </c>
      <c r="B1911" s="11"/>
      <c r="C1911" s="12"/>
      <c r="D1911" s="8" t="s">
        <v>21</v>
      </c>
      <c r="E1911" s="13" t="s">
        <v>40</v>
      </c>
      <c r="F1911" s="14"/>
      <c r="G1911" s="8" t="s">
        <v>41</v>
      </c>
      <c r="H1911" s="8" t="s">
        <v>42</v>
      </c>
      <c r="I1911" s="8" t="s">
        <v>43</v>
      </c>
      <c r="J1911" s="13" t="s">
        <v>44</v>
      </c>
      <c r="K1911" s="26"/>
      <c r="L1911" s="14"/>
    </row>
    <row r="1912" spans="1:12" ht="15" customHeight="1" x14ac:dyDescent="0.25">
      <c r="A1912" s="15" t="s">
        <v>45</v>
      </c>
      <c r="B1912" s="16"/>
      <c r="C1912" s="16"/>
      <c r="D1912" s="16"/>
      <c r="E1912" s="16"/>
      <c r="F1912" s="16"/>
      <c r="G1912" s="16"/>
      <c r="H1912" s="16"/>
      <c r="I1912" s="16"/>
      <c r="J1912" s="17"/>
      <c r="K1912" s="15">
        <v>0</v>
      </c>
      <c r="L1912" s="17"/>
    </row>
    <row r="1913" spans="1:12" x14ac:dyDescent="0.25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</row>
    <row r="1914" spans="1:12" ht="15" customHeight="1" x14ac:dyDescent="0.25">
      <c r="A1914" s="27" t="s">
        <v>46</v>
      </c>
      <c r="B1914" s="27"/>
      <c r="C1914" s="27"/>
      <c r="D1914" s="27"/>
      <c r="E1914" s="27"/>
      <c r="F1914" s="27"/>
      <c r="G1914" s="27"/>
      <c r="H1914" s="27"/>
      <c r="I1914" s="27"/>
      <c r="J1914" s="27"/>
      <c r="K1914" s="27">
        <v>0</v>
      </c>
      <c r="L1914" s="27"/>
    </row>
    <row r="1915" spans="1:12" ht="15" customHeight="1" x14ac:dyDescent="0.25">
      <c r="A1915" s="27" t="s">
        <v>47</v>
      </c>
      <c r="B1915" s="27"/>
      <c r="C1915" s="27"/>
      <c r="D1915" s="27"/>
      <c r="E1915" s="27"/>
      <c r="F1915" s="27"/>
      <c r="G1915" s="27"/>
      <c r="H1915" s="27"/>
      <c r="I1915" s="27"/>
      <c r="J1915" s="27"/>
      <c r="K1915" s="27">
        <v>1</v>
      </c>
      <c r="L1915" s="27"/>
    </row>
    <row r="1916" spans="1:12" ht="15" customHeight="1" x14ac:dyDescent="0.25">
      <c r="A1916" s="27" t="s">
        <v>48</v>
      </c>
      <c r="B1916" s="27"/>
      <c r="C1916" s="27"/>
      <c r="D1916" s="27"/>
      <c r="E1916" s="27"/>
      <c r="F1916" s="27"/>
      <c r="G1916" s="27"/>
      <c r="H1916" s="27"/>
      <c r="I1916" s="27"/>
      <c r="J1916" s="27"/>
      <c r="K1916" s="27">
        <v>0</v>
      </c>
      <c r="L1916" s="27"/>
    </row>
    <row r="1917" spans="1:12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</row>
    <row r="1918" spans="1:12" ht="15" customHeight="1" x14ac:dyDescent="0.25">
      <c r="A1918" s="10" t="s">
        <v>49</v>
      </c>
      <c r="B1918" s="11"/>
      <c r="C1918" s="11"/>
      <c r="D1918" s="11"/>
      <c r="E1918" s="12"/>
      <c r="F1918" s="8" t="s">
        <v>21</v>
      </c>
      <c r="G1918" s="8" t="s">
        <v>22</v>
      </c>
      <c r="H1918" s="9" t="s">
        <v>44</v>
      </c>
      <c r="I1918" s="13" t="s">
        <v>34</v>
      </c>
      <c r="J1918" s="14"/>
      <c r="K1918" s="13" t="s">
        <v>50</v>
      </c>
      <c r="L1918" s="14"/>
    </row>
    <row r="1919" spans="1:12" ht="15" customHeight="1" x14ac:dyDescent="0.25">
      <c r="A1919" s="21" t="s">
        <v>230</v>
      </c>
      <c r="B1919" s="22"/>
      <c r="C1919" s="22"/>
      <c r="D1919" s="22"/>
      <c r="E1919" s="23"/>
      <c r="F1919" s="19" t="str">
        <f>"067533"</f>
        <v>067533</v>
      </c>
      <c r="G1919" s="19" t="s">
        <v>81</v>
      </c>
      <c r="H1919" s="20">
        <v>674.3</v>
      </c>
      <c r="I1919" s="24">
        <v>1</v>
      </c>
      <c r="J1919" s="25"/>
      <c r="K1919" s="24">
        <v>674.3</v>
      </c>
      <c r="L1919" s="25"/>
    </row>
    <row r="1920" spans="1:12" ht="15" customHeight="1" x14ac:dyDescent="0.25">
      <c r="A1920" s="15" t="s">
        <v>51</v>
      </c>
      <c r="B1920" s="16"/>
      <c r="C1920" s="16"/>
      <c r="D1920" s="16"/>
      <c r="E1920" s="16"/>
      <c r="F1920" s="16"/>
      <c r="G1920" s="16"/>
      <c r="H1920" s="16"/>
      <c r="I1920" s="16"/>
      <c r="J1920" s="17"/>
      <c r="K1920" s="15">
        <v>674.3</v>
      </c>
      <c r="L1920" s="17"/>
    </row>
    <row r="1921" spans="1:12" x14ac:dyDescent="0.25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</row>
    <row r="1922" spans="1:12" ht="15" customHeight="1" x14ac:dyDescent="0.25">
      <c r="A1922" s="10" t="s">
        <v>52</v>
      </c>
      <c r="B1922" s="11"/>
      <c r="C1922" s="11"/>
      <c r="D1922" s="11"/>
      <c r="E1922" s="12"/>
      <c r="F1922" s="8" t="s">
        <v>21</v>
      </c>
      <c r="G1922" s="8" t="s">
        <v>22</v>
      </c>
      <c r="H1922" s="9" t="s">
        <v>44</v>
      </c>
      <c r="I1922" s="13" t="s">
        <v>34</v>
      </c>
      <c r="J1922" s="14"/>
      <c r="K1922" s="13" t="s">
        <v>50</v>
      </c>
      <c r="L1922" s="14"/>
    </row>
    <row r="1923" spans="1:12" ht="15" customHeight="1" x14ac:dyDescent="0.25">
      <c r="A1923" s="21" t="s">
        <v>231</v>
      </c>
      <c r="B1923" s="22"/>
      <c r="C1923" s="22"/>
      <c r="D1923" s="22"/>
      <c r="E1923" s="23"/>
      <c r="F1923" s="19" t="s">
        <v>232</v>
      </c>
      <c r="G1923" s="19" t="s">
        <v>68</v>
      </c>
      <c r="H1923" s="20">
        <v>2.09484</v>
      </c>
      <c r="I1923" s="24">
        <v>16.16</v>
      </c>
      <c r="J1923" s="25"/>
      <c r="K1923" s="24">
        <v>33.85</v>
      </c>
      <c r="L1923" s="25"/>
    </row>
    <row r="1924" spans="1:12" ht="15" customHeight="1" x14ac:dyDescent="0.25">
      <c r="A1924" s="21" t="s">
        <v>233</v>
      </c>
      <c r="B1924" s="22"/>
      <c r="C1924" s="22"/>
      <c r="D1924" s="22"/>
      <c r="E1924" s="23"/>
      <c r="F1924" s="19" t="s">
        <v>234</v>
      </c>
      <c r="G1924" s="19" t="s">
        <v>68</v>
      </c>
      <c r="H1924" s="20">
        <v>0.56320000000000003</v>
      </c>
      <c r="I1924" s="24">
        <v>68.88</v>
      </c>
      <c r="J1924" s="25"/>
      <c r="K1924" s="24">
        <v>38.79</v>
      </c>
      <c r="L1924" s="25"/>
    </row>
    <row r="1925" spans="1:12" ht="15" customHeight="1" x14ac:dyDescent="0.25">
      <c r="A1925" s="21" t="s">
        <v>235</v>
      </c>
      <c r="B1925" s="22"/>
      <c r="C1925" s="22"/>
      <c r="D1925" s="22"/>
      <c r="E1925" s="23"/>
      <c r="F1925" s="19" t="s">
        <v>236</v>
      </c>
      <c r="G1925" s="19" t="s">
        <v>68</v>
      </c>
      <c r="H1925" s="20">
        <v>0.05</v>
      </c>
      <c r="I1925" s="24">
        <v>256.02</v>
      </c>
      <c r="J1925" s="25"/>
      <c r="K1925" s="24">
        <v>12.8</v>
      </c>
      <c r="L1925" s="25"/>
    </row>
    <row r="1926" spans="1:12" ht="30" customHeight="1" x14ac:dyDescent="0.25">
      <c r="A1926" s="21" t="s">
        <v>237</v>
      </c>
      <c r="B1926" s="22"/>
      <c r="C1926" s="22"/>
      <c r="D1926" s="22"/>
      <c r="E1926" s="23"/>
      <c r="F1926" s="19" t="s">
        <v>238</v>
      </c>
      <c r="G1926" s="19" t="s">
        <v>13</v>
      </c>
      <c r="H1926" s="20">
        <v>0.70631999999999995</v>
      </c>
      <c r="I1926" s="24">
        <v>86.7</v>
      </c>
      <c r="J1926" s="25"/>
      <c r="K1926" s="24">
        <v>61.23</v>
      </c>
      <c r="L1926" s="25"/>
    </row>
    <row r="1927" spans="1:12" ht="30" customHeight="1" x14ac:dyDescent="0.25">
      <c r="A1927" s="21" t="s">
        <v>239</v>
      </c>
      <c r="B1927" s="22"/>
      <c r="C1927" s="22"/>
      <c r="D1927" s="22"/>
      <c r="E1927" s="23"/>
      <c r="F1927" s="19" t="s">
        <v>240</v>
      </c>
      <c r="G1927" s="19" t="s">
        <v>68</v>
      </c>
      <c r="H1927" s="20">
        <v>0.16384000000000001</v>
      </c>
      <c r="I1927" s="24">
        <v>721.76</v>
      </c>
      <c r="J1927" s="25"/>
      <c r="K1927" s="24">
        <v>118.25</v>
      </c>
      <c r="L1927" s="25"/>
    </row>
    <row r="1928" spans="1:12" ht="30" customHeight="1" x14ac:dyDescent="0.25">
      <c r="A1928" s="21" t="s">
        <v>241</v>
      </c>
      <c r="B1928" s="22"/>
      <c r="C1928" s="22"/>
      <c r="D1928" s="22"/>
      <c r="E1928" s="23"/>
      <c r="F1928" s="19" t="s">
        <v>242</v>
      </c>
      <c r="G1928" s="19" t="s">
        <v>68</v>
      </c>
      <c r="H1928" s="20">
        <v>3.9239999999999997E-2</v>
      </c>
      <c r="I1928" s="24">
        <v>765.93</v>
      </c>
      <c r="J1928" s="25"/>
      <c r="K1928" s="24">
        <v>30.05</v>
      </c>
      <c r="L1928" s="25"/>
    </row>
    <row r="1929" spans="1:12" ht="45" customHeight="1" x14ac:dyDescent="0.25">
      <c r="A1929" s="21" t="s">
        <v>243</v>
      </c>
      <c r="B1929" s="22"/>
      <c r="C1929" s="22"/>
      <c r="D1929" s="22"/>
      <c r="E1929" s="23"/>
      <c r="F1929" s="19" t="s">
        <v>244</v>
      </c>
      <c r="G1929" s="19" t="s">
        <v>13</v>
      </c>
      <c r="H1929" s="20">
        <v>4.3600000000000003</v>
      </c>
      <c r="I1929" s="24">
        <v>76.39</v>
      </c>
      <c r="J1929" s="25"/>
      <c r="K1929" s="24">
        <v>333.06</v>
      </c>
      <c r="L1929" s="25"/>
    </row>
    <row r="1930" spans="1:12" ht="15" customHeight="1" x14ac:dyDescent="0.25">
      <c r="A1930" s="21" t="s">
        <v>245</v>
      </c>
      <c r="B1930" s="22"/>
      <c r="C1930" s="22"/>
      <c r="D1930" s="22"/>
      <c r="E1930" s="23"/>
      <c r="F1930" s="19" t="s">
        <v>246</v>
      </c>
      <c r="G1930" s="19" t="s">
        <v>13</v>
      </c>
      <c r="H1930" s="20">
        <v>4</v>
      </c>
      <c r="I1930" s="24">
        <v>7.9</v>
      </c>
      <c r="J1930" s="25"/>
      <c r="K1930" s="24">
        <v>31.6</v>
      </c>
      <c r="L1930" s="25"/>
    </row>
    <row r="1931" spans="1:12" ht="30" customHeight="1" x14ac:dyDescent="0.25">
      <c r="A1931" s="21" t="s">
        <v>247</v>
      </c>
      <c r="B1931" s="22"/>
      <c r="C1931" s="22"/>
      <c r="D1931" s="22"/>
      <c r="E1931" s="23"/>
      <c r="F1931" s="19" t="s">
        <v>248</v>
      </c>
      <c r="G1931" s="19" t="s">
        <v>13</v>
      </c>
      <c r="H1931" s="20">
        <v>4</v>
      </c>
      <c r="I1931" s="24">
        <v>72.36</v>
      </c>
      <c r="J1931" s="25"/>
      <c r="K1931" s="24">
        <v>289.44</v>
      </c>
      <c r="L1931" s="25"/>
    </row>
    <row r="1932" spans="1:12" ht="15" customHeight="1" x14ac:dyDescent="0.25">
      <c r="A1932" s="21" t="s">
        <v>249</v>
      </c>
      <c r="B1932" s="22"/>
      <c r="C1932" s="22"/>
      <c r="D1932" s="22"/>
      <c r="E1932" s="23"/>
      <c r="F1932" s="19" t="s">
        <v>250</v>
      </c>
      <c r="G1932" s="19" t="s">
        <v>87</v>
      </c>
      <c r="H1932" s="20">
        <v>0.15</v>
      </c>
      <c r="I1932" s="24">
        <v>64.42</v>
      </c>
      <c r="J1932" s="25"/>
      <c r="K1932" s="24">
        <v>9.66</v>
      </c>
      <c r="L1932" s="25"/>
    </row>
    <row r="1933" spans="1:12" ht="45" customHeight="1" x14ac:dyDescent="0.25">
      <c r="A1933" s="21" t="s">
        <v>251</v>
      </c>
      <c r="B1933" s="22"/>
      <c r="C1933" s="22"/>
      <c r="D1933" s="22"/>
      <c r="E1933" s="23"/>
      <c r="F1933" s="19" t="s">
        <v>252</v>
      </c>
      <c r="G1933" s="19" t="s">
        <v>13</v>
      </c>
      <c r="H1933" s="20">
        <v>4</v>
      </c>
      <c r="I1933" s="24">
        <v>23.72</v>
      </c>
      <c r="J1933" s="25"/>
      <c r="K1933" s="24">
        <v>94.88</v>
      </c>
      <c r="L1933" s="25"/>
    </row>
    <row r="1934" spans="1:12" ht="30" customHeight="1" x14ac:dyDescent="0.25">
      <c r="A1934" s="21" t="s">
        <v>253</v>
      </c>
      <c r="B1934" s="22"/>
      <c r="C1934" s="22"/>
      <c r="D1934" s="22"/>
      <c r="E1934" s="23"/>
      <c r="F1934" s="19" t="s">
        <v>254</v>
      </c>
      <c r="G1934" s="19" t="s">
        <v>114</v>
      </c>
      <c r="H1934" s="20">
        <v>4.9050000000000002</v>
      </c>
      <c r="I1934" s="24" t="s">
        <v>164</v>
      </c>
      <c r="J1934" s="25"/>
      <c r="K1934" s="24" t="s">
        <v>164</v>
      </c>
      <c r="L1934" s="25"/>
    </row>
    <row r="1935" spans="1:12" ht="15" customHeight="1" x14ac:dyDescent="0.25">
      <c r="A1935" s="15" t="s">
        <v>53</v>
      </c>
      <c r="B1935" s="16"/>
      <c r="C1935" s="16"/>
      <c r="D1935" s="16"/>
      <c r="E1935" s="16"/>
      <c r="F1935" s="16"/>
      <c r="G1935" s="16"/>
      <c r="H1935" s="16"/>
      <c r="I1935" s="16"/>
      <c r="J1935" s="17"/>
      <c r="K1935" s="31">
        <v>1105.4000000000001</v>
      </c>
      <c r="L1935" s="32"/>
    </row>
    <row r="1936" spans="1:12" x14ac:dyDescent="0.25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</row>
    <row r="1937" spans="1:12" ht="15" customHeight="1" x14ac:dyDescent="0.25">
      <c r="A1937" s="10" t="s">
        <v>54</v>
      </c>
      <c r="B1937" s="11"/>
      <c r="C1937" s="12"/>
      <c r="D1937" s="8" t="s">
        <v>21</v>
      </c>
      <c r="E1937" s="8" t="s">
        <v>22</v>
      </c>
      <c r="F1937" s="9" t="s">
        <v>55</v>
      </c>
      <c r="G1937" s="8" t="s">
        <v>56</v>
      </c>
      <c r="H1937" s="8" t="s">
        <v>57</v>
      </c>
      <c r="I1937" s="8" t="s">
        <v>58</v>
      </c>
      <c r="J1937" s="9" t="s">
        <v>59</v>
      </c>
      <c r="K1937" s="9" t="s">
        <v>34</v>
      </c>
      <c r="L1937" s="9" t="s">
        <v>50</v>
      </c>
    </row>
    <row r="1938" spans="1:12" ht="15" customHeight="1" x14ac:dyDescent="0.25">
      <c r="A1938" s="15" t="s">
        <v>60</v>
      </c>
      <c r="B1938" s="16"/>
      <c r="C1938" s="16"/>
      <c r="D1938" s="16"/>
      <c r="E1938" s="16"/>
      <c r="F1938" s="16"/>
      <c r="G1938" s="16"/>
      <c r="H1938" s="16"/>
      <c r="I1938" s="16"/>
      <c r="J1938" s="17"/>
      <c r="K1938" s="15">
        <v>0</v>
      </c>
      <c r="L1938" s="17"/>
    </row>
    <row r="1939" spans="1:12" x14ac:dyDescent="0.25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</row>
    <row r="1940" spans="1:12" ht="15" customHeight="1" x14ac:dyDescent="0.25">
      <c r="A1940" s="27" t="s">
        <v>61</v>
      </c>
      <c r="B1940" s="27"/>
      <c r="C1940" s="27"/>
      <c r="D1940" s="27"/>
      <c r="E1940" s="27"/>
      <c r="F1940" s="27"/>
      <c r="G1940" s="27"/>
      <c r="H1940" s="27"/>
      <c r="I1940" s="27"/>
      <c r="J1940" s="27"/>
      <c r="K1940" s="28">
        <v>1779.7</v>
      </c>
      <c r="L1940" s="28"/>
    </row>
    <row r="1941" spans="1:12" ht="15" customHeight="1" x14ac:dyDescent="0.25">
      <c r="A1941" s="27" t="s">
        <v>62</v>
      </c>
      <c r="B1941" s="27"/>
      <c r="C1941" s="27"/>
      <c r="D1941" s="27"/>
      <c r="E1941" s="27"/>
      <c r="F1941" s="27"/>
      <c r="G1941" s="27"/>
      <c r="H1941" s="27"/>
      <c r="I1941" s="27"/>
      <c r="J1941" s="27"/>
      <c r="K1941" s="27">
        <v>591.75</v>
      </c>
      <c r="L1941" s="27"/>
    </row>
    <row r="1942" spans="1:12" ht="15" customHeight="1" x14ac:dyDescent="0.25">
      <c r="A1942" s="27" t="s">
        <v>63</v>
      </c>
      <c r="B1942" s="27"/>
      <c r="C1942" s="27"/>
      <c r="D1942" s="27"/>
      <c r="E1942" s="27"/>
      <c r="F1942" s="27"/>
      <c r="G1942" s="27"/>
      <c r="H1942" s="27"/>
      <c r="I1942" s="27"/>
      <c r="J1942" s="27"/>
      <c r="K1942" s="28">
        <v>2371.4499999999998</v>
      </c>
      <c r="L1942" s="28"/>
    </row>
    <row r="1943" spans="1:12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</row>
    <row r="1944" spans="1:12" ht="15" customHeight="1" x14ac:dyDescent="0.25">
      <c r="A1944" s="3" t="s">
        <v>8</v>
      </c>
      <c r="B1944" s="6" t="s">
        <v>9</v>
      </c>
      <c r="C1944" s="6"/>
      <c r="D1944" s="6"/>
      <c r="E1944" s="6"/>
      <c r="F1944" s="6"/>
      <c r="G1944" s="6"/>
      <c r="H1944" s="6"/>
      <c r="I1944" s="6"/>
      <c r="J1944" s="6"/>
      <c r="K1944" s="6"/>
      <c r="L1944" s="6"/>
    </row>
    <row r="1945" spans="1:12" ht="30" customHeight="1" x14ac:dyDescent="0.25">
      <c r="A1945" s="3" t="s">
        <v>10</v>
      </c>
      <c r="B1945" s="6" t="s">
        <v>255</v>
      </c>
      <c r="C1945" s="6"/>
      <c r="D1945" s="6"/>
      <c r="E1945" s="6"/>
      <c r="F1945" s="6"/>
      <c r="G1945" s="6"/>
      <c r="H1945" s="6"/>
      <c r="I1945" s="6"/>
      <c r="J1945" s="6"/>
      <c r="K1945" s="3" t="s">
        <v>12</v>
      </c>
      <c r="L1945" s="4" t="s">
        <v>84</v>
      </c>
    </row>
    <row r="1946" spans="1:12" ht="15" customHeight="1" x14ac:dyDescent="0.25">
      <c r="A1946" s="3" t="s">
        <v>14</v>
      </c>
      <c r="B1946" s="6" t="s">
        <v>15</v>
      </c>
      <c r="C1946" s="6"/>
      <c r="D1946" s="7" t="s">
        <v>16</v>
      </c>
      <c r="E1946" s="7"/>
      <c r="F1946" s="6" t="str">
        <f>"141106"</f>
        <v>141106</v>
      </c>
      <c r="G1946" s="6"/>
      <c r="H1946" s="3" t="s">
        <v>17</v>
      </c>
      <c r="I1946" s="6" t="s">
        <v>18</v>
      </c>
      <c r="J1946" s="6"/>
      <c r="K1946" s="3" t="s">
        <v>19</v>
      </c>
      <c r="L1946" s="5">
        <v>1</v>
      </c>
    </row>
    <row r="1947" spans="1:12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</row>
    <row r="1948" spans="1:12" ht="15" customHeight="1" x14ac:dyDescent="0.25">
      <c r="A1948" s="10" t="s">
        <v>20</v>
      </c>
      <c r="B1948" s="11"/>
      <c r="C1948" s="12"/>
      <c r="D1948" s="8" t="s">
        <v>21</v>
      </c>
      <c r="E1948" s="8" t="s">
        <v>22</v>
      </c>
      <c r="F1948" s="9" t="s">
        <v>23</v>
      </c>
      <c r="G1948" s="9" t="s">
        <v>24</v>
      </c>
      <c r="H1948" s="9" t="s">
        <v>25</v>
      </c>
      <c r="I1948" s="9" t="s">
        <v>26</v>
      </c>
      <c r="J1948" s="9" t="s">
        <v>27</v>
      </c>
      <c r="K1948" s="13" t="s">
        <v>28</v>
      </c>
      <c r="L1948" s="14"/>
    </row>
    <row r="1949" spans="1:12" ht="15" customHeight="1" x14ac:dyDescent="0.25">
      <c r="A1949" s="15" t="s">
        <v>29</v>
      </c>
      <c r="B1949" s="16"/>
      <c r="C1949" s="16"/>
      <c r="D1949" s="16"/>
      <c r="E1949" s="16"/>
      <c r="F1949" s="16"/>
      <c r="G1949" s="16"/>
      <c r="H1949" s="16"/>
      <c r="I1949" s="16"/>
      <c r="J1949" s="17"/>
      <c r="K1949" s="15">
        <v>0</v>
      </c>
      <c r="L1949" s="17"/>
    </row>
    <row r="1950" spans="1:12" x14ac:dyDescent="0.25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</row>
    <row r="1951" spans="1:12" ht="15" customHeight="1" x14ac:dyDescent="0.25">
      <c r="A1951" s="10" t="s">
        <v>30</v>
      </c>
      <c r="B1951" s="11"/>
      <c r="C1951" s="12"/>
      <c r="D1951" s="8" t="s">
        <v>21</v>
      </c>
      <c r="E1951" s="8" t="s">
        <v>22</v>
      </c>
      <c r="F1951" s="9" t="s">
        <v>31</v>
      </c>
      <c r="G1951" s="9" t="s">
        <v>32</v>
      </c>
      <c r="H1951" s="9" t="s">
        <v>33</v>
      </c>
      <c r="I1951" s="13" t="s">
        <v>34</v>
      </c>
      <c r="J1951" s="14"/>
      <c r="K1951" s="13" t="s">
        <v>28</v>
      </c>
      <c r="L1951" s="14"/>
    </row>
    <row r="1952" spans="1:12" ht="15" customHeight="1" x14ac:dyDescent="0.25">
      <c r="A1952" s="21" t="s">
        <v>76</v>
      </c>
      <c r="B1952" s="22"/>
      <c r="C1952" s="23"/>
      <c r="D1952" s="19" t="str">
        <f>"010101"</f>
        <v>010101</v>
      </c>
      <c r="E1952" s="19" t="s">
        <v>36</v>
      </c>
      <c r="F1952" s="20">
        <v>8.5299999999999994</v>
      </c>
      <c r="G1952" s="20">
        <v>157.27000000000001</v>
      </c>
      <c r="H1952" s="20">
        <v>21.94</v>
      </c>
      <c r="I1952" s="24">
        <v>0.52880000000000005</v>
      </c>
      <c r="J1952" s="25"/>
      <c r="K1952" s="24">
        <v>11.6</v>
      </c>
      <c r="L1952" s="25"/>
    </row>
    <row r="1953" spans="1:12" ht="15" customHeight="1" x14ac:dyDescent="0.25">
      <c r="A1953" s="21" t="s">
        <v>77</v>
      </c>
      <c r="B1953" s="22"/>
      <c r="C1953" s="23"/>
      <c r="D1953" s="19" t="str">
        <f>"010111"</f>
        <v>010111</v>
      </c>
      <c r="E1953" s="19" t="s">
        <v>36</v>
      </c>
      <c r="F1953" s="20">
        <v>10.119999999999999</v>
      </c>
      <c r="G1953" s="20">
        <v>157.27000000000001</v>
      </c>
      <c r="H1953" s="20">
        <v>26.03</v>
      </c>
      <c r="I1953" s="24">
        <v>0.26</v>
      </c>
      <c r="J1953" s="25"/>
      <c r="K1953" s="24">
        <v>6.76</v>
      </c>
      <c r="L1953" s="25"/>
    </row>
    <row r="1954" spans="1:12" ht="15" customHeight="1" x14ac:dyDescent="0.25">
      <c r="A1954" s="21" t="s">
        <v>256</v>
      </c>
      <c r="B1954" s="22"/>
      <c r="C1954" s="23"/>
      <c r="D1954" s="19" t="str">
        <f>"010121"</f>
        <v>010121</v>
      </c>
      <c r="E1954" s="19" t="s">
        <v>36</v>
      </c>
      <c r="F1954" s="20">
        <v>10.119999999999999</v>
      </c>
      <c r="G1954" s="20">
        <v>157.27000000000001</v>
      </c>
      <c r="H1954" s="20">
        <v>26.03</v>
      </c>
      <c r="I1954" s="24">
        <v>0.26879999999999998</v>
      </c>
      <c r="J1954" s="25"/>
      <c r="K1954" s="24">
        <v>6.99</v>
      </c>
      <c r="L1954" s="25"/>
    </row>
    <row r="1955" spans="1:12" ht="15" customHeight="1" x14ac:dyDescent="0.25">
      <c r="A1955" s="21" t="s">
        <v>69</v>
      </c>
      <c r="B1955" s="22"/>
      <c r="C1955" s="23"/>
      <c r="D1955" s="19" t="str">
        <f>"010139"</f>
        <v>010139</v>
      </c>
      <c r="E1955" s="19" t="s">
        <v>36</v>
      </c>
      <c r="F1955" s="20">
        <v>10.119999999999999</v>
      </c>
      <c r="G1955" s="20">
        <v>157.27000000000001</v>
      </c>
      <c r="H1955" s="20">
        <v>26.03</v>
      </c>
      <c r="I1955" s="24">
        <v>7.4984999999999999</v>
      </c>
      <c r="J1955" s="25"/>
      <c r="K1955" s="24">
        <v>195.18</v>
      </c>
      <c r="L1955" s="25"/>
    </row>
    <row r="1956" spans="1:12" ht="15" customHeight="1" x14ac:dyDescent="0.25">
      <c r="A1956" s="21" t="s">
        <v>37</v>
      </c>
      <c r="B1956" s="22"/>
      <c r="C1956" s="23"/>
      <c r="D1956" s="19" t="str">
        <f>"010146"</f>
        <v>010146</v>
      </c>
      <c r="E1956" s="19" t="s">
        <v>36</v>
      </c>
      <c r="F1956" s="20">
        <v>7.65</v>
      </c>
      <c r="G1956" s="20">
        <v>157.27000000000001</v>
      </c>
      <c r="H1956" s="20">
        <v>19.68</v>
      </c>
      <c r="I1956" s="24">
        <v>19.503</v>
      </c>
      <c r="J1956" s="25"/>
      <c r="K1956" s="24">
        <v>383.81</v>
      </c>
      <c r="L1956" s="25"/>
    </row>
    <row r="1957" spans="1:12" ht="15" customHeight="1" x14ac:dyDescent="0.25">
      <c r="A1957" s="15" t="s">
        <v>38</v>
      </c>
      <c r="B1957" s="16"/>
      <c r="C1957" s="16"/>
      <c r="D1957" s="16"/>
      <c r="E1957" s="16"/>
      <c r="F1957" s="16"/>
      <c r="G1957" s="16"/>
      <c r="H1957" s="16"/>
      <c r="I1957" s="16"/>
      <c r="J1957" s="17"/>
      <c r="K1957" s="15">
        <v>604.34</v>
      </c>
      <c r="L1957" s="17"/>
    </row>
    <row r="1958" spans="1:12" x14ac:dyDescent="0.25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</row>
    <row r="1959" spans="1:12" ht="15" customHeight="1" x14ac:dyDescent="0.25">
      <c r="A1959" s="10" t="s">
        <v>39</v>
      </c>
      <c r="B1959" s="11"/>
      <c r="C1959" s="12"/>
      <c r="D1959" s="8" t="s">
        <v>21</v>
      </c>
      <c r="E1959" s="13" t="s">
        <v>40</v>
      </c>
      <c r="F1959" s="14"/>
      <c r="G1959" s="8" t="s">
        <v>41</v>
      </c>
      <c r="H1959" s="8" t="s">
        <v>42</v>
      </c>
      <c r="I1959" s="8" t="s">
        <v>43</v>
      </c>
      <c r="J1959" s="13" t="s">
        <v>44</v>
      </c>
      <c r="K1959" s="26"/>
      <c r="L1959" s="14"/>
    </row>
    <row r="1960" spans="1:12" ht="15" customHeight="1" x14ac:dyDescent="0.25">
      <c r="A1960" s="15" t="s">
        <v>45</v>
      </c>
      <c r="B1960" s="16"/>
      <c r="C1960" s="16"/>
      <c r="D1960" s="16"/>
      <c r="E1960" s="16"/>
      <c r="F1960" s="16"/>
      <c r="G1960" s="16"/>
      <c r="H1960" s="16"/>
      <c r="I1960" s="16"/>
      <c r="J1960" s="17"/>
      <c r="K1960" s="15">
        <v>0</v>
      </c>
      <c r="L1960" s="17"/>
    </row>
    <row r="1961" spans="1:12" x14ac:dyDescent="0.25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</row>
    <row r="1962" spans="1:12" ht="15" customHeight="1" x14ac:dyDescent="0.25">
      <c r="A1962" s="27" t="s">
        <v>46</v>
      </c>
      <c r="B1962" s="27"/>
      <c r="C1962" s="27"/>
      <c r="D1962" s="27"/>
      <c r="E1962" s="27"/>
      <c r="F1962" s="27"/>
      <c r="G1962" s="27"/>
      <c r="H1962" s="27"/>
      <c r="I1962" s="27"/>
      <c r="J1962" s="27"/>
      <c r="K1962" s="27">
        <v>604.34</v>
      </c>
      <c r="L1962" s="27"/>
    </row>
    <row r="1963" spans="1:12" ht="15" customHeight="1" x14ac:dyDescent="0.25">
      <c r="A1963" s="27" t="s">
        <v>47</v>
      </c>
      <c r="B1963" s="27"/>
      <c r="C1963" s="27"/>
      <c r="D1963" s="27"/>
      <c r="E1963" s="27"/>
      <c r="F1963" s="27"/>
      <c r="G1963" s="27"/>
      <c r="H1963" s="27"/>
      <c r="I1963" s="27"/>
      <c r="J1963" s="27"/>
      <c r="K1963" s="27">
        <v>1</v>
      </c>
      <c r="L1963" s="27"/>
    </row>
    <row r="1964" spans="1:12" ht="15" customHeight="1" x14ac:dyDescent="0.25">
      <c r="A1964" s="27" t="s">
        <v>48</v>
      </c>
      <c r="B1964" s="27"/>
      <c r="C1964" s="27"/>
      <c r="D1964" s="27"/>
      <c r="E1964" s="27"/>
      <c r="F1964" s="27"/>
      <c r="G1964" s="27"/>
      <c r="H1964" s="27"/>
      <c r="I1964" s="27"/>
      <c r="J1964" s="27"/>
      <c r="K1964" s="27">
        <v>604.34</v>
      </c>
      <c r="L1964" s="27"/>
    </row>
    <row r="1965" spans="1:12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</row>
    <row r="1966" spans="1:12" ht="15" customHeight="1" x14ac:dyDescent="0.25">
      <c r="A1966" s="10" t="s">
        <v>49</v>
      </c>
      <c r="B1966" s="11"/>
      <c r="C1966" s="11"/>
      <c r="D1966" s="11"/>
      <c r="E1966" s="12"/>
      <c r="F1966" s="8" t="s">
        <v>21</v>
      </c>
      <c r="G1966" s="8" t="s">
        <v>22</v>
      </c>
      <c r="H1966" s="9" t="s">
        <v>44</v>
      </c>
      <c r="I1966" s="13" t="s">
        <v>34</v>
      </c>
      <c r="J1966" s="14"/>
      <c r="K1966" s="13" t="s">
        <v>50</v>
      </c>
      <c r="L1966" s="14"/>
    </row>
    <row r="1967" spans="1:12" ht="15" customHeight="1" x14ac:dyDescent="0.25">
      <c r="A1967" s="21" t="s">
        <v>122</v>
      </c>
      <c r="B1967" s="22"/>
      <c r="C1967" s="22"/>
      <c r="D1967" s="22"/>
      <c r="E1967" s="23"/>
      <c r="F1967" s="19" t="str">
        <f>"020503"</f>
        <v>020503</v>
      </c>
      <c r="G1967" s="19" t="s">
        <v>105</v>
      </c>
      <c r="H1967" s="20">
        <v>152</v>
      </c>
      <c r="I1967" s="24">
        <v>0.28813</v>
      </c>
      <c r="J1967" s="25"/>
      <c r="K1967" s="24">
        <v>43.79</v>
      </c>
      <c r="L1967" s="25"/>
    </row>
    <row r="1968" spans="1:12" ht="15" customHeight="1" x14ac:dyDescent="0.25">
      <c r="A1968" s="21" t="s">
        <v>123</v>
      </c>
      <c r="B1968" s="22"/>
      <c r="C1968" s="22"/>
      <c r="D1968" s="22"/>
      <c r="E1968" s="23"/>
      <c r="F1968" s="19" t="str">
        <f>"020505"</f>
        <v>020505</v>
      </c>
      <c r="G1968" s="19" t="s">
        <v>124</v>
      </c>
      <c r="H1968" s="20">
        <v>1.07</v>
      </c>
      <c r="I1968" s="24">
        <v>6.3288000000000002</v>
      </c>
      <c r="J1968" s="25"/>
      <c r="K1968" s="24">
        <v>6.77</v>
      </c>
      <c r="L1968" s="25"/>
    </row>
    <row r="1969" spans="1:12" ht="15" customHeight="1" x14ac:dyDescent="0.25">
      <c r="A1969" s="21" t="s">
        <v>125</v>
      </c>
      <c r="B1969" s="22"/>
      <c r="C1969" s="22"/>
      <c r="D1969" s="22"/>
      <c r="E1969" s="23"/>
      <c r="F1969" s="19" t="str">
        <f>"020508"</f>
        <v>020508</v>
      </c>
      <c r="G1969" s="19" t="s">
        <v>124</v>
      </c>
      <c r="H1969" s="20">
        <v>0.59</v>
      </c>
      <c r="I1969" s="24">
        <v>84.296250000000001</v>
      </c>
      <c r="J1969" s="25"/>
      <c r="K1969" s="24">
        <v>49.73</v>
      </c>
      <c r="L1969" s="25"/>
    </row>
    <row r="1970" spans="1:12" ht="15" customHeight="1" x14ac:dyDescent="0.25">
      <c r="A1970" s="21" t="s">
        <v>257</v>
      </c>
      <c r="B1970" s="22"/>
      <c r="C1970" s="22"/>
      <c r="D1970" s="22"/>
      <c r="E1970" s="23"/>
      <c r="F1970" s="19" t="str">
        <f>"020517"</f>
        <v>020517</v>
      </c>
      <c r="G1970" s="19" t="s">
        <v>105</v>
      </c>
      <c r="H1970" s="20">
        <v>172.35</v>
      </c>
      <c r="I1970" s="24">
        <v>4.9976E-2</v>
      </c>
      <c r="J1970" s="25"/>
      <c r="K1970" s="24">
        <v>8.61</v>
      </c>
      <c r="L1970" s="25"/>
    </row>
    <row r="1971" spans="1:12" ht="15" customHeight="1" x14ac:dyDescent="0.25">
      <c r="A1971" s="21" t="s">
        <v>258</v>
      </c>
      <c r="B1971" s="22"/>
      <c r="C1971" s="22"/>
      <c r="D1971" s="22"/>
      <c r="E1971" s="23"/>
      <c r="F1971" s="19" t="str">
        <f>"020518"</f>
        <v>020518</v>
      </c>
      <c r="G1971" s="19" t="s">
        <v>105</v>
      </c>
      <c r="H1971" s="20">
        <v>172.35</v>
      </c>
      <c r="I1971" s="24">
        <v>4.9976E-2</v>
      </c>
      <c r="J1971" s="25"/>
      <c r="K1971" s="24">
        <v>8.61</v>
      </c>
      <c r="L1971" s="25"/>
    </row>
    <row r="1972" spans="1:12" ht="15" customHeight="1" x14ac:dyDescent="0.25">
      <c r="A1972" s="21" t="s">
        <v>259</v>
      </c>
      <c r="B1972" s="22"/>
      <c r="C1972" s="22"/>
      <c r="D1972" s="22"/>
      <c r="E1972" s="23"/>
      <c r="F1972" s="19" t="str">
        <f>"020985"</f>
        <v>020985</v>
      </c>
      <c r="G1972" s="19" t="s">
        <v>99</v>
      </c>
      <c r="H1972" s="20">
        <v>5.18</v>
      </c>
      <c r="I1972" s="24">
        <v>0.1</v>
      </c>
      <c r="J1972" s="25"/>
      <c r="K1972" s="24">
        <v>0.51</v>
      </c>
      <c r="L1972" s="25"/>
    </row>
    <row r="1973" spans="1:12" ht="15" customHeight="1" x14ac:dyDescent="0.25">
      <c r="A1973" s="21" t="s">
        <v>260</v>
      </c>
      <c r="B1973" s="22"/>
      <c r="C1973" s="22"/>
      <c r="D1973" s="22"/>
      <c r="E1973" s="23"/>
      <c r="F1973" s="19" t="str">
        <f>"020988"</f>
        <v>020988</v>
      </c>
      <c r="G1973" s="19" t="s">
        <v>99</v>
      </c>
      <c r="H1973" s="20">
        <v>13.58</v>
      </c>
      <c r="I1973" s="24">
        <v>0.2</v>
      </c>
      <c r="J1973" s="25"/>
      <c r="K1973" s="24">
        <v>2.71</v>
      </c>
      <c r="L1973" s="25"/>
    </row>
    <row r="1974" spans="1:12" ht="15" customHeight="1" x14ac:dyDescent="0.25">
      <c r="A1974" s="21" t="s">
        <v>261</v>
      </c>
      <c r="B1974" s="22"/>
      <c r="C1974" s="22"/>
      <c r="D1974" s="22"/>
      <c r="E1974" s="23"/>
      <c r="F1974" s="19" t="str">
        <f>"021517"</f>
        <v>021517</v>
      </c>
      <c r="G1974" s="19" t="s">
        <v>124</v>
      </c>
      <c r="H1974" s="20">
        <v>5.89</v>
      </c>
      <c r="I1974" s="24">
        <v>3.8639999999999999</v>
      </c>
      <c r="J1974" s="25"/>
      <c r="K1974" s="24">
        <v>22.75</v>
      </c>
      <c r="L1974" s="25"/>
    </row>
    <row r="1975" spans="1:12" ht="15" customHeight="1" x14ac:dyDescent="0.25">
      <c r="A1975" s="21" t="s">
        <v>262</v>
      </c>
      <c r="B1975" s="22"/>
      <c r="C1975" s="22"/>
      <c r="D1975" s="22"/>
      <c r="E1975" s="23"/>
      <c r="F1975" s="19" t="str">
        <f>"022502"</f>
        <v>022502</v>
      </c>
      <c r="G1975" s="19" t="s">
        <v>81</v>
      </c>
      <c r="H1975" s="20">
        <v>3.35</v>
      </c>
      <c r="I1975" s="24">
        <v>47.268000000000001</v>
      </c>
      <c r="J1975" s="25"/>
      <c r="K1975" s="24">
        <v>158.34</v>
      </c>
      <c r="L1975" s="25"/>
    </row>
    <row r="1976" spans="1:12" ht="15" customHeight="1" x14ac:dyDescent="0.25">
      <c r="A1976" s="21" t="s">
        <v>188</v>
      </c>
      <c r="B1976" s="22"/>
      <c r="C1976" s="22"/>
      <c r="D1976" s="22"/>
      <c r="E1976" s="23"/>
      <c r="F1976" s="19" t="str">
        <f>"024015"</f>
        <v>024015</v>
      </c>
      <c r="G1976" s="19" t="s">
        <v>124</v>
      </c>
      <c r="H1976" s="20">
        <v>8.0500000000000007</v>
      </c>
      <c r="I1976" s="24">
        <v>2.1936599999999999</v>
      </c>
      <c r="J1976" s="25"/>
      <c r="K1976" s="24">
        <v>17.649999999999999</v>
      </c>
      <c r="L1976" s="25"/>
    </row>
    <row r="1977" spans="1:12" ht="15" customHeight="1" x14ac:dyDescent="0.25">
      <c r="A1977" s="21" t="s">
        <v>263</v>
      </c>
      <c r="B1977" s="22"/>
      <c r="C1977" s="22"/>
      <c r="D1977" s="22"/>
      <c r="E1977" s="23"/>
      <c r="F1977" s="19" t="str">
        <f>"026569"</f>
        <v>026569</v>
      </c>
      <c r="G1977" s="19" t="s">
        <v>124</v>
      </c>
      <c r="H1977" s="20">
        <v>12.45</v>
      </c>
      <c r="I1977" s="24">
        <v>0.03</v>
      </c>
      <c r="J1977" s="25"/>
      <c r="K1977" s="24">
        <v>0.37</v>
      </c>
      <c r="L1977" s="25"/>
    </row>
    <row r="1978" spans="1:12" ht="15" customHeight="1" x14ac:dyDescent="0.25">
      <c r="A1978" s="21" t="s">
        <v>264</v>
      </c>
      <c r="B1978" s="22"/>
      <c r="C1978" s="22"/>
      <c r="D1978" s="22"/>
      <c r="E1978" s="23"/>
      <c r="F1978" s="19" t="str">
        <f>"027010"</f>
        <v>027010</v>
      </c>
      <c r="G1978" s="19" t="s">
        <v>124</v>
      </c>
      <c r="H1978" s="20">
        <v>13.3</v>
      </c>
      <c r="I1978" s="24">
        <v>6.7199999999999996E-2</v>
      </c>
      <c r="J1978" s="25"/>
      <c r="K1978" s="24">
        <v>0.89</v>
      </c>
      <c r="L1978" s="25"/>
    </row>
    <row r="1979" spans="1:12" ht="15" customHeight="1" x14ac:dyDescent="0.25">
      <c r="A1979" s="21" t="s">
        <v>108</v>
      </c>
      <c r="B1979" s="22"/>
      <c r="C1979" s="22"/>
      <c r="D1979" s="22"/>
      <c r="E1979" s="23"/>
      <c r="F1979" s="19" t="str">
        <f>"028008"</f>
        <v>028008</v>
      </c>
      <c r="G1979" s="19" t="s">
        <v>109</v>
      </c>
      <c r="H1979" s="20">
        <v>15.8</v>
      </c>
      <c r="I1979" s="24">
        <v>0.08</v>
      </c>
      <c r="J1979" s="25"/>
      <c r="K1979" s="24">
        <v>1.26</v>
      </c>
      <c r="L1979" s="25"/>
    </row>
    <row r="1980" spans="1:12" ht="15" customHeight="1" x14ac:dyDescent="0.25">
      <c r="A1980" s="15" t="s">
        <v>51</v>
      </c>
      <c r="B1980" s="16"/>
      <c r="C1980" s="16"/>
      <c r="D1980" s="16"/>
      <c r="E1980" s="16"/>
      <c r="F1980" s="16"/>
      <c r="G1980" s="16"/>
      <c r="H1980" s="16"/>
      <c r="I1980" s="16"/>
      <c r="J1980" s="17"/>
      <c r="K1980" s="15">
        <v>321.99</v>
      </c>
      <c r="L1980" s="17"/>
    </row>
    <row r="1981" spans="1:12" x14ac:dyDescent="0.25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</row>
    <row r="1982" spans="1:12" ht="15" customHeight="1" x14ac:dyDescent="0.25">
      <c r="A1982" s="10" t="s">
        <v>52</v>
      </c>
      <c r="B1982" s="11"/>
      <c r="C1982" s="11"/>
      <c r="D1982" s="11"/>
      <c r="E1982" s="12"/>
      <c r="F1982" s="8" t="s">
        <v>21</v>
      </c>
      <c r="G1982" s="8" t="s">
        <v>22</v>
      </c>
      <c r="H1982" s="9" t="s">
        <v>44</v>
      </c>
      <c r="I1982" s="13" t="s">
        <v>34</v>
      </c>
      <c r="J1982" s="14"/>
      <c r="K1982" s="13" t="s">
        <v>50</v>
      </c>
      <c r="L1982" s="14"/>
    </row>
    <row r="1983" spans="1:12" ht="30" customHeight="1" x14ac:dyDescent="0.25">
      <c r="A1983" s="21" t="s">
        <v>265</v>
      </c>
      <c r="B1983" s="22"/>
      <c r="C1983" s="22"/>
      <c r="D1983" s="22"/>
      <c r="E1983" s="23"/>
      <c r="F1983" s="19" t="s">
        <v>266</v>
      </c>
      <c r="G1983" s="19" t="s">
        <v>267</v>
      </c>
      <c r="H1983" s="20">
        <v>9.3713000000000005E-2</v>
      </c>
      <c r="I1983" s="24">
        <v>1.82</v>
      </c>
      <c r="J1983" s="25"/>
      <c r="K1983" s="24">
        <v>0.17</v>
      </c>
      <c r="L1983" s="25"/>
    </row>
    <row r="1984" spans="1:12" ht="15" customHeight="1" x14ac:dyDescent="0.25">
      <c r="A1984" s="15" t="s">
        <v>53</v>
      </c>
      <c r="B1984" s="16"/>
      <c r="C1984" s="16"/>
      <c r="D1984" s="16"/>
      <c r="E1984" s="16"/>
      <c r="F1984" s="16"/>
      <c r="G1984" s="16"/>
      <c r="H1984" s="16"/>
      <c r="I1984" s="16"/>
      <c r="J1984" s="17"/>
      <c r="K1984" s="15">
        <v>0.17</v>
      </c>
      <c r="L1984" s="17"/>
    </row>
    <row r="1985" spans="1:12" x14ac:dyDescent="0.25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</row>
    <row r="1986" spans="1:12" ht="15" customHeight="1" x14ac:dyDescent="0.25">
      <c r="A1986" s="10" t="s">
        <v>54</v>
      </c>
      <c r="B1986" s="11"/>
      <c r="C1986" s="12"/>
      <c r="D1986" s="8" t="s">
        <v>21</v>
      </c>
      <c r="E1986" s="8" t="s">
        <v>22</v>
      </c>
      <c r="F1986" s="9" t="s">
        <v>55</v>
      </c>
      <c r="G1986" s="8" t="s">
        <v>56</v>
      </c>
      <c r="H1986" s="8" t="s">
        <v>57</v>
      </c>
      <c r="I1986" s="8" t="s">
        <v>58</v>
      </c>
      <c r="J1986" s="9" t="s">
        <v>59</v>
      </c>
      <c r="K1986" s="9" t="s">
        <v>34</v>
      </c>
      <c r="L1986" s="9" t="s">
        <v>50</v>
      </c>
    </row>
    <row r="1987" spans="1:12" ht="15" customHeight="1" x14ac:dyDescent="0.25">
      <c r="A1987" s="15" t="s">
        <v>60</v>
      </c>
      <c r="B1987" s="16"/>
      <c r="C1987" s="16"/>
      <c r="D1987" s="16"/>
      <c r="E1987" s="16"/>
      <c r="F1987" s="16"/>
      <c r="G1987" s="16"/>
      <c r="H1987" s="16"/>
      <c r="I1987" s="16"/>
      <c r="J1987" s="17"/>
      <c r="K1987" s="15">
        <v>0</v>
      </c>
      <c r="L1987" s="17"/>
    </row>
    <row r="1988" spans="1:12" x14ac:dyDescent="0.25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</row>
    <row r="1989" spans="1:12" ht="15" customHeight="1" x14ac:dyDescent="0.25">
      <c r="A1989" s="27" t="s">
        <v>61</v>
      </c>
      <c r="B1989" s="27"/>
      <c r="C1989" s="27"/>
      <c r="D1989" s="27"/>
      <c r="E1989" s="27"/>
      <c r="F1989" s="27"/>
      <c r="G1989" s="27"/>
      <c r="H1989" s="27"/>
      <c r="I1989" s="27"/>
      <c r="J1989" s="27"/>
      <c r="K1989" s="27">
        <v>926.5</v>
      </c>
      <c r="L1989" s="27"/>
    </row>
    <row r="1990" spans="1:12" ht="15" customHeight="1" x14ac:dyDescent="0.25">
      <c r="A1990" s="27" t="s">
        <v>62</v>
      </c>
      <c r="B1990" s="27"/>
      <c r="C1990" s="27"/>
      <c r="D1990" s="27"/>
      <c r="E1990" s="27"/>
      <c r="F1990" s="27"/>
      <c r="G1990" s="27"/>
      <c r="H1990" s="27"/>
      <c r="I1990" s="27"/>
      <c r="J1990" s="27"/>
      <c r="K1990" s="27">
        <v>308.06</v>
      </c>
      <c r="L1990" s="27"/>
    </row>
    <row r="1991" spans="1:12" ht="15" customHeight="1" x14ac:dyDescent="0.25">
      <c r="A1991" s="27" t="s">
        <v>63</v>
      </c>
      <c r="B1991" s="27"/>
      <c r="C1991" s="27"/>
      <c r="D1991" s="27"/>
      <c r="E1991" s="27"/>
      <c r="F1991" s="27"/>
      <c r="G1991" s="27"/>
      <c r="H1991" s="27"/>
      <c r="I1991" s="27"/>
      <c r="J1991" s="27"/>
      <c r="K1991" s="28">
        <v>1234.56</v>
      </c>
      <c r="L1991" s="28"/>
    </row>
    <row r="1992" spans="1:12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</row>
    <row r="1993" spans="1:12" ht="15" customHeight="1" x14ac:dyDescent="0.25">
      <c r="A1993" s="3" t="s">
        <v>8</v>
      </c>
      <c r="B1993" s="6" t="s">
        <v>9</v>
      </c>
      <c r="C1993" s="6"/>
      <c r="D1993" s="6"/>
      <c r="E1993" s="6"/>
      <c r="F1993" s="6"/>
      <c r="G1993" s="6"/>
      <c r="H1993" s="6"/>
      <c r="I1993" s="6"/>
      <c r="J1993" s="6"/>
      <c r="K1993" s="6"/>
      <c r="L1993" s="6"/>
    </row>
    <row r="1994" spans="1:12" ht="15" customHeight="1" x14ac:dyDescent="0.25">
      <c r="A1994" s="3" t="s">
        <v>10</v>
      </c>
      <c r="B1994" s="6" t="s">
        <v>268</v>
      </c>
      <c r="C1994" s="6"/>
      <c r="D1994" s="6"/>
      <c r="E1994" s="6"/>
      <c r="F1994" s="6"/>
      <c r="G1994" s="6"/>
      <c r="H1994" s="6"/>
      <c r="I1994" s="6"/>
      <c r="J1994" s="6"/>
      <c r="K1994" s="3" t="s">
        <v>12</v>
      </c>
      <c r="L1994" s="4" t="s">
        <v>84</v>
      </c>
    </row>
    <row r="1995" spans="1:12" ht="15" customHeight="1" x14ac:dyDescent="0.25">
      <c r="A1995" s="3" t="s">
        <v>14</v>
      </c>
      <c r="B1995" s="6" t="s">
        <v>15</v>
      </c>
      <c r="C1995" s="6"/>
      <c r="D1995" s="7" t="s">
        <v>16</v>
      </c>
      <c r="E1995" s="7"/>
      <c r="F1995" s="6" t="str">
        <f>"170329"</f>
        <v>170329</v>
      </c>
      <c r="G1995" s="6"/>
      <c r="H1995" s="3" t="s">
        <v>17</v>
      </c>
      <c r="I1995" s="6" t="s">
        <v>18</v>
      </c>
      <c r="J1995" s="6"/>
      <c r="K1995" s="3" t="s">
        <v>19</v>
      </c>
      <c r="L1995" s="5">
        <v>1</v>
      </c>
    </row>
    <row r="1996" spans="1:12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</row>
    <row r="1997" spans="1:12" ht="15" customHeight="1" x14ac:dyDescent="0.25">
      <c r="A1997" s="10" t="s">
        <v>20</v>
      </c>
      <c r="B1997" s="11"/>
      <c r="C1997" s="12"/>
      <c r="D1997" s="8" t="s">
        <v>21</v>
      </c>
      <c r="E1997" s="8" t="s">
        <v>22</v>
      </c>
      <c r="F1997" s="9" t="s">
        <v>23</v>
      </c>
      <c r="G1997" s="9" t="s">
        <v>24</v>
      </c>
      <c r="H1997" s="9" t="s">
        <v>25</v>
      </c>
      <c r="I1997" s="9" t="s">
        <v>26</v>
      </c>
      <c r="J1997" s="9" t="s">
        <v>27</v>
      </c>
      <c r="K1997" s="13" t="s">
        <v>28</v>
      </c>
      <c r="L1997" s="14"/>
    </row>
    <row r="1998" spans="1:12" ht="15" customHeight="1" x14ac:dyDescent="0.25">
      <c r="A1998" s="15" t="s">
        <v>29</v>
      </c>
      <c r="B1998" s="16"/>
      <c r="C1998" s="16"/>
      <c r="D1998" s="16"/>
      <c r="E1998" s="16"/>
      <c r="F1998" s="16"/>
      <c r="G1998" s="16"/>
      <c r="H1998" s="16"/>
      <c r="I1998" s="16"/>
      <c r="J1998" s="17"/>
      <c r="K1998" s="15">
        <v>0</v>
      </c>
      <c r="L1998" s="17"/>
    </row>
    <row r="1999" spans="1:12" x14ac:dyDescent="0.25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</row>
    <row r="2000" spans="1:12" ht="15" customHeight="1" x14ac:dyDescent="0.25">
      <c r="A2000" s="10" t="s">
        <v>30</v>
      </c>
      <c r="B2000" s="11"/>
      <c r="C2000" s="12"/>
      <c r="D2000" s="8" t="s">
        <v>21</v>
      </c>
      <c r="E2000" s="8" t="s">
        <v>22</v>
      </c>
      <c r="F2000" s="9" t="s">
        <v>31</v>
      </c>
      <c r="G2000" s="9" t="s">
        <v>32</v>
      </c>
      <c r="H2000" s="9" t="s">
        <v>33</v>
      </c>
      <c r="I2000" s="13" t="s">
        <v>34</v>
      </c>
      <c r="J2000" s="14"/>
      <c r="K2000" s="13" t="s">
        <v>28</v>
      </c>
      <c r="L2000" s="14"/>
    </row>
    <row r="2001" spans="1:12" ht="15" customHeight="1" x14ac:dyDescent="0.25">
      <c r="A2001" s="21" t="s">
        <v>76</v>
      </c>
      <c r="B2001" s="22"/>
      <c r="C2001" s="23"/>
      <c r="D2001" s="19" t="str">
        <f>"010101"</f>
        <v>010101</v>
      </c>
      <c r="E2001" s="19" t="s">
        <v>36</v>
      </c>
      <c r="F2001" s="20">
        <v>8.5299999999999994</v>
      </c>
      <c r="G2001" s="20">
        <v>157.27000000000001</v>
      </c>
      <c r="H2001" s="20">
        <v>21.94</v>
      </c>
      <c r="I2001" s="24">
        <v>0.61</v>
      </c>
      <c r="J2001" s="25"/>
      <c r="K2001" s="24">
        <v>13.38</v>
      </c>
      <c r="L2001" s="25"/>
    </row>
    <row r="2002" spans="1:12" ht="15" customHeight="1" x14ac:dyDescent="0.25">
      <c r="A2002" s="21" t="s">
        <v>85</v>
      </c>
      <c r="B2002" s="22"/>
      <c r="C2002" s="23"/>
      <c r="D2002" s="19" t="str">
        <f>"010118"</f>
        <v>010118</v>
      </c>
      <c r="E2002" s="19" t="s">
        <v>36</v>
      </c>
      <c r="F2002" s="20">
        <v>10.119999999999999</v>
      </c>
      <c r="G2002" s="20">
        <v>157.27000000000001</v>
      </c>
      <c r="H2002" s="20">
        <v>26.03</v>
      </c>
      <c r="I2002" s="24">
        <v>0.61</v>
      </c>
      <c r="J2002" s="25"/>
      <c r="K2002" s="24">
        <v>15.87</v>
      </c>
      <c r="L2002" s="25"/>
    </row>
    <row r="2003" spans="1:12" ht="15" customHeight="1" x14ac:dyDescent="0.25">
      <c r="A2003" s="15" t="s">
        <v>38</v>
      </c>
      <c r="B2003" s="16"/>
      <c r="C2003" s="16"/>
      <c r="D2003" s="16"/>
      <c r="E2003" s="16"/>
      <c r="F2003" s="16"/>
      <c r="G2003" s="16"/>
      <c r="H2003" s="16"/>
      <c r="I2003" s="16"/>
      <c r="J2003" s="17"/>
      <c r="K2003" s="15">
        <v>29.25</v>
      </c>
      <c r="L2003" s="17"/>
    </row>
    <row r="2004" spans="1:12" x14ac:dyDescent="0.25">
      <c r="A2004" s="18"/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</row>
    <row r="2005" spans="1:12" ht="15" customHeight="1" x14ac:dyDescent="0.25">
      <c r="A2005" s="10" t="s">
        <v>39</v>
      </c>
      <c r="B2005" s="11"/>
      <c r="C2005" s="12"/>
      <c r="D2005" s="8" t="s">
        <v>21</v>
      </c>
      <c r="E2005" s="13" t="s">
        <v>40</v>
      </c>
      <c r="F2005" s="14"/>
      <c r="G2005" s="8" t="s">
        <v>41</v>
      </c>
      <c r="H2005" s="8" t="s">
        <v>42</v>
      </c>
      <c r="I2005" s="8" t="s">
        <v>43</v>
      </c>
      <c r="J2005" s="13" t="s">
        <v>44</v>
      </c>
      <c r="K2005" s="26"/>
      <c r="L2005" s="14"/>
    </row>
    <row r="2006" spans="1:12" ht="15" customHeight="1" x14ac:dyDescent="0.25">
      <c r="A2006" s="15" t="s">
        <v>45</v>
      </c>
      <c r="B2006" s="16"/>
      <c r="C2006" s="16"/>
      <c r="D2006" s="16"/>
      <c r="E2006" s="16"/>
      <c r="F2006" s="16"/>
      <c r="G2006" s="16"/>
      <c r="H2006" s="16"/>
      <c r="I2006" s="16"/>
      <c r="J2006" s="17"/>
      <c r="K2006" s="15">
        <v>0</v>
      </c>
      <c r="L2006" s="17"/>
    </row>
    <row r="2007" spans="1:12" x14ac:dyDescent="0.25">
      <c r="A2007" s="18"/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</row>
    <row r="2008" spans="1:12" ht="15" customHeight="1" x14ac:dyDescent="0.25">
      <c r="A2008" s="27" t="s">
        <v>46</v>
      </c>
      <c r="B2008" s="27"/>
      <c r="C2008" s="27"/>
      <c r="D2008" s="27"/>
      <c r="E2008" s="27"/>
      <c r="F2008" s="27"/>
      <c r="G2008" s="27"/>
      <c r="H2008" s="27"/>
      <c r="I2008" s="27"/>
      <c r="J2008" s="27"/>
      <c r="K2008" s="27">
        <v>29.25</v>
      </c>
      <c r="L2008" s="27"/>
    </row>
    <row r="2009" spans="1:12" ht="15" customHeight="1" x14ac:dyDescent="0.25">
      <c r="A2009" s="27" t="s">
        <v>47</v>
      </c>
      <c r="B2009" s="27"/>
      <c r="C2009" s="27"/>
      <c r="D2009" s="27"/>
      <c r="E2009" s="27"/>
      <c r="F2009" s="27"/>
      <c r="G2009" s="27"/>
      <c r="H2009" s="27"/>
      <c r="I2009" s="27"/>
      <c r="J2009" s="27"/>
      <c r="K2009" s="27">
        <v>1</v>
      </c>
      <c r="L2009" s="27"/>
    </row>
    <row r="2010" spans="1:12" ht="15" customHeight="1" x14ac:dyDescent="0.25">
      <c r="A2010" s="27" t="s">
        <v>48</v>
      </c>
      <c r="B2010" s="27"/>
      <c r="C2010" s="27"/>
      <c r="D2010" s="27"/>
      <c r="E2010" s="27"/>
      <c r="F2010" s="27"/>
      <c r="G2010" s="27"/>
      <c r="H2010" s="27"/>
      <c r="I2010" s="27"/>
      <c r="J2010" s="27"/>
      <c r="K2010" s="27">
        <v>29.25</v>
      </c>
      <c r="L2010" s="27"/>
    </row>
    <row r="2011" spans="1:12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</row>
    <row r="2012" spans="1:12" ht="15" customHeight="1" x14ac:dyDescent="0.25">
      <c r="A2012" s="10" t="s">
        <v>49</v>
      </c>
      <c r="B2012" s="11"/>
      <c r="C2012" s="11"/>
      <c r="D2012" s="11"/>
      <c r="E2012" s="12"/>
      <c r="F2012" s="8" t="s">
        <v>21</v>
      </c>
      <c r="G2012" s="8" t="s">
        <v>22</v>
      </c>
      <c r="H2012" s="9" t="s">
        <v>44</v>
      </c>
      <c r="I2012" s="13" t="s">
        <v>34</v>
      </c>
      <c r="J2012" s="14"/>
      <c r="K2012" s="13" t="s">
        <v>50</v>
      </c>
      <c r="L2012" s="14"/>
    </row>
    <row r="2013" spans="1:12" ht="15" customHeight="1" x14ac:dyDescent="0.25">
      <c r="A2013" s="21" t="s">
        <v>269</v>
      </c>
      <c r="B2013" s="22"/>
      <c r="C2013" s="22"/>
      <c r="D2013" s="22"/>
      <c r="E2013" s="23"/>
      <c r="F2013" s="19" t="str">
        <f>"063517"</f>
        <v>063517</v>
      </c>
      <c r="G2013" s="19" t="s">
        <v>81</v>
      </c>
      <c r="H2013" s="20">
        <v>145.47999999999999</v>
      </c>
      <c r="I2013" s="24">
        <v>1</v>
      </c>
      <c r="J2013" s="25"/>
      <c r="K2013" s="24">
        <v>145.47999999999999</v>
      </c>
      <c r="L2013" s="25"/>
    </row>
    <row r="2014" spans="1:12" ht="15" customHeight="1" x14ac:dyDescent="0.25">
      <c r="A2014" s="21" t="s">
        <v>270</v>
      </c>
      <c r="B2014" s="22"/>
      <c r="C2014" s="22"/>
      <c r="D2014" s="22"/>
      <c r="E2014" s="23"/>
      <c r="F2014" s="19" t="str">
        <f>"069512"</f>
        <v>069512</v>
      </c>
      <c r="G2014" s="19" t="s">
        <v>99</v>
      </c>
      <c r="H2014" s="20">
        <v>0.24</v>
      </c>
      <c r="I2014" s="24">
        <v>1.2</v>
      </c>
      <c r="J2014" s="25"/>
      <c r="K2014" s="24">
        <v>0.28000000000000003</v>
      </c>
      <c r="L2014" s="25"/>
    </row>
    <row r="2015" spans="1:12" ht="15" customHeight="1" x14ac:dyDescent="0.25">
      <c r="A2015" s="15" t="s">
        <v>51</v>
      </c>
      <c r="B2015" s="16"/>
      <c r="C2015" s="16"/>
      <c r="D2015" s="16"/>
      <c r="E2015" s="16"/>
      <c r="F2015" s="16"/>
      <c r="G2015" s="16"/>
      <c r="H2015" s="16"/>
      <c r="I2015" s="16"/>
      <c r="J2015" s="17"/>
      <c r="K2015" s="15">
        <v>145.76</v>
      </c>
      <c r="L2015" s="17"/>
    </row>
    <row r="2016" spans="1:12" x14ac:dyDescent="0.25">
      <c r="A2016" s="18"/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</row>
    <row r="2017" spans="1:12" ht="15" customHeight="1" x14ac:dyDescent="0.25">
      <c r="A2017" s="10" t="s">
        <v>52</v>
      </c>
      <c r="B2017" s="11"/>
      <c r="C2017" s="11"/>
      <c r="D2017" s="11"/>
      <c r="E2017" s="12"/>
      <c r="F2017" s="8" t="s">
        <v>21</v>
      </c>
      <c r="G2017" s="8" t="s">
        <v>22</v>
      </c>
      <c r="H2017" s="9" t="s">
        <v>44</v>
      </c>
      <c r="I2017" s="13" t="s">
        <v>34</v>
      </c>
      <c r="J2017" s="14"/>
      <c r="K2017" s="13" t="s">
        <v>50</v>
      </c>
      <c r="L2017" s="14"/>
    </row>
    <row r="2018" spans="1:12" ht="15" customHeight="1" x14ac:dyDescent="0.25">
      <c r="A2018" s="15" t="s">
        <v>53</v>
      </c>
      <c r="B2018" s="16"/>
      <c r="C2018" s="16"/>
      <c r="D2018" s="16"/>
      <c r="E2018" s="16"/>
      <c r="F2018" s="16"/>
      <c r="G2018" s="16"/>
      <c r="H2018" s="16"/>
      <c r="I2018" s="16"/>
      <c r="J2018" s="17"/>
      <c r="K2018" s="15">
        <v>0</v>
      </c>
      <c r="L2018" s="17"/>
    </row>
    <row r="2019" spans="1:12" x14ac:dyDescent="0.25">
      <c r="A2019" s="18"/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</row>
    <row r="2020" spans="1:12" ht="15" customHeight="1" x14ac:dyDescent="0.25">
      <c r="A2020" s="10" t="s">
        <v>54</v>
      </c>
      <c r="B2020" s="11"/>
      <c r="C2020" s="12"/>
      <c r="D2020" s="8" t="s">
        <v>21</v>
      </c>
      <c r="E2020" s="8" t="s">
        <v>22</v>
      </c>
      <c r="F2020" s="9" t="s">
        <v>55</v>
      </c>
      <c r="G2020" s="8" t="s">
        <v>56</v>
      </c>
      <c r="H2020" s="8" t="s">
        <v>57</v>
      </c>
      <c r="I2020" s="8" t="s">
        <v>58</v>
      </c>
      <c r="J2020" s="9" t="s">
        <v>59</v>
      </c>
      <c r="K2020" s="9" t="s">
        <v>34</v>
      </c>
      <c r="L2020" s="9" t="s">
        <v>50</v>
      </c>
    </row>
    <row r="2021" spans="1:12" ht="15" customHeight="1" x14ac:dyDescent="0.25">
      <c r="A2021" s="15" t="s">
        <v>60</v>
      </c>
      <c r="B2021" s="16"/>
      <c r="C2021" s="16"/>
      <c r="D2021" s="16"/>
      <c r="E2021" s="16"/>
      <c r="F2021" s="16"/>
      <c r="G2021" s="16"/>
      <c r="H2021" s="16"/>
      <c r="I2021" s="16"/>
      <c r="J2021" s="17"/>
      <c r="K2021" s="15">
        <v>0</v>
      </c>
      <c r="L2021" s="17"/>
    </row>
    <row r="2022" spans="1:12" x14ac:dyDescent="0.25">
      <c r="A2022" s="18"/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</row>
    <row r="2023" spans="1:12" ht="15" customHeight="1" x14ac:dyDescent="0.25">
      <c r="A2023" s="27" t="s">
        <v>61</v>
      </c>
      <c r="B2023" s="27"/>
      <c r="C2023" s="27"/>
      <c r="D2023" s="27"/>
      <c r="E2023" s="27"/>
      <c r="F2023" s="27"/>
      <c r="G2023" s="27"/>
      <c r="H2023" s="27"/>
      <c r="I2023" s="27"/>
      <c r="J2023" s="27"/>
      <c r="K2023" s="27">
        <v>175.01</v>
      </c>
      <c r="L2023" s="27"/>
    </row>
    <row r="2024" spans="1:12" ht="15" customHeight="1" x14ac:dyDescent="0.25">
      <c r="A2024" s="27" t="s">
        <v>62</v>
      </c>
      <c r="B2024" s="27"/>
      <c r="C2024" s="27"/>
      <c r="D2024" s="27"/>
      <c r="E2024" s="27"/>
      <c r="F2024" s="27"/>
      <c r="G2024" s="27"/>
      <c r="H2024" s="27"/>
      <c r="I2024" s="27"/>
      <c r="J2024" s="27"/>
      <c r="K2024" s="27">
        <v>58.19</v>
      </c>
      <c r="L2024" s="27"/>
    </row>
    <row r="2025" spans="1:12" ht="15" customHeight="1" x14ac:dyDescent="0.25">
      <c r="A2025" s="27" t="s">
        <v>63</v>
      </c>
      <c r="B2025" s="27"/>
      <c r="C2025" s="27"/>
      <c r="D2025" s="27"/>
      <c r="E2025" s="27"/>
      <c r="F2025" s="27"/>
      <c r="G2025" s="27"/>
      <c r="H2025" s="27"/>
      <c r="I2025" s="27"/>
      <c r="J2025" s="27"/>
      <c r="K2025" s="27">
        <v>233.2</v>
      </c>
      <c r="L2025" s="27"/>
    </row>
    <row r="2026" spans="1:12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</row>
    <row r="2027" spans="1:12" ht="15" customHeight="1" x14ac:dyDescent="0.25">
      <c r="A2027" s="3" t="s">
        <v>8</v>
      </c>
      <c r="B2027" s="6" t="s">
        <v>9</v>
      </c>
      <c r="C2027" s="6"/>
      <c r="D2027" s="6"/>
      <c r="E2027" s="6"/>
      <c r="F2027" s="6"/>
      <c r="G2027" s="6"/>
      <c r="H2027" s="6"/>
      <c r="I2027" s="6"/>
      <c r="J2027" s="6"/>
      <c r="K2027" s="6"/>
      <c r="L2027" s="6"/>
    </row>
    <row r="2028" spans="1:12" ht="15" customHeight="1" x14ac:dyDescent="0.25">
      <c r="A2028" s="3" t="s">
        <v>10</v>
      </c>
      <c r="B2028" s="6" t="s">
        <v>271</v>
      </c>
      <c r="C2028" s="6"/>
      <c r="D2028" s="6"/>
      <c r="E2028" s="6"/>
      <c r="F2028" s="6"/>
      <c r="G2028" s="6"/>
      <c r="H2028" s="6"/>
      <c r="I2028" s="6"/>
      <c r="J2028" s="6"/>
      <c r="K2028" s="3" t="s">
        <v>12</v>
      </c>
      <c r="L2028" s="4" t="s">
        <v>84</v>
      </c>
    </row>
    <row r="2029" spans="1:12" ht="15" customHeight="1" x14ac:dyDescent="0.25">
      <c r="A2029" s="3" t="s">
        <v>14</v>
      </c>
      <c r="B2029" s="6" t="s">
        <v>88</v>
      </c>
      <c r="C2029" s="6"/>
      <c r="D2029" s="7" t="s">
        <v>16</v>
      </c>
      <c r="E2029" s="7"/>
      <c r="F2029" s="6" t="str">
        <f>"3D45.000081"</f>
        <v>3D45.000081</v>
      </c>
      <c r="G2029" s="6"/>
      <c r="H2029" s="3" t="s">
        <v>17</v>
      </c>
      <c r="I2029" s="6" t="s">
        <v>89</v>
      </c>
      <c r="J2029" s="6"/>
      <c r="K2029" s="3" t="s">
        <v>19</v>
      </c>
      <c r="L2029" s="5">
        <v>1</v>
      </c>
    </row>
    <row r="2030" spans="1:12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</row>
    <row r="2031" spans="1:12" ht="15" customHeight="1" x14ac:dyDescent="0.25">
      <c r="A2031" s="10" t="s">
        <v>20</v>
      </c>
      <c r="B2031" s="11"/>
      <c r="C2031" s="12"/>
      <c r="D2031" s="8" t="s">
        <v>21</v>
      </c>
      <c r="E2031" s="8" t="s">
        <v>22</v>
      </c>
      <c r="F2031" s="9" t="s">
        <v>23</v>
      </c>
      <c r="G2031" s="9" t="s">
        <v>24</v>
      </c>
      <c r="H2031" s="9" t="s">
        <v>25</v>
      </c>
      <c r="I2031" s="9" t="s">
        <v>26</v>
      </c>
      <c r="J2031" s="9" t="s">
        <v>27</v>
      </c>
      <c r="K2031" s="13" t="s">
        <v>28</v>
      </c>
      <c r="L2031" s="14"/>
    </row>
    <row r="2032" spans="1:12" ht="15" customHeight="1" x14ac:dyDescent="0.25">
      <c r="A2032" s="15" t="s">
        <v>29</v>
      </c>
      <c r="B2032" s="16"/>
      <c r="C2032" s="16"/>
      <c r="D2032" s="16"/>
      <c r="E2032" s="16"/>
      <c r="F2032" s="16"/>
      <c r="G2032" s="16"/>
      <c r="H2032" s="16"/>
      <c r="I2032" s="16"/>
      <c r="J2032" s="17"/>
      <c r="K2032" s="15">
        <v>0</v>
      </c>
      <c r="L2032" s="17"/>
    </row>
    <row r="2033" spans="1:12" x14ac:dyDescent="0.25">
      <c r="A2033" s="18"/>
      <c r="B2033" s="1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</row>
    <row r="2034" spans="1:12" ht="15" customHeight="1" x14ac:dyDescent="0.25">
      <c r="A2034" s="10" t="s">
        <v>30</v>
      </c>
      <c r="B2034" s="11"/>
      <c r="C2034" s="12"/>
      <c r="D2034" s="8" t="s">
        <v>21</v>
      </c>
      <c r="E2034" s="8" t="s">
        <v>22</v>
      </c>
      <c r="F2034" s="9" t="s">
        <v>31</v>
      </c>
      <c r="G2034" s="9" t="s">
        <v>32</v>
      </c>
      <c r="H2034" s="9" t="s">
        <v>33</v>
      </c>
      <c r="I2034" s="13" t="s">
        <v>34</v>
      </c>
      <c r="J2034" s="14"/>
      <c r="K2034" s="13" t="s">
        <v>28</v>
      </c>
      <c r="L2034" s="14"/>
    </row>
    <row r="2035" spans="1:12" ht="15" customHeight="1" x14ac:dyDescent="0.25">
      <c r="A2035" s="15" t="s">
        <v>38</v>
      </c>
      <c r="B2035" s="16"/>
      <c r="C2035" s="16"/>
      <c r="D2035" s="16"/>
      <c r="E2035" s="16"/>
      <c r="F2035" s="16"/>
      <c r="G2035" s="16"/>
      <c r="H2035" s="16"/>
      <c r="I2035" s="16"/>
      <c r="J2035" s="17"/>
      <c r="K2035" s="15">
        <v>0</v>
      </c>
      <c r="L2035" s="17"/>
    </row>
    <row r="2036" spans="1:12" x14ac:dyDescent="0.25">
      <c r="A2036" s="18"/>
      <c r="B2036" s="1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</row>
    <row r="2037" spans="1:12" ht="15" customHeight="1" x14ac:dyDescent="0.25">
      <c r="A2037" s="10" t="s">
        <v>39</v>
      </c>
      <c r="B2037" s="11"/>
      <c r="C2037" s="12"/>
      <c r="D2037" s="8" t="s">
        <v>21</v>
      </c>
      <c r="E2037" s="13" t="s">
        <v>40</v>
      </c>
      <c r="F2037" s="14"/>
      <c r="G2037" s="8" t="s">
        <v>41</v>
      </c>
      <c r="H2037" s="8" t="s">
        <v>42</v>
      </c>
      <c r="I2037" s="8" t="s">
        <v>43</v>
      </c>
      <c r="J2037" s="13" t="s">
        <v>44</v>
      </c>
      <c r="K2037" s="26"/>
      <c r="L2037" s="14"/>
    </row>
    <row r="2038" spans="1:12" ht="15" customHeight="1" x14ac:dyDescent="0.25">
      <c r="A2038" s="15" t="s">
        <v>45</v>
      </c>
      <c r="B2038" s="16"/>
      <c r="C2038" s="16"/>
      <c r="D2038" s="16"/>
      <c r="E2038" s="16"/>
      <c r="F2038" s="16"/>
      <c r="G2038" s="16"/>
      <c r="H2038" s="16"/>
      <c r="I2038" s="16"/>
      <c r="J2038" s="17"/>
      <c r="K2038" s="15">
        <v>0</v>
      </c>
      <c r="L2038" s="17"/>
    </row>
    <row r="2039" spans="1:12" x14ac:dyDescent="0.25">
      <c r="A2039" s="18"/>
      <c r="B2039" s="18"/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</row>
    <row r="2040" spans="1:12" ht="15" customHeight="1" x14ac:dyDescent="0.25">
      <c r="A2040" s="27" t="s">
        <v>46</v>
      </c>
      <c r="B2040" s="27"/>
      <c r="C2040" s="27"/>
      <c r="D2040" s="27"/>
      <c r="E2040" s="27"/>
      <c r="F2040" s="27"/>
      <c r="G2040" s="27"/>
      <c r="H2040" s="27"/>
      <c r="I2040" s="27"/>
      <c r="J2040" s="27"/>
      <c r="K2040" s="27">
        <v>0</v>
      </c>
      <c r="L2040" s="27"/>
    </row>
    <row r="2041" spans="1:12" ht="15" customHeight="1" x14ac:dyDescent="0.25">
      <c r="A2041" s="27" t="s">
        <v>47</v>
      </c>
      <c r="B2041" s="27"/>
      <c r="C2041" s="27"/>
      <c r="D2041" s="27"/>
      <c r="E2041" s="27"/>
      <c r="F2041" s="27"/>
      <c r="G2041" s="27"/>
      <c r="H2041" s="27"/>
      <c r="I2041" s="27"/>
      <c r="J2041" s="27"/>
      <c r="K2041" s="27">
        <v>1</v>
      </c>
      <c r="L2041" s="27"/>
    </row>
    <row r="2042" spans="1:12" ht="15" customHeight="1" x14ac:dyDescent="0.25">
      <c r="A2042" s="27" t="s">
        <v>48</v>
      </c>
      <c r="B2042" s="27"/>
      <c r="C2042" s="27"/>
      <c r="D2042" s="27"/>
      <c r="E2042" s="27"/>
      <c r="F2042" s="27"/>
      <c r="G2042" s="27"/>
      <c r="H2042" s="27"/>
      <c r="I2042" s="27"/>
      <c r="J2042" s="27"/>
      <c r="K2042" s="27">
        <v>0</v>
      </c>
      <c r="L2042" s="27"/>
    </row>
    <row r="2043" spans="1:12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</row>
    <row r="2044" spans="1:12" ht="15" customHeight="1" x14ac:dyDescent="0.25">
      <c r="A2044" s="10" t="s">
        <v>49</v>
      </c>
      <c r="B2044" s="11"/>
      <c r="C2044" s="11"/>
      <c r="D2044" s="11"/>
      <c r="E2044" s="12"/>
      <c r="F2044" s="8" t="s">
        <v>21</v>
      </c>
      <c r="G2044" s="8" t="s">
        <v>22</v>
      </c>
      <c r="H2044" s="9" t="s">
        <v>44</v>
      </c>
      <c r="I2044" s="13" t="s">
        <v>34</v>
      </c>
      <c r="J2044" s="14"/>
      <c r="K2044" s="13" t="s">
        <v>50</v>
      </c>
      <c r="L2044" s="14"/>
    </row>
    <row r="2045" spans="1:12" ht="15" customHeight="1" x14ac:dyDescent="0.25">
      <c r="A2045" s="15" t="s">
        <v>51</v>
      </c>
      <c r="B2045" s="16"/>
      <c r="C2045" s="16"/>
      <c r="D2045" s="16"/>
      <c r="E2045" s="16"/>
      <c r="F2045" s="16"/>
      <c r="G2045" s="16"/>
      <c r="H2045" s="16"/>
      <c r="I2045" s="16"/>
      <c r="J2045" s="17"/>
      <c r="K2045" s="15">
        <v>0</v>
      </c>
      <c r="L2045" s="17"/>
    </row>
    <row r="2046" spans="1:12" x14ac:dyDescent="0.25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</row>
    <row r="2047" spans="1:12" ht="15" customHeight="1" x14ac:dyDescent="0.25">
      <c r="A2047" s="10" t="s">
        <v>52</v>
      </c>
      <c r="B2047" s="11"/>
      <c r="C2047" s="11"/>
      <c r="D2047" s="11"/>
      <c r="E2047" s="12"/>
      <c r="F2047" s="8" t="s">
        <v>21</v>
      </c>
      <c r="G2047" s="8" t="s">
        <v>22</v>
      </c>
      <c r="H2047" s="9" t="s">
        <v>44</v>
      </c>
      <c r="I2047" s="13" t="s">
        <v>34</v>
      </c>
      <c r="J2047" s="14"/>
      <c r="K2047" s="13" t="s">
        <v>50</v>
      </c>
      <c r="L2047" s="14"/>
    </row>
    <row r="2048" spans="1:12" ht="15" customHeight="1" x14ac:dyDescent="0.25">
      <c r="A2048" s="21" t="s">
        <v>272</v>
      </c>
      <c r="B2048" s="22"/>
      <c r="C2048" s="22"/>
      <c r="D2048" s="22"/>
      <c r="E2048" s="23"/>
      <c r="F2048" s="19" t="s">
        <v>273</v>
      </c>
      <c r="G2048" s="19" t="s">
        <v>84</v>
      </c>
      <c r="H2048" s="20">
        <v>1</v>
      </c>
      <c r="I2048" s="24">
        <v>5.67</v>
      </c>
      <c r="J2048" s="25"/>
      <c r="K2048" s="24">
        <v>5.67</v>
      </c>
      <c r="L2048" s="25"/>
    </row>
    <row r="2049" spans="1:12" ht="15" customHeight="1" x14ac:dyDescent="0.25">
      <c r="A2049" s="15" t="s">
        <v>53</v>
      </c>
      <c r="B2049" s="16"/>
      <c r="C2049" s="16"/>
      <c r="D2049" s="16"/>
      <c r="E2049" s="16"/>
      <c r="F2049" s="16"/>
      <c r="G2049" s="16"/>
      <c r="H2049" s="16"/>
      <c r="I2049" s="16"/>
      <c r="J2049" s="17"/>
      <c r="K2049" s="15">
        <v>5.67</v>
      </c>
      <c r="L2049" s="17"/>
    </row>
    <row r="2050" spans="1:12" x14ac:dyDescent="0.25">
      <c r="A2050" s="18"/>
      <c r="B2050" s="18"/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</row>
    <row r="2051" spans="1:12" ht="15" customHeight="1" x14ac:dyDescent="0.25">
      <c r="A2051" s="10" t="s">
        <v>54</v>
      </c>
      <c r="B2051" s="11"/>
      <c r="C2051" s="12"/>
      <c r="D2051" s="8" t="s">
        <v>21</v>
      </c>
      <c r="E2051" s="8" t="s">
        <v>22</v>
      </c>
      <c r="F2051" s="9" t="s">
        <v>55</v>
      </c>
      <c r="G2051" s="8" t="s">
        <v>56</v>
      </c>
      <c r="H2051" s="8" t="s">
        <v>57</v>
      </c>
      <c r="I2051" s="8" t="s">
        <v>58</v>
      </c>
      <c r="J2051" s="9" t="s">
        <v>59</v>
      </c>
      <c r="K2051" s="9" t="s">
        <v>34</v>
      </c>
      <c r="L2051" s="9" t="s">
        <v>50</v>
      </c>
    </row>
    <row r="2052" spans="1:12" ht="15" customHeight="1" x14ac:dyDescent="0.25">
      <c r="A2052" s="15" t="s">
        <v>60</v>
      </c>
      <c r="B2052" s="16"/>
      <c r="C2052" s="16"/>
      <c r="D2052" s="16"/>
      <c r="E2052" s="16"/>
      <c r="F2052" s="16"/>
      <c r="G2052" s="16"/>
      <c r="H2052" s="16"/>
      <c r="I2052" s="16"/>
      <c r="J2052" s="17"/>
      <c r="K2052" s="15">
        <v>0</v>
      </c>
      <c r="L2052" s="17"/>
    </row>
    <row r="2053" spans="1:12" x14ac:dyDescent="0.25">
      <c r="A2053" s="18"/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</row>
    <row r="2054" spans="1:12" ht="15" customHeight="1" x14ac:dyDescent="0.25">
      <c r="A2054" s="27" t="s">
        <v>61</v>
      </c>
      <c r="B2054" s="27"/>
      <c r="C2054" s="27"/>
      <c r="D2054" s="27"/>
      <c r="E2054" s="27"/>
      <c r="F2054" s="27"/>
      <c r="G2054" s="27"/>
      <c r="H2054" s="27"/>
      <c r="I2054" s="27"/>
      <c r="J2054" s="27"/>
      <c r="K2054" s="27">
        <v>5.67</v>
      </c>
      <c r="L2054" s="27"/>
    </row>
    <row r="2055" spans="1:12" ht="15" customHeight="1" x14ac:dyDescent="0.25">
      <c r="A2055" s="27" t="s">
        <v>62</v>
      </c>
      <c r="B2055" s="27"/>
      <c r="C2055" s="27"/>
      <c r="D2055" s="27"/>
      <c r="E2055" s="27"/>
      <c r="F2055" s="27"/>
      <c r="G2055" s="27"/>
      <c r="H2055" s="27"/>
      <c r="I2055" s="27"/>
      <c r="J2055" s="27"/>
      <c r="K2055" s="27">
        <v>1.89</v>
      </c>
      <c r="L2055" s="27"/>
    </row>
    <row r="2056" spans="1:12" ht="15" customHeight="1" x14ac:dyDescent="0.25">
      <c r="A2056" s="27" t="s">
        <v>63</v>
      </c>
      <c r="B2056" s="27"/>
      <c r="C2056" s="27"/>
      <c r="D2056" s="27"/>
      <c r="E2056" s="27"/>
      <c r="F2056" s="27"/>
      <c r="G2056" s="27"/>
      <c r="H2056" s="27"/>
      <c r="I2056" s="27"/>
      <c r="J2056" s="27"/>
      <c r="K2056" s="27">
        <v>7.56</v>
      </c>
      <c r="L2056" s="27"/>
    </row>
    <row r="2057" spans="1:12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</row>
    <row r="2058" spans="1:12" ht="15" customHeight="1" x14ac:dyDescent="0.25">
      <c r="A2058" s="3" t="s">
        <v>8</v>
      </c>
      <c r="B2058" s="6" t="s">
        <v>9</v>
      </c>
      <c r="C2058" s="6"/>
      <c r="D2058" s="6"/>
      <c r="E2058" s="6"/>
      <c r="F2058" s="6"/>
      <c r="G2058" s="6"/>
      <c r="H2058" s="6"/>
      <c r="I2058" s="6"/>
      <c r="J2058" s="6"/>
      <c r="K2058" s="6"/>
      <c r="L2058" s="6"/>
    </row>
    <row r="2059" spans="1:12" ht="15" customHeight="1" x14ac:dyDescent="0.25">
      <c r="A2059" s="3" t="s">
        <v>10</v>
      </c>
      <c r="B2059" s="6" t="s">
        <v>274</v>
      </c>
      <c r="C2059" s="6"/>
      <c r="D2059" s="6"/>
      <c r="E2059" s="6"/>
      <c r="F2059" s="6"/>
      <c r="G2059" s="6"/>
      <c r="H2059" s="6"/>
      <c r="I2059" s="6"/>
      <c r="J2059" s="6"/>
      <c r="K2059" s="3" t="s">
        <v>12</v>
      </c>
      <c r="L2059" s="4" t="s">
        <v>84</v>
      </c>
    </row>
    <row r="2060" spans="1:12" ht="15" customHeight="1" x14ac:dyDescent="0.25">
      <c r="A2060" s="3" t="s">
        <v>14</v>
      </c>
      <c r="B2060" s="6" t="s">
        <v>88</v>
      </c>
      <c r="C2060" s="6"/>
      <c r="D2060" s="7" t="s">
        <v>16</v>
      </c>
      <c r="E2060" s="7"/>
      <c r="F2060" s="6" t="str">
        <f>"3277.000093"</f>
        <v>3277.000093</v>
      </c>
      <c r="G2060" s="6"/>
      <c r="H2060" s="3" t="s">
        <v>17</v>
      </c>
      <c r="I2060" s="6" t="s">
        <v>89</v>
      </c>
      <c r="J2060" s="6"/>
      <c r="K2060" s="3" t="s">
        <v>19</v>
      </c>
      <c r="L2060" s="5">
        <v>1</v>
      </c>
    </row>
    <row r="2061" spans="1:12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</row>
    <row r="2062" spans="1:12" ht="15" customHeight="1" x14ac:dyDescent="0.25">
      <c r="A2062" s="10" t="s">
        <v>20</v>
      </c>
      <c r="B2062" s="11"/>
      <c r="C2062" s="12"/>
      <c r="D2062" s="8" t="s">
        <v>21</v>
      </c>
      <c r="E2062" s="8" t="s">
        <v>22</v>
      </c>
      <c r="F2062" s="9" t="s">
        <v>23</v>
      </c>
      <c r="G2062" s="9" t="s">
        <v>24</v>
      </c>
      <c r="H2062" s="9" t="s">
        <v>25</v>
      </c>
      <c r="I2062" s="9" t="s">
        <v>26</v>
      </c>
      <c r="J2062" s="9" t="s">
        <v>27</v>
      </c>
      <c r="K2062" s="13" t="s">
        <v>28</v>
      </c>
      <c r="L2062" s="14"/>
    </row>
    <row r="2063" spans="1:12" ht="15" customHeight="1" x14ac:dyDescent="0.25">
      <c r="A2063" s="15" t="s">
        <v>29</v>
      </c>
      <c r="B2063" s="16"/>
      <c r="C2063" s="16"/>
      <c r="D2063" s="16"/>
      <c r="E2063" s="16"/>
      <c r="F2063" s="16"/>
      <c r="G2063" s="16"/>
      <c r="H2063" s="16"/>
      <c r="I2063" s="16"/>
      <c r="J2063" s="17"/>
      <c r="K2063" s="15">
        <v>0</v>
      </c>
      <c r="L2063" s="17"/>
    </row>
    <row r="2064" spans="1:12" x14ac:dyDescent="0.25">
      <c r="A2064" s="18"/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</row>
    <row r="2065" spans="1:12" ht="15" customHeight="1" x14ac:dyDescent="0.25">
      <c r="A2065" s="10" t="s">
        <v>30</v>
      </c>
      <c r="B2065" s="11"/>
      <c r="C2065" s="12"/>
      <c r="D2065" s="8" t="s">
        <v>21</v>
      </c>
      <c r="E2065" s="8" t="s">
        <v>22</v>
      </c>
      <c r="F2065" s="9" t="s">
        <v>31</v>
      </c>
      <c r="G2065" s="9" t="s">
        <v>32</v>
      </c>
      <c r="H2065" s="9" t="s">
        <v>33</v>
      </c>
      <c r="I2065" s="13" t="s">
        <v>34</v>
      </c>
      <c r="J2065" s="14"/>
      <c r="K2065" s="13" t="s">
        <v>28</v>
      </c>
      <c r="L2065" s="14"/>
    </row>
    <row r="2066" spans="1:12" ht="15" customHeight="1" x14ac:dyDescent="0.25">
      <c r="A2066" s="15" t="s">
        <v>38</v>
      </c>
      <c r="B2066" s="16"/>
      <c r="C2066" s="16"/>
      <c r="D2066" s="16"/>
      <c r="E2066" s="16"/>
      <c r="F2066" s="16"/>
      <c r="G2066" s="16"/>
      <c r="H2066" s="16"/>
      <c r="I2066" s="16"/>
      <c r="J2066" s="17"/>
      <c r="K2066" s="15">
        <v>0</v>
      </c>
      <c r="L2066" s="17"/>
    </row>
    <row r="2067" spans="1:12" x14ac:dyDescent="0.25">
      <c r="A2067" s="18"/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</row>
    <row r="2068" spans="1:12" ht="15" customHeight="1" x14ac:dyDescent="0.25">
      <c r="A2068" s="10" t="s">
        <v>39</v>
      </c>
      <c r="B2068" s="11"/>
      <c r="C2068" s="12"/>
      <c r="D2068" s="8" t="s">
        <v>21</v>
      </c>
      <c r="E2068" s="13" t="s">
        <v>40</v>
      </c>
      <c r="F2068" s="14"/>
      <c r="G2068" s="8" t="s">
        <v>41</v>
      </c>
      <c r="H2068" s="8" t="s">
        <v>42</v>
      </c>
      <c r="I2068" s="8" t="s">
        <v>43</v>
      </c>
      <c r="J2068" s="13" t="s">
        <v>44</v>
      </c>
      <c r="K2068" s="26"/>
      <c r="L2068" s="14"/>
    </row>
    <row r="2069" spans="1:12" ht="15" customHeight="1" x14ac:dyDescent="0.25">
      <c r="A2069" s="15" t="s">
        <v>45</v>
      </c>
      <c r="B2069" s="16"/>
      <c r="C2069" s="16"/>
      <c r="D2069" s="16"/>
      <c r="E2069" s="16"/>
      <c r="F2069" s="16"/>
      <c r="G2069" s="16"/>
      <c r="H2069" s="16"/>
      <c r="I2069" s="16"/>
      <c r="J2069" s="17"/>
      <c r="K2069" s="15">
        <v>0</v>
      </c>
      <c r="L2069" s="17"/>
    </row>
    <row r="2070" spans="1:12" x14ac:dyDescent="0.25">
      <c r="A2070" s="18"/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</row>
    <row r="2071" spans="1:12" ht="15" customHeight="1" x14ac:dyDescent="0.25">
      <c r="A2071" s="27" t="s">
        <v>46</v>
      </c>
      <c r="B2071" s="27"/>
      <c r="C2071" s="27"/>
      <c r="D2071" s="27"/>
      <c r="E2071" s="27"/>
      <c r="F2071" s="27"/>
      <c r="G2071" s="27"/>
      <c r="H2071" s="27"/>
      <c r="I2071" s="27"/>
      <c r="J2071" s="27"/>
      <c r="K2071" s="27">
        <v>0</v>
      </c>
      <c r="L2071" s="27"/>
    </row>
    <row r="2072" spans="1:12" ht="15" customHeight="1" x14ac:dyDescent="0.25">
      <c r="A2072" s="27" t="s">
        <v>47</v>
      </c>
      <c r="B2072" s="27"/>
      <c r="C2072" s="27"/>
      <c r="D2072" s="27"/>
      <c r="E2072" s="27"/>
      <c r="F2072" s="27"/>
      <c r="G2072" s="27"/>
      <c r="H2072" s="27"/>
      <c r="I2072" s="27"/>
      <c r="J2072" s="27"/>
      <c r="K2072" s="27">
        <v>1</v>
      </c>
      <c r="L2072" s="27"/>
    </row>
    <row r="2073" spans="1:12" ht="15" customHeight="1" x14ac:dyDescent="0.25">
      <c r="A2073" s="27" t="s">
        <v>48</v>
      </c>
      <c r="B2073" s="27"/>
      <c r="C2073" s="27"/>
      <c r="D2073" s="27"/>
      <c r="E2073" s="27"/>
      <c r="F2073" s="27"/>
      <c r="G2073" s="27"/>
      <c r="H2073" s="27"/>
      <c r="I2073" s="27"/>
      <c r="J2073" s="27"/>
      <c r="K2073" s="27">
        <v>0</v>
      </c>
      <c r="L2073" s="27"/>
    </row>
    <row r="2074" spans="1:12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</row>
    <row r="2075" spans="1:12" ht="15" customHeight="1" x14ac:dyDescent="0.25">
      <c r="A2075" s="10" t="s">
        <v>49</v>
      </c>
      <c r="B2075" s="11"/>
      <c r="C2075" s="11"/>
      <c r="D2075" s="11"/>
      <c r="E2075" s="12"/>
      <c r="F2075" s="8" t="s">
        <v>21</v>
      </c>
      <c r="G2075" s="8" t="s">
        <v>22</v>
      </c>
      <c r="H2075" s="9" t="s">
        <v>44</v>
      </c>
      <c r="I2075" s="13" t="s">
        <v>34</v>
      </c>
      <c r="J2075" s="14"/>
      <c r="K2075" s="13" t="s">
        <v>50</v>
      </c>
      <c r="L2075" s="14"/>
    </row>
    <row r="2076" spans="1:12" ht="15" customHeight="1" x14ac:dyDescent="0.25">
      <c r="A2076" s="21" t="s">
        <v>275</v>
      </c>
      <c r="B2076" s="22"/>
      <c r="C2076" s="22"/>
      <c r="D2076" s="22"/>
      <c r="E2076" s="23"/>
      <c r="F2076" s="19" t="str">
        <f>"026612"</f>
        <v>026612</v>
      </c>
      <c r="G2076" s="19" t="s">
        <v>81</v>
      </c>
      <c r="H2076" s="20">
        <v>0.59</v>
      </c>
      <c r="I2076" s="24">
        <v>2</v>
      </c>
      <c r="J2076" s="25"/>
      <c r="K2076" s="24">
        <v>1.18</v>
      </c>
      <c r="L2076" s="25"/>
    </row>
    <row r="2077" spans="1:12" ht="15" customHeight="1" x14ac:dyDescent="0.25">
      <c r="A2077" s="21" t="s">
        <v>276</v>
      </c>
      <c r="B2077" s="22"/>
      <c r="C2077" s="22"/>
      <c r="D2077" s="22"/>
      <c r="E2077" s="23"/>
      <c r="F2077" s="19" t="str">
        <f>"048534"</f>
        <v>048534</v>
      </c>
      <c r="G2077" s="19" t="s">
        <v>81</v>
      </c>
      <c r="H2077" s="20">
        <v>0.55000000000000004</v>
      </c>
      <c r="I2077" s="24">
        <v>1</v>
      </c>
      <c r="J2077" s="25"/>
      <c r="K2077" s="24">
        <v>0.55000000000000004</v>
      </c>
      <c r="L2077" s="25"/>
    </row>
    <row r="2078" spans="1:12" ht="15" customHeight="1" x14ac:dyDescent="0.25">
      <c r="A2078" s="15" t="s">
        <v>51</v>
      </c>
      <c r="B2078" s="16"/>
      <c r="C2078" s="16"/>
      <c r="D2078" s="16"/>
      <c r="E2078" s="16"/>
      <c r="F2078" s="16"/>
      <c r="G2078" s="16"/>
      <c r="H2078" s="16"/>
      <c r="I2078" s="16"/>
      <c r="J2078" s="17"/>
      <c r="K2078" s="15">
        <v>1.73</v>
      </c>
      <c r="L2078" s="17"/>
    </row>
    <row r="2079" spans="1:12" x14ac:dyDescent="0.25">
      <c r="A2079" s="18"/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</row>
    <row r="2080" spans="1:12" ht="15" customHeight="1" x14ac:dyDescent="0.25">
      <c r="A2080" s="10" t="s">
        <v>52</v>
      </c>
      <c r="B2080" s="11"/>
      <c r="C2080" s="11"/>
      <c r="D2080" s="11"/>
      <c r="E2080" s="12"/>
      <c r="F2080" s="8" t="s">
        <v>21</v>
      </c>
      <c r="G2080" s="8" t="s">
        <v>22</v>
      </c>
      <c r="H2080" s="9" t="s">
        <v>44</v>
      </c>
      <c r="I2080" s="13" t="s">
        <v>34</v>
      </c>
      <c r="J2080" s="14"/>
      <c r="K2080" s="13" t="s">
        <v>50</v>
      </c>
      <c r="L2080" s="14"/>
    </row>
    <row r="2081" spans="1:12" ht="15" customHeight="1" x14ac:dyDescent="0.25">
      <c r="A2081" s="21" t="s">
        <v>277</v>
      </c>
      <c r="B2081" s="22"/>
      <c r="C2081" s="22"/>
      <c r="D2081" s="22"/>
      <c r="E2081" s="23"/>
      <c r="F2081" s="19" t="s">
        <v>278</v>
      </c>
      <c r="G2081" s="19" t="s">
        <v>84</v>
      </c>
      <c r="H2081" s="20">
        <v>1</v>
      </c>
      <c r="I2081" s="24" t="s">
        <v>164</v>
      </c>
      <c r="J2081" s="25"/>
      <c r="K2081" s="24" t="s">
        <v>164</v>
      </c>
      <c r="L2081" s="25"/>
    </row>
    <row r="2082" spans="1:12" ht="15" customHeight="1" x14ac:dyDescent="0.25">
      <c r="A2082" s="15" t="s">
        <v>53</v>
      </c>
      <c r="B2082" s="16"/>
      <c r="C2082" s="16"/>
      <c r="D2082" s="16"/>
      <c r="E2082" s="16"/>
      <c r="F2082" s="16"/>
      <c r="G2082" s="16"/>
      <c r="H2082" s="16"/>
      <c r="I2082" s="16"/>
      <c r="J2082" s="17"/>
      <c r="K2082" s="15">
        <v>5.48</v>
      </c>
      <c r="L2082" s="17"/>
    </row>
    <row r="2083" spans="1:12" x14ac:dyDescent="0.25">
      <c r="A2083" s="18"/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</row>
    <row r="2084" spans="1:12" ht="15" customHeight="1" x14ac:dyDescent="0.25">
      <c r="A2084" s="10" t="s">
        <v>54</v>
      </c>
      <c r="B2084" s="11"/>
      <c r="C2084" s="12"/>
      <c r="D2084" s="8" t="s">
        <v>21</v>
      </c>
      <c r="E2084" s="8" t="s">
        <v>22</v>
      </c>
      <c r="F2084" s="9" t="s">
        <v>55</v>
      </c>
      <c r="G2084" s="8" t="s">
        <v>56</v>
      </c>
      <c r="H2084" s="8" t="s">
        <v>57</v>
      </c>
      <c r="I2084" s="8" t="s">
        <v>58</v>
      </c>
      <c r="J2084" s="9" t="s">
        <v>59</v>
      </c>
      <c r="K2084" s="9" t="s">
        <v>34</v>
      </c>
      <c r="L2084" s="9" t="s">
        <v>50</v>
      </c>
    </row>
    <row r="2085" spans="1:12" ht="15" customHeight="1" x14ac:dyDescent="0.25">
      <c r="A2085" s="15" t="s">
        <v>60</v>
      </c>
      <c r="B2085" s="16"/>
      <c r="C2085" s="16"/>
      <c r="D2085" s="16"/>
      <c r="E2085" s="16"/>
      <c r="F2085" s="16"/>
      <c r="G2085" s="16"/>
      <c r="H2085" s="16"/>
      <c r="I2085" s="16"/>
      <c r="J2085" s="17"/>
      <c r="K2085" s="15">
        <v>0</v>
      </c>
      <c r="L2085" s="17"/>
    </row>
    <row r="2086" spans="1:12" x14ac:dyDescent="0.25">
      <c r="A2086" s="18"/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</row>
    <row r="2087" spans="1:12" ht="15" customHeight="1" x14ac:dyDescent="0.25">
      <c r="A2087" s="27" t="s">
        <v>61</v>
      </c>
      <c r="B2087" s="27"/>
      <c r="C2087" s="27"/>
      <c r="D2087" s="27"/>
      <c r="E2087" s="27"/>
      <c r="F2087" s="27"/>
      <c r="G2087" s="27"/>
      <c r="H2087" s="27"/>
      <c r="I2087" s="27"/>
      <c r="J2087" s="27"/>
      <c r="K2087" s="27">
        <v>7.21</v>
      </c>
      <c r="L2087" s="27"/>
    </row>
    <row r="2088" spans="1:12" ht="15" customHeight="1" x14ac:dyDescent="0.25">
      <c r="A2088" s="27" t="s">
        <v>62</v>
      </c>
      <c r="B2088" s="27"/>
      <c r="C2088" s="27"/>
      <c r="D2088" s="27"/>
      <c r="E2088" s="27"/>
      <c r="F2088" s="27"/>
      <c r="G2088" s="27"/>
      <c r="H2088" s="27"/>
      <c r="I2088" s="27"/>
      <c r="J2088" s="27"/>
      <c r="K2088" s="27">
        <v>2.4</v>
      </c>
      <c r="L2088" s="27"/>
    </row>
    <row r="2089" spans="1:12" ht="15" customHeight="1" x14ac:dyDescent="0.25">
      <c r="A2089" s="27" t="s">
        <v>63</v>
      </c>
      <c r="B2089" s="27"/>
      <c r="C2089" s="27"/>
      <c r="D2089" s="27"/>
      <c r="E2089" s="27"/>
      <c r="F2089" s="27"/>
      <c r="G2089" s="27"/>
      <c r="H2089" s="27"/>
      <c r="I2089" s="27"/>
      <c r="J2089" s="27"/>
      <c r="K2089" s="27">
        <v>9.61</v>
      </c>
      <c r="L2089" s="27"/>
    </row>
    <row r="2090" spans="1:12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</row>
    <row r="2091" spans="1:12" ht="15" customHeight="1" x14ac:dyDescent="0.25">
      <c r="A2091" s="3" t="s">
        <v>8</v>
      </c>
      <c r="B2091" s="6" t="s">
        <v>9</v>
      </c>
      <c r="C2091" s="6"/>
      <c r="D2091" s="6"/>
      <c r="E2091" s="6"/>
      <c r="F2091" s="6"/>
      <c r="G2091" s="6"/>
      <c r="H2091" s="6"/>
      <c r="I2091" s="6"/>
      <c r="J2091" s="6"/>
      <c r="K2091" s="6"/>
      <c r="L2091" s="6"/>
    </row>
    <row r="2092" spans="1:12" ht="15" customHeight="1" x14ac:dyDescent="0.25">
      <c r="A2092" s="3" t="s">
        <v>10</v>
      </c>
      <c r="B2092" s="6" t="s">
        <v>279</v>
      </c>
      <c r="C2092" s="6"/>
      <c r="D2092" s="6"/>
      <c r="E2092" s="6"/>
      <c r="F2092" s="6"/>
      <c r="G2092" s="6"/>
      <c r="H2092" s="6"/>
      <c r="I2092" s="6"/>
      <c r="J2092" s="6"/>
      <c r="K2092" s="3" t="s">
        <v>12</v>
      </c>
      <c r="L2092" s="4" t="s">
        <v>87</v>
      </c>
    </row>
    <row r="2093" spans="1:12" ht="15" customHeight="1" x14ac:dyDescent="0.25">
      <c r="A2093" s="3" t="s">
        <v>14</v>
      </c>
      <c r="B2093" s="6" t="s">
        <v>15</v>
      </c>
      <c r="C2093" s="6"/>
      <c r="D2093" s="7" t="s">
        <v>16</v>
      </c>
      <c r="E2093" s="7"/>
      <c r="F2093" s="6" t="str">
        <f>"142201"</f>
        <v>142201</v>
      </c>
      <c r="G2093" s="6"/>
      <c r="H2093" s="3" t="s">
        <v>17</v>
      </c>
      <c r="I2093" s="6" t="s">
        <v>18</v>
      </c>
      <c r="J2093" s="6"/>
      <c r="K2093" s="3" t="s">
        <v>19</v>
      </c>
      <c r="L2093" s="5">
        <v>1</v>
      </c>
    </row>
    <row r="2094" spans="1:12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</row>
    <row r="2095" spans="1:12" ht="15" customHeight="1" x14ac:dyDescent="0.25">
      <c r="A2095" s="10" t="s">
        <v>20</v>
      </c>
      <c r="B2095" s="11"/>
      <c r="C2095" s="12"/>
      <c r="D2095" s="8" t="s">
        <v>21</v>
      </c>
      <c r="E2095" s="8" t="s">
        <v>22</v>
      </c>
      <c r="F2095" s="9" t="s">
        <v>23</v>
      </c>
      <c r="G2095" s="9" t="s">
        <v>24</v>
      </c>
      <c r="H2095" s="9" t="s">
        <v>25</v>
      </c>
      <c r="I2095" s="9" t="s">
        <v>26</v>
      </c>
      <c r="J2095" s="9" t="s">
        <v>27</v>
      </c>
      <c r="K2095" s="13" t="s">
        <v>28</v>
      </c>
      <c r="L2095" s="14"/>
    </row>
    <row r="2096" spans="1:12" ht="15" customHeight="1" x14ac:dyDescent="0.25">
      <c r="A2096" s="15" t="s">
        <v>29</v>
      </c>
      <c r="B2096" s="16"/>
      <c r="C2096" s="16"/>
      <c r="D2096" s="16"/>
      <c r="E2096" s="16"/>
      <c r="F2096" s="16"/>
      <c r="G2096" s="16"/>
      <c r="H2096" s="16"/>
      <c r="I2096" s="16"/>
      <c r="J2096" s="17"/>
      <c r="K2096" s="15">
        <v>0</v>
      </c>
      <c r="L2096" s="17"/>
    </row>
    <row r="2097" spans="1:12" x14ac:dyDescent="0.25">
      <c r="A2097" s="18"/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</row>
    <row r="2098" spans="1:12" ht="15" customHeight="1" x14ac:dyDescent="0.25">
      <c r="A2098" s="10" t="s">
        <v>30</v>
      </c>
      <c r="B2098" s="11"/>
      <c r="C2098" s="12"/>
      <c r="D2098" s="8" t="s">
        <v>21</v>
      </c>
      <c r="E2098" s="8" t="s">
        <v>22</v>
      </c>
      <c r="F2098" s="9" t="s">
        <v>31</v>
      </c>
      <c r="G2098" s="9" t="s">
        <v>32</v>
      </c>
      <c r="H2098" s="9" t="s">
        <v>33</v>
      </c>
      <c r="I2098" s="13" t="s">
        <v>34</v>
      </c>
      <c r="J2098" s="14"/>
      <c r="K2098" s="13" t="s">
        <v>28</v>
      </c>
      <c r="L2098" s="14"/>
    </row>
    <row r="2099" spans="1:12" ht="15" customHeight="1" x14ac:dyDescent="0.25">
      <c r="A2099" s="21" t="s">
        <v>76</v>
      </c>
      <c r="B2099" s="22"/>
      <c r="C2099" s="23"/>
      <c r="D2099" s="19" t="str">
        <f>"010101"</f>
        <v>010101</v>
      </c>
      <c r="E2099" s="19" t="s">
        <v>36</v>
      </c>
      <c r="F2099" s="20">
        <v>8.5299999999999994</v>
      </c>
      <c r="G2099" s="20">
        <v>157.27000000000001</v>
      </c>
      <c r="H2099" s="20">
        <v>21.94</v>
      </c>
      <c r="I2099" s="24">
        <v>0.25</v>
      </c>
      <c r="J2099" s="25"/>
      <c r="K2099" s="24">
        <v>5.48</v>
      </c>
      <c r="L2099" s="25"/>
    </row>
    <row r="2100" spans="1:12" ht="15" customHeight="1" x14ac:dyDescent="0.25">
      <c r="A2100" s="21" t="s">
        <v>85</v>
      </c>
      <c r="B2100" s="22"/>
      <c r="C2100" s="23"/>
      <c r="D2100" s="19" t="str">
        <f>"010118"</f>
        <v>010118</v>
      </c>
      <c r="E2100" s="19" t="s">
        <v>36</v>
      </c>
      <c r="F2100" s="20">
        <v>10.119999999999999</v>
      </c>
      <c r="G2100" s="20">
        <v>157.27000000000001</v>
      </c>
      <c r="H2100" s="20">
        <v>26.03</v>
      </c>
      <c r="I2100" s="24">
        <v>0.1</v>
      </c>
      <c r="J2100" s="25"/>
      <c r="K2100" s="24">
        <v>2.6</v>
      </c>
      <c r="L2100" s="25"/>
    </row>
    <row r="2101" spans="1:12" ht="15" customHeight="1" x14ac:dyDescent="0.25">
      <c r="A2101" s="21" t="s">
        <v>69</v>
      </c>
      <c r="B2101" s="22"/>
      <c r="C2101" s="23"/>
      <c r="D2101" s="19" t="str">
        <f>"010139"</f>
        <v>010139</v>
      </c>
      <c r="E2101" s="19" t="s">
        <v>36</v>
      </c>
      <c r="F2101" s="20">
        <v>10.119999999999999</v>
      </c>
      <c r="G2101" s="20">
        <v>157.27000000000001</v>
      </c>
      <c r="H2101" s="20">
        <v>26.03</v>
      </c>
      <c r="I2101" s="24">
        <v>0.15</v>
      </c>
      <c r="J2101" s="25"/>
      <c r="K2101" s="24">
        <v>3.9</v>
      </c>
      <c r="L2101" s="25"/>
    </row>
    <row r="2102" spans="1:12" ht="15" customHeight="1" x14ac:dyDescent="0.25">
      <c r="A2102" s="21" t="s">
        <v>37</v>
      </c>
      <c r="B2102" s="22"/>
      <c r="C2102" s="23"/>
      <c r="D2102" s="19" t="str">
        <f>"010146"</f>
        <v>010146</v>
      </c>
      <c r="E2102" s="19" t="s">
        <v>36</v>
      </c>
      <c r="F2102" s="20">
        <v>7.65</v>
      </c>
      <c r="G2102" s="20">
        <v>157.27000000000001</v>
      </c>
      <c r="H2102" s="20">
        <v>19.68</v>
      </c>
      <c r="I2102" s="24">
        <v>0.1</v>
      </c>
      <c r="J2102" s="25"/>
      <c r="K2102" s="24">
        <v>1.96</v>
      </c>
      <c r="L2102" s="25"/>
    </row>
    <row r="2103" spans="1:12" ht="15" customHeight="1" x14ac:dyDescent="0.25">
      <c r="A2103" s="15" t="s">
        <v>38</v>
      </c>
      <c r="B2103" s="16"/>
      <c r="C2103" s="16"/>
      <c r="D2103" s="16"/>
      <c r="E2103" s="16"/>
      <c r="F2103" s="16"/>
      <c r="G2103" s="16"/>
      <c r="H2103" s="16"/>
      <c r="I2103" s="16"/>
      <c r="J2103" s="17"/>
      <c r="K2103" s="15">
        <v>13.94</v>
      </c>
      <c r="L2103" s="17"/>
    </row>
    <row r="2104" spans="1:12" x14ac:dyDescent="0.25">
      <c r="A2104" s="18"/>
      <c r="B2104" s="18"/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</row>
    <row r="2105" spans="1:12" ht="15" customHeight="1" x14ac:dyDescent="0.25">
      <c r="A2105" s="10" t="s">
        <v>39</v>
      </c>
      <c r="B2105" s="11"/>
      <c r="C2105" s="12"/>
      <c r="D2105" s="8" t="s">
        <v>21</v>
      </c>
      <c r="E2105" s="13" t="s">
        <v>40</v>
      </c>
      <c r="F2105" s="14"/>
      <c r="G2105" s="8" t="s">
        <v>41</v>
      </c>
      <c r="H2105" s="8" t="s">
        <v>42</v>
      </c>
      <c r="I2105" s="8" t="s">
        <v>43</v>
      </c>
      <c r="J2105" s="13" t="s">
        <v>44</v>
      </c>
      <c r="K2105" s="26"/>
      <c r="L2105" s="14"/>
    </row>
    <row r="2106" spans="1:12" ht="15" customHeight="1" x14ac:dyDescent="0.25">
      <c r="A2106" s="15" t="s">
        <v>45</v>
      </c>
      <c r="B2106" s="16"/>
      <c r="C2106" s="16"/>
      <c r="D2106" s="16"/>
      <c r="E2106" s="16"/>
      <c r="F2106" s="16"/>
      <c r="G2106" s="16"/>
      <c r="H2106" s="16"/>
      <c r="I2106" s="16"/>
      <c r="J2106" s="17"/>
      <c r="K2106" s="15">
        <v>0</v>
      </c>
      <c r="L2106" s="17"/>
    </row>
    <row r="2107" spans="1:12" x14ac:dyDescent="0.25">
      <c r="A2107" s="18"/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</row>
    <row r="2108" spans="1:12" ht="15" customHeight="1" x14ac:dyDescent="0.25">
      <c r="A2108" s="27" t="s">
        <v>46</v>
      </c>
      <c r="B2108" s="27"/>
      <c r="C2108" s="27"/>
      <c r="D2108" s="27"/>
      <c r="E2108" s="27"/>
      <c r="F2108" s="27"/>
      <c r="G2108" s="27"/>
      <c r="H2108" s="27"/>
      <c r="I2108" s="27"/>
      <c r="J2108" s="27"/>
      <c r="K2108" s="27">
        <v>13.94</v>
      </c>
      <c r="L2108" s="27"/>
    </row>
    <row r="2109" spans="1:12" ht="15" customHeight="1" x14ac:dyDescent="0.25">
      <c r="A2109" s="27" t="s">
        <v>47</v>
      </c>
      <c r="B2109" s="27"/>
      <c r="C2109" s="27"/>
      <c r="D2109" s="27"/>
      <c r="E2109" s="27"/>
      <c r="F2109" s="27"/>
      <c r="G2109" s="27"/>
      <c r="H2109" s="27"/>
      <c r="I2109" s="27"/>
      <c r="J2109" s="27"/>
      <c r="K2109" s="27">
        <v>1</v>
      </c>
      <c r="L2109" s="27"/>
    </row>
    <row r="2110" spans="1:12" ht="15" customHeight="1" x14ac:dyDescent="0.25">
      <c r="A2110" s="27" t="s">
        <v>48</v>
      </c>
      <c r="B2110" s="27"/>
      <c r="C2110" s="27"/>
      <c r="D2110" s="27"/>
      <c r="E2110" s="27"/>
      <c r="F2110" s="27"/>
      <c r="G2110" s="27"/>
      <c r="H2110" s="27"/>
      <c r="I2110" s="27"/>
      <c r="J2110" s="27"/>
      <c r="K2110" s="27">
        <v>13.94</v>
      </c>
      <c r="L2110" s="27"/>
    </row>
    <row r="2111" spans="1:12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</row>
    <row r="2112" spans="1:12" ht="15" customHeight="1" x14ac:dyDescent="0.25">
      <c r="A2112" s="10" t="s">
        <v>49</v>
      </c>
      <c r="B2112" s="11"/>
      <c r="C2112" s="11"/>
      <c r="D2112" s="11"/>
      <c r="E2112" s="12"/>
      <c r="F2112" s="8" t="s">
        <v>21</v>
      </c>
      <c r="G2112" s="8" t="s">
        <v>22</v>
      </c>
      <c r="H2112" s="9" t="s">
        <v>44</v>
      </c>
      <c r="I2112" s="13" t="s">
        <v>34</v>
      </c>
      <c r="J2112" s="14"/>
      <c r="K2112" s="13" t="s">
        <v>50</v>
      </c>
      <c r="L2112" s="14"/>
    </row>
    <row r="2113" spans="1:12" ht="15" customHeight="1" x14ac:dyDescent="0.25">
      <c r="A2113" s="21" t="s">
        <v>122</v>
      </c>
      <c r="B2113" s="22"/>
      <c r="C2113" s="22"/>
      <c r="D2113" s="22"/>
      <c r="E2113" s="23"/>
      <c r="F2113" s="19" t="str">
        <f>"020503"</f>
        <v>020503</v>
      </c>
      <c r="G2113" s="19" t="s">
        <v>105</v>
      </c>
      <c r="H2113" s="20">
        <v>152</v>
      </c>
      <c r="I2113" s="24">
        <v>2.0000000000000001E-4</v>
      </c>
      <c r="J2113" s="25"/>
      <c r="K2113" s="24">
        <v>0.03</v>
      </c>
      <c r="L2113" s="25"/>
    </row>
    <row r="2114" spans="1:12" ht="15" customHeight="1" x14ac:dyDescent="0.25">
      <c r="A2114" s="21" t="s">
        <v>123</v>
      </c>
      <c r="B2114" s="22"/>
      <c r="C2114" s="22"/>
      <c r="D2114" s="22"/>
      <c r="E2114" s="23"/>
      <c r="F2114" s="19" t="str">
        <f>"020505"</f>
        <v>020505</v>
      </c>
      <c r="G2114" s="19" t="s">
        <v>124</v>
      </c>
      <c r="H2114" s="20">
        <v>1.07</v>
      </c>
      <c r="I2114" s="24">
        <v>3.5999999999999997E-2</v>
      </c>
      <c r="J2114" s="25"/>
      <c r="K2114" s="24">
        <v>0.03</v>
      </c>
      <c r="L2114" s="25"/>
    </row>
    <row r="2115" spans="1:12" ht="15" customHeight="1" x14ac:dyDescent="0.25">
      <c r="A2115" s="21" t="s">
        <v>125</v>
      </c>
      <c r="B2115" s="22"/>
      <c r="C2115" s="22"/>
      <c r="D2115" s="22"/>
      <c r="E2115" s="23"/>
      <c r="F2115" s="19" t="str">
        <f>"020508"</f>
        <v>020508</v>
      </c>
      <c r="G2115" s="19" t="s">
        <v>124</v>
      </c>
      <c r="H2115" s="20">
        <v>0.59</v>
      </c>
      <c r="I2115" s="24">
        <v>3.0000000000000001E-3</v>
      </c>
      <c r="J2115" s="25"/>
      <c r="K2115" s="24">
        <v>0</v>
      </c>
      <c r="L2115" s="25"/>
    </row>
    <row r="2116" spans="1:12" ht="15" customHeight="1" x14ac:dyDescent="0.25">
      <c r="A2116" s="15" t="s">
        <v>51</v>
      </c>
      <c r="B2116" s="16"/>
      <c r="C2116" s="16"/>
      <c r="D2116" s="16"/>
      <c r="E2116" s="16"/>
      <c r="F2116" s="16"/>
      <c r="G2116" s="16"/>
      <c r="H2116" s="16"/>
      <c r="I2116" s="16"/>
      <c r="J2116" s="17"/>
      <c r="K2116" s="15">
        <v>0.06</v>
      </c>
      <c r="L2116" s="17"/>
    </row>
    <row r="2117" spans="1:12" x14ac:dyDescent="0.25">
      <c r="A2117" s="18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</row>
    <row r="2118" spans="1:12" ht="15" customHeight="1" x14ac:dyDescent="0.25">
      <c r="A2118" s="10" t="s">
        <v>52</v>
      </c>
      <c r="B2118" s="11"/>
      <c r="C2118" s="11"/>
      <c r="D2118" s="11"/>
      <c r="E2118" s="12"/>
      <c r="F2118" s="8" t="s">
        <v>21</v>
      </c>
      <c r="G2118" s="8" t="s">
        <v>22</v>
      </c>
      <c r="H2118" s="9" t="s">
        <v>44</v>
      </c>
      <c r="I2118" s="13" t="s">
        <v>34</v>
      </c>
      <c r="J2118" s="14"/>
      <c r="K2118" s="13" t="s">
        <v>50</v>
      </c>
      <c r="L2118" s="14"/>
    </row>
    <row r="2119" spans="1:12" ht="15" customHeight="1" x14ac:dyDescent="0.25">
      <c r="A2119" s="15" t="s">
        <v>53</v>
      </c>
      <c r="B2119" s="16"/>
      <c r="C2119" s="16"/>
      <c r="D2119" s="16"/>
      <c r="E2119" s="16"/>
      <c r="F2119" s="16"/>
      <c r="G2119" s="16"/>
      <c r="H2119" s="16"/>
      <c r="I2119" s="16"/>
      <c r="J2119" s="17"/>
      <c r="K2119" s="15">
        <v>0</v>
      </c>
      <c r="L2119" s="17"/>
    </row>
    <row r="2120" spans="1:12" x14ac:dyDescent="0.25">
      <c r="A2120" s="18"/>
      <c r="B2120" s="18"/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</row>
    <row r="2121" spans="1:12" ht="15" customHeight="1" x14ac:dyDescent="0.25">
      <c r="A2121" s="10" t="s">
        <v>54</v>
      </c>
      <c r="B2121" s="11"/>
      <c r="C2121" s="12"/>
      <c r="D2121" s="8" t="s">
        <v>21</v>
      </c>
      <c r="E2121" s="8" t="s">
        <v>22</v>
      </c>
      <c r="F2121" s="9" t="s">
        <v>55</v>
      </c>
      <c r="G2121" s="8" t="s">
        <v>56</v>
      </c>
      <c r="H2121" s="8" t="s">
        <v>57</v>
      </c>
      <c r="I2121" s="8" t="s">
        <v>58</v>
      </c>
      <c r="J2121" s="9" t="s">
        <v>59</v>
      </c>
      <c r="K2121" s="9" t="s">
        <v>34</v>
      </c>
      <c r="L2121" s="9" t="s">
        <v>50</v>
      </c>
    </row>
    <row r="2122" spans="1:12" ht="15" customHeight="1" x14ac:dyDescent="0.25">
      <c r="A2122" s="15" t="s">
        <v>60</v>
      </c>
      <c r="B2122" s="16"/>
      <c r="C2122" s="16"/>
      <c r="D2122" s="16"/>
      <c r="E2122" s="16"/>
      <c r="F2122" s="16"/>
      <c r="G2122" s="16"/>
      <c r="H2122" s="16"/>
      <c r="I2122" s="16"/>
      <c r="J2122" s="17"/>
      <c r="K2122" s="15">
        <v>0</v>
      </c>
      <c r="L2122" s="17"/>
    </row>
    <row r="2123" spans="1:12" x14ac:dyDescent="0.25">
      <c r="A2123" s="18"/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</row>
    <row r="2124" spans="1:12" ht="15" customHeight="1" x14ac:dyDescent="0.25">
      <c r="A2124" s="27" t="s">
        <v>61</v>
      </c>
      <c r="B2124" s="27"/>
      <c r="C2124" s="27"/>
      <c r="D2124" s="27"/>
      <c r="E2124" s="27"/>
      <c r="F2124" s="27"/>
      <c r="G2124" s="27"/>
      <c r="H2124" s="27"/>
      <c r="I2124" s="27"/>
      <c r="J2124" s="27"/>
      <c r="K2124" s="27">
        <v>14</v>
      </c>
      <c r="L2124" s="27"/>
    </row>
    <row r="2125" spans="1:12" ht="15" customHeight="1" x14ac:dyDescent="0.25">
      <c r="A2125" s="27" t="s">
        <v>62</v>
      </c>
      <c r="B2125" s="27"/>
      <c r="C2125" s="27"/>
      <c r="D2125" s="27"/>
      <c r="E2125" s="27"/>
      <c r="F2125" s="27"/>
      <c r="G2125" s="27"/>
      <c r="H2125" s="27"/>
      <c r="I2125" s="27"/>
      <c r="J2125" s="27"/>
      <c r="K2125" s="27">
        <v>4.66</v>
      </c>
      <c r="L2125" s="27"/>
    </row>
    <row r="2126" spans="1:12" ht="15" customHeight="1" x14ac:dyDescent="0.25">
      <c r="A2126" s="27" t="s">
        <v>63</v>
      </c>
      <c r="B2126" s="27"/>
      <c r="C2126" s="27"/>
      <c r="D2126" s="27"/>
      <c r="E2126" s="27"/>
      <c r="F2126" s="27"/>
      <c r="G2126" s="27"/>
      <c r="H2126" s="27"/>
      <c r="I2126" s="27"/>
      <c r="J2126" s="27"/>
      <c r="K2126" s="27">
        <v>18.66</v>
      </c>
      <c r="L2126" s="27"/>
    </row>
    <row r="2127" spans="1:12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</row>
    <row r="2128" spans="1:12" ht="15" customHeight="1" x14ac:dyDescent="0.25">
      <c r="A2128" s="3" t="s">
        <v>8</v>
      </c>
      <c r="B2128" s="6" t="s">
        <v>9</v>
      </c>
      <c r="C2128" s="6"/>
      <c r="D2128" s="6"/>
      <c r="E2128" s="6"/>
      <c r="F2128" s="6"/>
      <c r="G2128" s="6"/>
      <c r="H2128" s="6"/>
      <c r="I2128" s="6"/>
      <c r="J2128" s="6"/>
      <c r="K2128" s="6"/>
      <c r="L2128" s="6"/>
    </row>
    <row r="2129" spans="1:12" ht="15" customHeight="1" x14ac:dyDescent="0.25">
      <c r="A2129" s="3" t="s">
        <v>10</v>
      </c>
      <c r="B2129" s="6" t="s">
        <v>280</v>
      </c>
      <c r="C2129" s="6"/>
      <c r="D2129" s="6"/>
      <c r="E2129" s="6"/>
      <c r="F2129" s="6"/>
      <c r="G2129" s="6"/>
      <c r="H2129" s="6"/>
      <c r="I2129" s="6"/>
      <c r="J2129" s="6"/>
      <c r="K2129" s="3" t="s">
        <v>12</v>
      </c>
      <c r="L2129" s="4" t="s">
        <v>84</v>
      </c>
    </row>
    <row r="2130" spans="1:12" ht="15" customHeight="1" x14ac:dyDescent="0.25">
      <c r="A2130" s="3" t="s">
        <v>14</v>
      </c>
      <c r="B2130" s="6" t="s">
        <v>88</v>
      </c>
      <c r="C2130" s="6"/>
      <c r="D2130" s="7" t="s">
        <v>16</v>
      </c>
      <c r="E2130" s="7"/>
      <c r="F2130" s="6" t="str">
        <f>"3277.000113"</f>
        <v>3277.000113</v>
      </c>
      <c r="G2130" s="6"/>
      <c r="H2130" s="3" t="s">
        <v>17</v>
      </c>
      <c r="I2130" s="6" t="s">
        <v>89</v>
      </c>
      <c r="J2130" s="6"/>
      <c r="K2130" s="3" t="s">
        <v>19</v>
      </c>
      <c r="L2130" s="5">
        <v>1</v>
      </c>
    </row>
    <row r="2131" spans="1:12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</row>
    <row r="2132" spans="1:12" ht="15" customHeight="1" x14ac:dyDescent="0.25">
      <c r="A2132" s="10" t="s">
        <v>20</v>
      </c>
      <c r="B2132" s="11"/>
      <c r="C2132" s="12"/>
      <c r="D2132" s="8" t="s">
        <v>21</v>
      </c>
      <c r="E2132" s="8" t="s">
        <v>22</v>
      </c>
      <c r="F2132" s="9" t="s">
        <v>23</v>
      </c>
      <c r="G2132" s="9" t="s">
        <v>24</v>
      </c>
      <c r="H2132" s="9" t="s">
        <v>25</v>
      </c>
      <c r="I2132" s="9" t="s">
        <v>26</v>
      </c>
      <c r="J2132" s="9" t="s">
        <v>27</v>
      </c>
      <c r="K2132" s="13" t="s">
        <v>28</v>
      </c>
      <c r="L2132" s="14"/>
    </row>
    <row r="2133" spans="1:12" ht="15" customHeight="1" x14ac:dyDescent="0.25">
      <c r="A2133" s="15" t="s">
        <v>29</v>
      </c>
      <c r="B2133" s="16"/>
      <c r="C2133" s="16"/>
      <c r="D2133" s="16"/>
      <c r="E2133" s="16"/>
      <c r="F2133" s="16"/>
      <c r="G2133" s="16"/>
      <c r="H2133" s="16"/>
      <c r="I2133" s="16"/>
      <c r="J2133" s="17"/>
      <c r="K2133" s="15">
        <v>0</v>
      </c>
      <c r="L2133" s="17"/>
    </row>
    <row r="2134" spans="1:12" x14ac:dyDescent="0.25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</row>
    <row r="2135" spans="1:12" ht="15" customHeight="1" x14ac:dyDescent="0.25">
      <c r="A2135" s="10" t="s">
        <v>30</v>
      </c>
      <c r="B2135" s="11"/>
      <c r="C2135" s="12"/>
      <c r="D2135" s="8" t="s">
        <v>21</v>
      </c>
      <c r="E2135" s="8" t="s">
        <v>22</v>
      </c>
      <c r="F2135" s="9" t="s">
        <v>31</v>
      </c>
      <c r="G2135" s="9" t="s">
        <v>32</v>
      </c>
      <c r="H2135" s="9" t="s">
        <v>33</v>
      </c>
      <c r="I2135" s="13" t="s">
        <v>34</v>
      </c>
      <c r="J2135" s="14"/>
      <c r="K2135" s="13" t="s">
        <v>28</v>
      </c>
      <c r="L2135" s="14"/>
    </row>
    <row r="2136" spans="1:12" ht="15" customHeight="1" x14ac:dyDescent="0.25">
      <c r="A2136" s="21" t="s">
        <v>281</v>
      </c>
      <c r="B2136" s="22"/>
      <c r="C2136" s="23"/>
      <c r="D2136" s="19" t="str">
        <f>"010101"</f>
        <v>010101</v>
      </c>
      <c r="E2136" s="19" t="s">
        <v>36</v>
      </c>
      <c r="F2136" s="20">
        <v>8.5299999999999994</v>
      </c>
      <c r="G2136" s="20">
        <v>157.27000000000001</v>
      </c>
      <c r="H2136" s="20">
        <v>21.94</v>
      </c>
      <c r="I2136" s="24">
        <v>0.37</v>
      </c>
      <c r="J2136" s="25"/>
      <c r="K2136" s="24">
        <v>8.11</v>
      </c>
      <c r="L2136" s="25"/>
    </row>
    <row r="2137" spans="1:12" ht="15" customHeight="1" x14ac:dyDescent="0.25">
      <c r="A2137" s="21" t="s">
        <v>282</v>
      </c>
      <c r="B2137" s="22"/>
      <c r="C2137" s="23"/>
      <c r="D2137" s="19" t="str">
        <f>"010118"</f>
        <v>010118</v>
      </c>
      <c r="E2137" s="19" t="s">
        <v>36</v>
      </c>
      <c r="F2137" s="20">
        <v>10.119999999999999</v>
      </c>
      <c r="G2137" s="20">
        <v>157.27000000000001</v>
      </c>
      <c r="H2137" s="20">
        <v>26.03</v>
      </c>
      <c r="I2137" s="24">
        <v>0.37</v>
      </c>
      <c r="J2137" s="25"/>
      <c r="K2137" s="24">
        <v>9.6300000000000008</v>
      </c>
      <c r="L2137" s="25"/>
    </row>
    <row r="2138" spans="1:12" ht="15" customHeight="1" x14ac:dyDescent="0.25">
      <c r="A2138" s="15" t="s">
        <v>38</v>
      </c>
      <c r="B2138" s="16"/>
      <c r="C2138" s="16"/>
      <c r="D2138" s="16"/>
      <c r="E2138" s="16"/>
      <c r="F2138" s="16"/>
      <c r="G2138" s="16"/>
      <c r="H2138" s="16"/>
      <c r="I2138" s="16"/>
      <c r="J2138" s="17"/>
      <c r="K2138" s="15">
        <v>17.739999999999998</v>
      </c>
      <c r="L2138" s="17"/>
    </row>
    <row r="2139" spans="1:12" x14ac:dyDescent="0.25">
      <c r="A2139" s="18"/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</row>
    <row r="2140" spans="1:12" ht="15" customHeight="1" x14ac:dyDescent="0.25">
      <c r="A2140" s="10" t="s">
        <v>39</v>
      </c>
      <c r="B2140" s="11"/>
      <c r="C2140" s="12"/>
      <c r="D2140" s="8" t="s">
        <v>21</v>
      </c>
      <c r="E2140" s="13" t="s">
        <v>40</v>
      </c>
      <c r="F2140" s="14"/>
      <c r="G2140" s="8" t="s">
        <v>41</v>
      </c>
      <c r="H2140" s="8" t="s">
        <v>42</v>
      </c>
      <c r="I2140" s="8" t="s">
        <v>43</v>
      </c>
      <c r="J2140" s="13" t="s">
        <v>44</v>
      </c>
      <c r="K2140" s="26"/>
      <c r="L2140" s="14"/>
    </row>
    <row r="2141" spans="1:12" ht="15" customHeight="1" x14ac:dyDescent="0.25">
      <c r="A2141" s="15" t="s">
        <v>45</v>
      </c>
      <c r="B2141" s="16"/>
      <c r="C2141" s="16"/>
      <c r="D2141" s="16"/>
      <c r="E2141" s="16"/>
      <c r="F2141" s="16"/>
      <c r="G2141" s="16"/>
      <c r="H2141" s="16"/>
      <c r="I2141" s="16"/>
      <c r="J2141" s="17"/>
      <c r="K2141" s="15">
        <v>0</v>
      </c>
      <c r="L2141" s="17"/>
    </row>
    <row r="2142" spans="1:12" x14ac:dyDescent="0.25">
      <c r="A2142" s="18"/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</row>
    <row r="2143" spans="1:12" ht="15" customHeight="1" x14ac:dyDescent="0.25">
      <c r="A2143" s="27" t="s">
        <v>46</v>
      </c>
      <c r="B2143" s="27"/>
      <c r="C2143" s="27"/>
      <c r="D2143" s="27"/>
      <c r="E2143" s="27"/>
      <c r="F2143" s="27"/>
      <c r="G2143" s="27"/>
      <c r="H2143" s="27"/>
      <c r="I2143" s="27"/>
      <c r="J2143" s="27"/>
      <c r="K2143" s="27">
        <v>17.739999999999998</v>
      </c>
      <c r="L2143" s="27"/>
    </row>
    <row r="2144" spans="1:12" ht="15" customHeight="1" x14ac:dyDescent="0.25">
      <c r="A2144" s="27" t="s">
        <v>47</v>
      </c>
      <c r="B2144" s="27"/>
      <c r="C2144" s="27"/>
      <c r="D2144" s="27"/>
      <c r="E2144" s="27"/>
      <c r="F2144" s="27"/>
      <c r="G2144" s="27"/>
      <c r="H2144" s="27"/>
      <c r="I2144" s="27"/>
      <c r="J2144" s="27"/>
      <c r="K2144" s="27">
        <v>1</v>
      </c>
      <c r="L2144" s="27"/>
    </row>
    <row r="2145" spans="1:12" ht="15" customHeight="1" x14ac:dyDescent="0.25">
      <c r="A2145" s="27" t="s">
        <v>48</v>
      </c>
      <c r="B2145" s="27"/>
      <c r="C2145" s="27"/>
      <c r="D2145" s="27"/>
      <c r="E2145" s="27"/>
      <c r="F2145" s="27"/>
      <c r="G2145" s="27"/>
      <c r="H2145" s="27"/>
      <c r="I2145" s="27"/>
      <c r="J2145" s="27"/>
      <c r="K2145" s="27">
        <v>17.739999999999998</v>
      </c>
      <c r="L2145" s="27"/>
    </row>
    <row r="2146" spans="1:12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</row>
    <row r="2147" spans="1:12" ht="15" customHeight="1" x14ac:dyDescent="0.25">
      <c r="A2147" s="10" t="s">
        <v>49</v>
      </c>
      <c r="B2147" s="11"/>
      <c r="C2147" s="11"/>
      <c r="D2147" s="11"/>
      <c r="E2147" s="12"/>
      <c r="F2147" s="8" t="s">
        <v>21</v>
      </c>
      <c r="G2147" s="8" t="s">
        <v>22</v>
      </c>
      <c r="H2147" s="9" t="s">
        <v>44</v>
      </c>
      <c r="I2147" s="13" t="s">
        <v>34</v>
      </c>
      <c r="J2147" s="14"/>
      <c r="K2147" s="13" t="s">
        <v>50</v>
      </c>
      <c r="L2147" s="14"/>
    </row>
    <row r="2148" spans="1:12" ht="15" customHeight="1" x14ac:dyDescent="0.25">
      <c r="A2148" s="21" t="s">
        <v>283</v>
      </c>
      <c r="B2148" s="22"/>
      <c r="C2148" s="22"/>
      <c r="D2148" s="22"/>
      <c r="E2148" s="23"/>
      <c r="F2148" s="19" t="str">
        <f>"00000296"</f>
        <v>00000296</v>
      </c>
      <c r="G2148" s="19" t="s">
        <v>81</v>
      </c>
      <c r="H2148" s="20">
        <v>1.75</v>
      </c>
      <c r="I2148" s="24">
        <v>1</v>
      </c>
      <c r="J2148" s="25"/>
      <c r="K2148" s="24">
        <v>1.75</v>
      </c>
      <c r="L2148" s="25"/>
    </row>
    <row r="2149" spans="1:12" ht="15" customHeight="1" x14ac:dyDescent="0.25">
      <c r="A2149" s="21" t="s">
        <v>284</v>
      </c>
      <c r="B2149" s="22"/>
      <c r="C2149" s="22"/>
      <c r="D2149" s="22"/>
      <c r="E2149" s="23"/>
      <c r="F2149" s="19" t="str">
        <f>"00000297"</f>
        <v>00000297</v>
      </c>
      <c r="G2149" s="19" t="s">
        <v>81</v>
      </c>
      <c r="H2149" s="20">
        <v>2.57</v>
      </c>
      <c r="I2149" s="24">
        <v>1</v>
      </c>
      <c r="J2149" s="25"/>
      <c r="K2149" s="24">
        <v>2.57</v>
      </c>
      <c r="L2149" s="25"/>
    </row>
    <row r="2150" spans="1:12" ht="15" customHeight="1" x14ac:dyDescent="0.25">
      <c r="A2150" s="21" t="s">
        <v>285</v>
      </c>
      <c r="B2150" s="22"/>
      <c r="C2150" s="22"/>
      <c r="D2150" s="22"/>
      <c r="E2150" s="23"/>
      <c r="F2150" s="19" t="str">
        <f>"00003669"</f>
        <v>00003669</v>
      </c>
      <c r="G2150" s="19" t="s">
        <v>81</v>
      </c>
      <c r="H2150" s="20">
        <v>17.84</v>
      </c>
      <c r="I2150" s="24">
        <v>1</v>
      </c>
      <c r="J2150" s="25"/>
      <c r="K2150" s="24">
        <v>17.84</v>
      </c>
      <c r="L2150" s="25"/>
    </row>
    <row r="2151" spans="1:12" ht="15" customHeight="1" x14ac:dyDescent="0.25">
      <c r="A2151" s="21" t="s">
        <v>286</v>
      </c>
      <c r="B2151" s="22"/>
      <c r="C2151" s="22"/>
      <c r="D2151" s="22"/>
      <c r="E2151" s="23"/>
      <c r="F2151" s="19" t="str">
        <f>"069572"</f>
        <v>069572</v>
      </c>
      <c r="G2151" s="19" t="s">
        <v>124</v>
      </c>
      <c r="H2151" s="20">
        <v>67.040000000000006</v>
      </c>
      <c r="I2151" s="24">
        <v>0.03</v>
      </c>
      <c r="J2151" s="25"/>
      <c r="K2151" s="24">
        <v>2.0099999999999998</v>
      </c>
      <c r="L2151" s="25"/>
    </row>
    <row r="2152" spans="1:12" ht="15" customHeight="1" x14ac:dyDescent="0.25">
      <c r="A2152" s="15" t="s">
        <v>51</v>
      </c>
      <c r="B2152" s="16"/>
      <c r="C2152" s="16"/>
      <c r="D2152" s="16"/>
      <c r="E2152" s="16"/>
      <c r="F2152" s="16"/>
      <c r="G2152" s="16"/>
      <c r="H2152" s="16"/>
      <c r="I2152" s="16"/>
      <c r="J2152" s="17"/>
      <c r="K2152" s="15">
        <v>24.17</v>
      </c>
      <c r="L2152" s="17"/>
    </row>
    <row r="2153" spans="1:12" x14ac:dyDescent="0.25">
      <c r="A2153" s="18"/>
      <c r="B2153" s="18"/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</row>
    <row r="2154" spans="1:12" ht="15" customHeight="1" x14ac:dyDescent="0.25">
      <c r="A2154" s="10" t="s">
        <v>52</v>
      </c>
      <c r="B2154" s="11"/>
      <c r="C2154" s="11"/>
      <c r="D2154" s="11"/>
      <c r="E2154" s="12"/>
      <c r="F2154" s="8" t="s">
        <v>21</v>
      </c>
      <c r="G2154" s="8" t="s">
        <v>22</v>
      </c>
      <c r="H2154" s="9" t="s">
        <v>44</v>
      </c>
      <c r="I2154" s="13" t="s">
        <v>34</v>
      </c>
      <c r="J2154" s="14"/>
      <c r="K2154" s="13" t="s">
        <v>50</v>
      </c>
      <c r="L2154" s="14"/>
    </row>
    <row r="2155" spans="1:12" ht="15" customHeight="1" x14ac:dyDescent="0.25">
      <c r="A2155" s="15" t="s">
        <v>53</v>
      </c>
      <c r="B2155" s="16"/>
      <c r="C2155" s="16"/>
      <c r="D2155" s="16"/>
      <c r="E2155" s="16"/>
      <c r="F2155" s="16"/>
      <c r="G2155" s="16"/>
      <c r="H2155" s="16"/>
      <c r="I2155" s="16"/>
      <c r="J2155" s="17"/>
      <c r="K2155" s="15">
        <v>0</v>
      </c>
      <c r="L2155" s="17"/>
    </row>
    <row r="2156" spans="1:12" x14ac:dyDescent="0.25">
      <c r="A2156" s="18"/>
      <c r="B2156" s="18"/>
      <c r="C2156" s="18"/>
      <c r="D2156" s="18"/>
      <c r="E2156" s="18"/>
      <c r="F2156" s="18"/>
      <c r="G2156" s="18"/>
      <c r="H2156" s="18"/>
      <c r="I2156" s="18"/>
      <c r="J2156" s="18"/>
      <c r="K2156" s="18"/>
      <c r="L2156" s="18"/>
    </row>
    <row r="2157" spans="1:12" ht="15" customHeight="1" x14ac:dyDescent="0.25">
      <c r="A2157" s="10" t="s">
        <v>54</v>
      </c>
      <c r="B2157" s="11"/>
      <c r="C2157" s="12"/>
      <c r="D2157" s="8" t="s">
        <v>21</v>
      </c>
      <c r="E2157" s="8" t="s">
        <v>22</v>
      </c>
      <c r="F2157" s="9" t="s">
        <v>55</v>
      </c>
      <c r="G2157" s="8" t="s">
        <v>56</v>
      </c>
      <c r="H2157" s="8" t="s">
        <v>57</v>
      </c>
      <c r="I2157" s="8" t="s">
        <v>58</v>
      </c>
      <c r="J2157" s="9" t="s">
        <v>59</v>
      </c>
      <c r="K2157" s="9" t="s">
        <v>34</v>
      </c>
      <c r="L2157" s="9" t="s">
        <v>50</v>
      </c>
    </row>
    <row r="2158" spans="1:12" ht="15" customHeight="1" x14ac:dyDescent="0.25">
      <c r="A2158" s="15" t="s">
        <v>60</v>
      </c>
      <c r="B2158" s="16"/>
      <c r="C2158" s="16"/>
      <c r="D2158" s="16"/>
      <c r="E2158" s="16"/>
      <c r="F2158" s="16"/>
      <c r="G2158" s="16"/>
      <c r="H2158" s="16"/>
      <c r="I2158" s="16"/>
      <c r="J2158" s="17"/>
      <c r="K2158" s="15">
        <v>0</v>
      </c>
      <c r="L2158" s="17"/>
    </row>
    <row r="2159" spans="1:12" x14ac:dyDescent="0.25">
      <c r="A2159" s="18"/>
      <c r="B2159" s="18"/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</row>
    <row r="2160" spans="1:12" ht="15" customHeight="1" x14ac:dyDescent="0.25">
      <c r="A2160" s="27" t="s">
        <v>61</v>
      </c>
      <c r="B2160" s="27"/>
      <c r="C2160" s="27"/>
      <c r="D2160" s="27"/>
      <c r="E2160" s="27"/>
      <c r="F2160" s="27"/>
      <c r="G2160" s="27"/>
      <c r="H2160" s="27"/>
      <c r="I2160" s="27"/>
      <c r="J2160" s="27"/>
      <c r="K2160" s="27">
        <v>41.91</v>
      </c>
      <c r="L2160" s="27"/>
    </row>
    <row r="2161" spans="1:12" ht="15" customHeight="1" x14ac:dyDescent="0.25">
      <c r="A2161" s="27" t="s">
        <v>62</v>
      </c>
      <c r="B2161" s="27"/>
      <c r="C2161" s="27"/>
      <c r="D2161" s="27"/>
      <c r="E2161" s="27"/>
      <c r="F2161" s="27"/>
      <c r="G2161" s="27"/>
      <c r="H2161" s="27"/>
      <c r="I2161" s="27"/>
      <c r="J2161" s="27"/>
      <c r="K2161" s="27">
        <v>13.94</v>
      </c>
      <c r="L2161" s="27"/>
    </row>
    <row r="2162" spans="1:12" ht="15" customHeight="1" x14ac:dyDescent="0.25">
      <c r="A2162" s="27" t="s">
        <v>63</v>
      </c>
      <c r="B2162" s="27"/>
      <c r="C2162" s="27"/>
      <c r="D2162" s="27"/>
      <c r="E2162" s="27"/>
      <c r="F2162" s="27"/>
      <c r="G2162" s="27"/>
      <c r="H2162" s="27"/>
      <c r="I2162" s="27"/>
      <c r="J2162" s="27"/>
      <c r="K2162" s="27">
        <v>55.85</v>
      </c>
      <c r="L2162" s="27"/>
    </row>
    <row r="2163" spans="1:12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</row>
    <row r="2164" spans="1:12" ht="15" customHeight="1" x14ac:dyDescent="0.25">
      <c r="A2164" s="3" t="s">
        <v>8</v>
      </c>
      <c r="B2164" s="6" t="s">
        <v>9</v>
      </c>
      <c r="C2164" s="6"/>
      <c r="D2164" s="6"/>
      <c r="E2164" s="6"/>
      <c r="F2164" s="6"/>
      <c r="G2164" s="6"/>
      <c r="H2164" s="6"/>
      <c r="I2164" s="6"/>
      <c r="J2164" s="6"/>
      <c r="K2164" s="6"/>
      <c r="L2164" s="6"/>
    </row>
    <row r="2165" spans="1:12" ht="15" customHeight="1" x14ac:dyDescent="0.25">
      <c r="A2165" s="3" t="s">
        <v>10</v>
      </c>
      <c r="B2165" s="6" t="s">
        <v>287</v>
      </c>
      <c r="C2165" s="6"/>
      <c r="D2165" s="6"/>
      <c r="E2165" s="6"/>
      <c r="F2165" s="6"/>
      <c r="G2165" s="6"/>
      <c r="H2165" s="6"/>
      <c r="I2165" s="6"/>
      <c r="J2165" s="6"/>
      <c r="K2165" s="3" t="s">
        <v>12</v>
      </c>
      <c r="L2165" s="4" t="s">
        <v>87</v>
      </c>
    </row>
    <row r="2166" spans="1:12" ht="15" customHeight="1" x14ac:dyDescent="0.25">
      <c r="A2166" s="3" t="s">
        <v>14</v>
      </c>
      <c r="B2166" s="6" t="s">
        <v>15</v>
      </c>
      <c r="C2166" s="6"/>
      <c r="D2166" s="7" t="s">
        <v>16</v>
      </c>
      <c r="E2166" s="7"/>
      <c r="F2166" s="6" t="str">
        <f>"160209"</f>
        <v>160209</v>
      </c>
      <c r="G2166" s="6"/>
      <c r="H2166" s="3" t="s">
        <v>17</v>
      </c>
      <c r="I2166" s="6" t="s">
        <v>18</v>
      </c>
      <c r="J2166" s="6"/>
      <c r="K2166" s="3" t="s">
        <v>19</v>
      </c>
      <c r="L2166" s="5">
        <v>2</v>
      </c>
    </row>
    <row r="2167" spans="1:12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</row>
    <row r="2168" spans="1:12" ht="15" customHeight="1" x14ac:dyDescent="0.25">
      <c r="A2168" s="10" t="s">
        <v>20</v>
      </c>
      <c r="B2168" s="11"/>
      <c r="C2168" s="12"/>
      <c r="D2168" s="8" t="s">
        <v>21</v>
      </c>
      <c r="E2168" s="8" t="s">
        <v>22</v>
      </c>
      <c r="F2168" s="9" t="s">
        <v>23</v>
      </c>
      <c r="G2168" s="9" t="s">
        <v>24</v>
      </c>
      <c r="H2168" s="9" t="s">
        <v>25</v>
      </c>
      <c r="I2168" s="9" t="s">
        <v>26</v>
      </c>
      <c r="J2168" s="9" t="s">
        <v>27</v>
      </c>
      <c r="K2168" s="13" t="s">
        <v>28</v>
      </c>
      <c r="L2168" s="14"/>
    </row>
    <row r="2169" spans="1:12" ht="15" customHeight="1" x14ac:dyDescent="0.25">
      <c r="A2169" s="15" t="s">
        <v>29</v>
      </c>
      <c r="B2169" s="16"/>
      <c r="C2169" s="16"/>
      <c r="D2169" s="16"/>
      <c r="E2169" s="16"/>
      <c r="F2169" s="16"/>
      <c r="G2169" s="16"/>
      <c r="H2169" s="16"/>
      <c r="I2169" s="16"/>
      <c r="J2169" s="17"/>
      <c r="K2169" s="15">
        <v>0</v>
      </c>
      <c r="L2169" s="17"/>
    </row>
    <row r="2170" spans="1:12" x14ac:dyDescent="0.25">
      <c r="A2170" s="18"/>
      <c r="B2170" s="18"/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</row>
    <row r="2171" spans="1:12" ht="15" customHeight="1" x14ac:dyDescent="0.25">
      <c r="A2171" s="10" t="s">
        <v>30</v>
      </c>
      <c r="B2171" s="11"/>
      <c r="C2171" s="12"/>
      <c r="D2171" s="8" t="s">
        <v>21</v>
      </c>
      <c r="E2171" s="8" t="s">
        <v>22</v>
      </c>
      <c r="F2171" s="9" t="s">
        <v>31</v>
      </c>
      <c r="G2171" s="9" t="s">
        <v>32</v>
      </c>
      <c r="H2171" s="9" t="s">
        <v>33</v>
      </c>
      <c r="I2171" s="13" t="s">
        <v>34</v>
      </c>
      <c r="J2171" s="14"/>
      <c r="K2171" s="13" t="s">
        <v>28</v>
      </c>
      <c r="L2171" s="14"/>
    </row>
    <row r="2172" spans="1:12" ht="15" customHeight="1" x14ac:dyDescent="0.25">
      <c r="A2172" s="21" t="s">
        <v>76</v>
      </c>
      <c r="B2172" s="22"/>
      <c r="C2172" s="23"/>
      <c r="D2172" s="19" t="str">
        <f>"010101"</f>
        <v>010101</v>
      </c>
      <c r="E2172" s="19" t="s">
        <v>36</v>
      </c>
      <c r="F2172" s="20">
        <v>8.5299999999999994</v>
      </c>
      <c r="G2172" s="20">
        <v>157.27000000000001</v>
      </c>
      <c r="H2172" s="20">
        <v>21.94</v>
      </c>
      <c r="I2172" s="24">
        <v>1.1000000000000001</v>
      </c>
      <c r="J2172" s="25"/>
      <c r="K2172" s="24">
        <v>24.13</v>
      </c>
      <c r="L2172" s="25"/>
    </row>
    <row r="2173" spans="1:12" ht="15" customHeight="1" x14ac:dyDescent="0.25">
      <c r="A2173" s="21" t="s">
        <v>85</v>
      </c>
      <c r="B2173" s="22"/>
      <c r="C2173" s="23"/>
      <c r="D2173" s="19" t="str">
        <f>"010118"</f>
        <v>010118</v>
      </c>
      <c r="E2173" s="19" t="s">
        <v>36</v>
      </c>
      <c r="F2173" s="20">
        <v>10.119999999999999</v>
      </c>
      <c r="G2173" s="20">
        <v>157.27000000000001</v>
      </c>
      <c r="H2173" s="20">
        <v>26.03</v>
      </c>
      <c r="I2173" s="24">
        <v>1.1000000000000001</v>
      </c>
      <c r="J2173" s="25"/>
      <c r="K2173" s="24">
        <v>28.63</v>
      </c>
      <c r="L2173" s="25"/>
    </row>
    <row r="2174" spans="1:12" ht="15" customHeight="1" x14ac:dyDescent="0.25">
      <c r="A2174" s="15" t="s">
        <v>38</v>
      </c>
      <c r="B2174" s="16"/>
      <c r="C2174" s="16"/>
      <c r="D2174" s="16"/>
      <c r="E2174" s="16"/>
      <c r="F2174" s="16"/>
      <c r="G2174" s="16"/>
      <c r="H2174" s="16"/>
      <c r="I2174" s="16"/>
      <c r="J2174" s="17"/>
      <c r="K2174" s="15">
        <v>52.76</v>
      </c>
      <c r="L2174" s="17"/>
    </row>
    <row r="2175" spans="1:12" x14ac:dyDescent="0.25">
      <c r="A2175" s="18"/>
      <c r="B2175" s="18"/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</row>
    <row r="2176" spans="1:12" ht="15" customHeight="1" x14ac:dyDescent="0.25">
      <c r="A2176" s="10" t="s">
        <v>39</v>
      </c>
      <c r="B2176" s="11"/>
      <c r="C2176" s="12"/>
      <c r="D2176" s="8" t="s">
        <v>21</v>
      </c>
      <c r="E2176" s="13" t="s">
        <v>40</v>
      </c>
      <c r="F2176" s="14"/>
      <c r="G2176" s="8" t="s">
        <v>41</v>
      </c>
      <c r="H2176" s="8" t="s">
        <v>42</v>
      </c>
      <c r="I2176" s="8" t="s">
        <v>43</v>
      </c>
      <c r="J2176" s="13" t="s">
        <v>44</v>
      </c>
      <c r="K2176" s="26"/>
      <c r="L2176" s="14"/>
    </row>
    <row r="2177" spans="1:12" ht="15" customHeight="1" x14ac:dyDescent="0.25">
      <c r="A2177" s="15" t="s">
        <v>45</v>
      </c>
      <c r="B2177" s="16"/>
      <c r="C2177" s="16"/>
      <c r="D2177" s="16"/>
      <c r="E2177" s="16"/>
      <c r="F2177" s="16"/>
      <c r="G2177" s="16"/>
      <c r="H2177" s="16"/>
      <c r="I2177" s="16"/>
      <c r="J2177" s="17"/>
      <c r="K2177" s="15">
        <v>0</v>
      </c>
      <c r="L2177" s="17"/>
    </row>
    <row r="2178" spans="1:12" x14ac:dyDescent="0.25">
      <c r="A2178" s="18"/>
      <c r="B2178" s="18"/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</row>
    <row r="2179" spans="1:12" ht="15" customHeight="1" x14ac:dyDescent="0.25">
      <c r="A2179" s="27" t="s">
        <v>46</v>
      </c>
      <c r="B2179" s="27"/>
      <c r="C2179" s="27"/>
      <c r="D2179" s="27"/>
      <c r="E2179" s="27"/>
      <c r="F2179" s="27"/>
      <c r="G2179" s="27"/>
      <c r="H2179" s="27"/>
      <c r="I2179" s="27"/>
      <c r="J2179" s="27"/>
      <c r="K2179" s="27">
        <v>52.76</v>
      </c>
      <c r="L2179" s="27"/>
    </row>
    <row r="2180" spans="1:12" ht="15" customHeight="1" x14ac:dyDescent="0.25">
      <c r="A2180" s="27" t="s">
        <v>47</v>
      </c>
      <c r="B2180" s="27"/>
      <c r="C2180" s="27"/>
      <c r="D2180" s="27"/>
      <c r="E2180" s="27"/>
      <c r="F2180" s="27"/>
      <c r="G2180" s="27"/>
      <c r="H2180" s="27"/>
      <c r="I2180" s="27"/>
      <c r="J2180" s="27"/>
      <c r="K2180" s="27">
        <v>1</v>
      </c>
      <c r="L2180" s="27"/>
    </row>
    <row r="2181" spans="1:12" ht="15" customHeight="1" x14ac:dyDescent="0.25">
      <c r="A2181" s="27" t="s">
        <v>48</v>
      </c>
      <c r="B2181" s="27"/>
      <c r="C2181" s="27"/>
      <c r="D2181" s="27"/>
      <c r="E2181" s="27"/>
      <c r="F2181" s="27"/>
      <c r="G2181" s="27"/>
      <c r="H2181" s="27"/>
      <c r="I2181" s="27"/>
      <c r="J2181" s="27"/>
      <c r="K2181" s="27">
        <v>52.76</v>
      </c>
      <c r="L2181" s="27"/>
    </row>
    <row r="2182" spans="1:12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</row>
    <row r="2183" spans="1:12" ht="15" customHeight="1" x14ac:dyDescent="0.25">
      <c r="A2183" s="10" t="s">
        <v>49</v>
      </c>
      <c r="B2183" s="11"/>
      <c r="C2183" s="11"/>
      <c r="D2183" s="11"/>
      <c r="E2183" s="12"/>
      <c r="F2183" s="8" t="s">
        <v>21</v>
      </c>
      <c r="G2183" s="8" t="s">
        <v>22</v>
      </c>
      <c r="H2183" s="9" t="s">
        <v>44</v>
      </c>
      <c r="I2183" s="13" t="s">
        <v>34</v>
      </c>
      <c r="J2183" s="14"/>
      <c r="K2183" s="13" t="s">
        <v>50</v>
      </c>
      <c r="L2183" s="14"/>
    </row>
    <row r="2184" spans="1:12" ht="15" customHeight="1" x14ac:dyDescent="0.25">
      <c r="A2184" s="21" t="s">
        <v>288</v>
      </c>
      <c r="B2184" s="22"/>
      <c r="C2184" s="22"/>
      <c r="D2184" s="22"/>
      <c r="E2184" s="23"/>
      <c r="F2184" s="19" t="str">
        <f>"029112"</f>
        <v>029112</v>
      </c>
      <c r="G2184" s="19" t="s">
        <v>99</v>
      </c>
      <c r="H2184" s="20">
        <v>40.01</v>
      </c>
      <c r="I2184" s="24">
        <v>1.6</v>
      </c>
      <c r="J2184" s="25"/>
      <c r="K2184" s="24">
        <v>64.010000000000005</v>
      </c>
      <c r="L2184" s="25"/>
    </row>
    <row r="2185" spans="1:12" ht="15" customHeight="1" x14ac:dyDescent="0.25">
      <c r="A2185" s="21" t="s">
        <v>270</v>
      </c>
      <c r="B2185" s="22"/>
      <c r="C2185" s="22"/>
      <c r="D2185" s="22"/>
      <c r="E2185" s="23"/>
      <c r="F2185" s="19" t="str">
        <f>"069512"</f>
        <v>069512</v>
      </c>
      <c r="G2185" s="19" t="s">
        <v>99</v>
      </c>
      <c r="H2185" s="20">
        <v>0.24</v>
      </c>
      <c r="I2185" s="24">
        <v>1.1200000000000001</v>
      </c>
      <c r="J2185" s="25"/>
      <c r="K2185" s="24">
        <v>0.26</v>
      </c>
      <c r="L2185" s="25"/>
    </row>
    <row r="2186" spans="1:12" ht="15" customHeight="1" x14ac:dyDescent="0.25">
      <c r="A2186" s="15" t="s">
        <v>51</v>
      </c>
      <c r="B2186" s="16"/>
      <c r="C2186" s="16"/>
      <c r="D2186" s="16"/>
      <c r="E2186" s="16"/>
      <c r="F2186" s="16"/>
      <c r="G2186" s="16"/>
      <c r="H2186" s="16"/>
      <c r="I2186" s="16"/>
      <c r="J2186" s="17"/>
      <c r="K2186" s="15">
        <v>64.27</v>
      </c>
      <c r="L2186" s="17"/>
    </row>
    <row r="2187" spans="1:12" x14ac:dyDescent="0.25">
      <c r="A2187" s="18"/>
      <c r="B2187" s="18"/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</row>
    <row r="2188" spans="1:12" ht="15" customHeight="1" x14ac:dyDescent="0.25">
      <c r="A2188" s="10" t="s">
        <v>52</v>
      </c>
      <c r="B2188" s="11"/>
      <c r="C2188" s="11"/>
      <c r="D2188" s="11"/>
      <c r="E2188" s="12"/>
      <c r="F2188" s="8" t="s">
        <v>21</v>
      </c>
      <c r="G2188" s="8" t="s">
        <v>22</v>
      </c>
      <c r="H2188" s="9" t="s">
        <v>44</v>
      </c>
      <c r="I2188" s="13" t="s">
        <v>34</v>
      </c>
      <c r="J2188" s="14"/>
      <c r="K2188" s="13" t="s">
        <v>50</v>
      </c>
      <c r="L2188" s="14"/>
    </row>
    <row r="2189" spans="1:12" ht="15" customHeight="1" x14ac:dyDescent="0.25">
      <c r="A2189" s="15" t="s">
        <v>53</v>
      </c>
      <c r="B2189" s="16"/>
      <c r="C2189" s="16"/>
      <c r="D2189" s="16"/>
      <c r="E2189" s="16"/>
      <c r="F2189" s="16"/>
      <c r="G2189" s="16"/>
      <c r="H2189" s="16"/>
      <c r="I2189" s="16"/>
      <c r="J2189" s="17"/>
      <c r="K2189" s="15">
        <v>0</v>
      </c>
      <c r="L2189" s="17"/>
    </row>
    <row r="2190" spans="1:12" x14ac:dyDescent="0.25">
      <c r="A2190" s="18"/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</row>
    <row r="2191" spans="1:12" ht="15" customHeight="1" x14ac:dyDescent="0.25">
      <c r="A2191" s="10" t="s">
        <v>54</v>
      </c>
      <c r="B2191" s="11"/>
      <c r="C2191" s="12"/>
      <c r="D2191" s="8" t="s">
        <v>21</v>
      </c>
      <c r="E2191" s="8" t="s">
        <v>22</v>
      </c>
      <c r="F2191" s="9" t="s">
        <v>55</v>
      </c>
      <c r="G2191" s="8" t="s">
        <v>56</v>
      </c>
      <c r="H2191" s="8" t="s">
        <v>57</v>
      </c>
      <c r="I2191" s="8" t="s">
        <v>58</v>
      </c>
      <c r="J2191" s="9" t="s">
        <v>59</v>
      </c>
      <c r="K2191" s="9" t="s">
        <v>34</v>
      </c>
      <c r="L2191" s="9" t="s">
        <v>50</v>
      </c>
    </row>
    <row r="2192" spans="1:12" ht="15" customHeight="1" x14ac:dyDescent="0.25">
      <c r="A2192" s="15" t="s">
        <v>60</v>
      </c>
      <c r="B2192" s="16"/>
      <c r="C2192" s="16"/>
      <c r="D2192" s="16"/>
      <c r="E2192" s="16"/>
      <c r="F2192" s="16"/>
      <c r="G2192" s="16"/>
      <c r="H2192" s="16"/>
      <c r="I2192" s="16"/>
      <c r="J2192" s="17"/>
      <c r="K2192" s="15">
        <v>0</v>
      </c>
      <c r="L2192" s="17"/>
    </row>
    <row r="2193" spans="1:12" x14ac:dyDescent="0.25">
      <c r="A2193" s="18"/>
      <c r="B2193" s="18"/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</row>
    <row r="2194" spans="1:12" ht="15" customHeight="1" x14ac:dyDescent="0.25">
      <c r="A2194" s="27" t="s">
        <v>61</v>
      </c>
      <c r="B2194" s="27"/>
      <c r="C2194" s="27"/>
      <c r="D2194" s="27"/>
      <c r="E2194" s="27"/>
      <c r="F2194" s="27"/>
      <c r="G2194" s="27"/>
      <c r="H2194" s="27"/>
      <c r="I2194" s="27"/>
      <c r="J2194" s="27"/>
      <c r="K2194" s="27">
        <v>117.03</v>
      </c>
      <c r="L2194" s="27"/>
    </row>
    <row r="2195" spans="1:12" ht="15" customHeight="1" x14ac:dyDescent="0.25">
      <c r="A2195" s="27" t="s">
        <v>62</v>
      </c>
      <c r="B2195" s="27"/>
      <c r="C2195" s="27"/>
      <c r="D2195" s="27"/>
      <c r="E2195" s="27"/>
      <c r="F2195" s="27"/>
      <c r="G2195" s="27"/>
      <c r="H2195" s="27"/>
      <c r="I2195" s="27"/>
      <c r="J2195" s="27"/>
      <c r="K2195" s="27">
        <v>38.909999999999997</v>
      </c>
      <c r="L2195" s="27"/>
    </row>
    <row r="2196" spans="1:12" ht="15" customHeight="1" x14ac:dyDescent="0.25">
      <c r="A2196" s="27" t="s">
        <v>63</v>
      </c>
      <c r="B2196" s="27"/>
      <c r="C2196" s="27"/>
      <c r="D2196" s="27"/>
      <c r="E2196" s="27"/>
      <c r="F2196" s="27"/>
      <c r="G2196" s="27"/>
      <c r="H2196" s="27"/>
      <c r="I2196" s="27"/>
      <c r="J2196" s="27"/>
      <c r="K2196" s="27">
        <v>155.94</v>
      </c>
      <c r="L2196" s="27"/>
    </row>
    <row r="2197" spans="1:12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</row>
    <row r="2198" spans="1:12" ht="15" customHeight="1" x14ac:dyDescent="0.25">
      <c r="A2198" s="3" t="s">
        <v>8</v>
      </c>
      <c r="B2198" s="6" t="s">
        <v>9</v>
      </c>
      <c r="C2198" s="6"/>
      <c r="D2198" s="6"/>
      <c r="E2198" s="6"/>
      <c r="F2198" s="6"/>
      <c r="G2198" s="6"/>
      <c r="H2198" s="6"/>
      <c r="I2198" s="6"/>
      <c r="J2198" s="6"/>
      <c r="K2198" s="6"/>
      <c r="L2198" s="6"/>
    </row>
    <row r="2199" spans="1:12" ht="15" customHeight="1" x14ac:dyDescent="0.25">
      <c r="A2199" s="3" t="s">
        <v>10</v>
      </c>
      <c r="B2199" s="6" t="s">
        <v>289</v>
      </c>
      <c r="C2199" s="6"/>
      <c r="D2199" s="6"/>
      <c r="E2199" s="6"/>
      <c r="F2199" s="6"/>
      <c r="G2199" s="6"/>
      <c r="H2199" s="6"/>
      <c r="I2199" s="6"/>
      <c r="J2199" s="6"/>
      <c r="K2199" s="3" t="s">
        <v>12</v>
      </c>
      <c r="L2199" s="4" t="s">
        <v>13</v>
      </c>
    </row>
    <row r="2200" spans="1:12" ht="15" customHeight="1" x14ac:dyDescent="0.25">
      <c r="A2200" s="3" t="s">
        <v>14</v>
      </c>
      <c r="B2200" s="6" t="s">
        <v>15</v>
      </c>
      <c r="C2200" s="6"/>
      <c r="D2200" s="7" t="s">
        <v>16</v>
      </c>
      <c r="E2200" s="7"/>
      <c r="F2200" s="6" t="str">
        <f>"190418"</f>
        <v>190418</v>
      </c>
      <c r="G2200" s="6"/>
      <c r="H2200" s="3" t="s">
        <v>17</v>
      </c>
      <c r="I2200" s="6" t="s">
        <v>18</v>
      </c>
      <c r="J2200" s="6"/>
      <c r="K2200" s="3" t="s">
        <v>19</v>
      </c>
      <c r="L2200" s="5">
        <v>1</v>
      </c>
    </row>
    <row r="2201" spans="1:12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</row>
    <row r="2202" spans="1:12" ht="15" customHeight="1" x14ac:dyDescent="0.25">
      <c r="A2202" s="10" t="s">
        <v>20</v>
      </c>
      <c r="B2202" s="11"/>
      <c r="C2202" s="12"/>
      <c r="D2202" s="8" t="s">
        <v>21</v>
      </c>
      <c r="E2202" s="8" t="s">
        <v>22</v>
      </c>
      <c r="F2202" s="9" t="s">
        <v>23</v>
      </c>
      <c r="G2202" s="9" t="s">
        <v>24</v>
      </c>
      <c r="H2202" s="9" t="s">
        <v>25</v>
      </c>
      <c r="I2202" s="9" t="s">
        <v>26</v>
      </c>
      <c r="J2202" s="9" t="s">
        <v>27</v>
      </c>
      <c r="K2202" s="13" t="s">
        <v>28</v>
      </c>
      <c r="L2202" s="14"/>
    </row>
    <row r="2203" spans="1:12" ht="15" customHeight="1" x14ac:dyDescent="0.25">
      <c r="A2203" s="15" t="s">
        <v>29</v>
      </c>
      <c r="B2203" s="16"/>
      <c r="C2203" s="16"/>
      <c r="D2203" s="16"/>
      <c r="E2203" s="16"/>
      <c r="F2203" s="16"/>
      <c r="G2203" s="16"/>
      <c r="H2203" s="16"/>
      <c r="I2203" s="16"/>
      <c r="J2203" s="17"/>
      <c r="K2203" s="15">
        <v>0</v>
      </c>
      <c r="L2203" s="17"/>
    </row>
    <row r="2204" spans="1:12" x14ac:dyDescent="0.25">
      <c r="A2204" s="18"/>
      <c r="B2204" s="18"/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</row>
    <row r="2205" spans="1:12" ht="15" customHeight="1" x14ac:dyDescent="0.25">
      <c r="A2205" s="10" t="s">
        <v>30</v>
      </c>
      <c r="B2205" s="11"/>
      <c r="C2205" s="12"/>
      <c r="D2205" s="8" t="s">
        <v>21</v>
      </c>
      <c r="E2205" s="8" t="s">
        <v>22</v>
      </c>
      <c r="F2205" s="9" t="s">
        <v>31</v>
      </c>
      <c r="G2205" s="9" t="s">
        <v>32</v>
      </c>
      <c r="H2205" s="9" t="s">
        <v>33</v>
      </c>
      <c r="I2205" s="13" t="s">
        <v>34</v>
      </c>
      <c r="J2205" s="14"/>
      <c r="K2205" s="13" t="s">
        <v>28</v>
      </c>
      <c r="L2205" s="14"/>
    </row>
    <row r="2206" spans="1:12" ht="15" customHeight="1" x14ac:dyDescent="0.25">
      <c r="A2206" s="21" t="s">
        <v>76</v>
      </c>
      <c r="B2206" s="22"/>
      <c r="C2206" s="23"/>
      <c r="D2206" s="19" t="str">
        <f>"010101"</f>
        <v>010101</v>
      </c>
      <c r="E2206" s="19" t="s">
        <v>36</v>
      </c>
      <c r="F2206" s="20">
        <v>8.5299999999999994</v>
      </c>
      <c r="G2206" s="20">
        <v>157.27000000000001</v>
      </c>
      <c r="H2206" s="20">
        <v>21.94</v>
      </c>
      <c r="I2206" s="24">
        <v>0.2</v>
      </c>
      <c r="J2206" s="25"/>
      <c r="K2206" s="24">
        <v>4.38</v>
      </c>
      <c r="L2206" s="25"/>
    </row>
    <row r="2207" spans="1:12" ht="15" customHeight="1" x14ac:dyDescent="0.25">
      <c r="A2207" s="21" t="s">
        <v>79</v>
      </c>
      <c r="B2207" s="22"/>
      <c r="C2207" s="23"/>
      <c r="D2207" s="19" t="str">
        <f>"010140"</f>
        <v>010140</v>
      </c>
      <c r="E2207" s="19" t="s">
        <v>36</v>
      </c>
      <c r="F2207" s="20">
        <v>10.119999999999999</v>
      </c>
      <c r="G2207" s="20">
        <v>157.27000000000001</v>
      </c>
      <c r="H2207" s="20">
        <v>26.03</v>
      </c>
      <c r="I2207" s="24">
        <v>0.4</v>
      </c>
      <c r="J2207" s="25"/>
      <c r="K2207" s="24">
        <v>10.41</v>
      </c>
      <c r="L2207" s="25"/>
    </row>
    <row r="2208" spans="1:12" ht="15" customHeight="1" x14ac:dyDescent="0.25">
      <c r="A2208" s="15" t="s">
        <v>38</v>
      </c>
      <c r="B2208" s="16"/>
      <c r="C2208" s="16"/>
      <c r="D2208" s="16"/>
      <c r="E2208" s="16"/>
      <c r="F2208" s="16"/>
      <c r="G2208" s="16"/>
      <c r="H2208" s="16"/>
      <c r="I2208" s="16"/>
      <c r="J2208" s="17"/>
      <c r="K2208" s="15">
        <v>14.79</v>
      </c>
      <c r="L2208" s="17"/>
    </row>
    <row r="2209" spans="1:12" x14ac:dyDescent="0.25">
      <c r="A2209" s="18"/>
      <c r="B2209" s="18"/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</row>
    <row r="2210" spans="1:12" ht="15" customHeight="1" x14ac:dyDescent="0.25">
      <c r="A2210" s="10" t="s">
        <v>39</v>
      </c>
      <c r="B2210" s="11"/>
      <c r="C2210" s="12"/>
      <c r="D2210" s="8" t="s">
        <v>21</v>
      </c>
      <c r="E2210" s="13" t="s">
        <v>40</v>
      </c>
      <c r="F2210" s="14"/>
      <c r="G2210" s="8" t="s">
        <v>41</v>
      </c>
      <c r="H2210" s="8" t="s">
        <v>42</v>
      </c>
      <c r="I2210" s="8" t="s">
        <v>43</v>
      </c>
      <c r="J2210" s="13" t="s">
        <v>44</v>
      </c>
      <c r="K2210" s="26"/>
      <c r="L2210" s="14"/>
    </row>
    <row r="2211" spans="1:12" ht="15" customHeight="1" x14ac:dyDescent="0.25">
      <c r="A2211" s="15" t="s">
        <v>45</v>
      </c>
      <c r="B2211" s="16"/>
      <c r="C2211" s="16"/>
      <c r="D2211" s="16"/>
      <c r="E2211" s="16"/>
      <c r="F2211" s="16"/>
      <c r="G2211" s="16"/>
      <c r="H2211" s="16"/>
      <c r="I2211" s="16"/>
      <c r="J2211" s="17"/>
      <c r="K2211" s="15">
        <v>0</v>
      </c>
      <c r="L2211" s="17"/>
    </row>
    <row r="2212" spans="1:12" x14ac:dyDescent="0.25">
      <c r="A2212" s="18"/>
      <c r="B2212" s="18"/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</row>
    <row r="2213" spans="1:12" ht="15" customHeight="1" x14ac:dyDescent="0.25">
      <c r="A2213" s="27" t="s">
        <v>46</v>
      </c>
      <c r="B2213" s="27"/>
      <c r="C2213" s="27"/>
      <c r="D2213" s="27"/>
      <c r="E2213" s="27"/>
      <c r="F2213" s="27"/>
      <c r="G2213" s="27"/>
      <c r="H2213" s="27"/>
      <c r="I2213" s="27"/>
      <c r="J2213" s="27"/>
      <c r="K2213" s="27">
        <v>14.79</v>
      </c>
      <c r="L2213" s="27"/>
    </row>
    <row r="2214" spans="1:12" ht="15" customHeight="1" x14ac:dyDescent="0.25">
      <c r="A2214" s="27" t="s">
        <v>47</v>
      </c>
      <c r="B2214" s="27"/>
      <c r="C2214" s="27"/>
      <c r="D2214" s="27"/>
      <c r="E2214" s="27"/>
      <c r="F2214" s="27"/>
      <c r="G2214" s="27"/>
      <c r="H2214" s="27"/>
      <c r="I2214" s="27"/>
      <c r="J2214" s="27"/>
      <c r="K2214" s="27">
        <v>1</v>
      </c>
      <c r="L2214" s="27"/>
    </row>
    <row r="2215" spans="1:12" ht="15" customHeight="1" x14ac:dyDescent="0.25">
      <c r="A2215" s="27" t="s">
        <v>48</v>
      </c>
      <c r="B2215" s="27"/>
      <c r="C2215" s="27"/>
      <c r="D2215" s="27"/>
      <c r="E2215" s="27"/>
      <c r="F2215" s="27"/>
      <c r="G2215" s="27"/>
      <c r="H2215" s="27"/>
      <c r="I2215" s="27"/>
      <c r="J2215" s="27"/>
      <c r="K2215" s="27">
        <v>14.79</v>
      </c>
      <c r="L2215" s="27"/>
    </row>
    <row r="2216" spans="1:12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</row>
    <row r="2217" spans="1:12" ht="15" customHeight="1" x14ac:dyDescent="0.25">
      <c r="A2217" s="10" t="s">
        <v>49</v>
      </c>
      <c r="B2217" s="11"/>
      <c r="C2217" s="11"/>
      <c r="D2217" s="11"/>
      <c r="E2217" s="12"/>
      <c r="F2217" s="8" t="s">
        <v>21</v>
      </c>
      <c r="G2217" s="8" t="s">
        <v>22</v>
      </c>
      <c r="H2217" s="9" t="s">
        <v>44</v>
      </c>
      <c r="I2217" s="13" t="s">
        <v>34</v>
      </c>
      <c r="J2217" s="14"/>
      <c r="K2217" s="13" t="s">
        <v>50</v>
      </c>
      <c r="L2217" s="14"/>
    </row>
    <row r="2218" spans="1:12" ht="15" customHeight="1" x14ac:dyDescent="0.25">
      <c r="A2218" s="21" t="s">
        <v>290</v>
      </c>
      <c r="B2218" s="22"/>
      <c r="C2218" s="22"/>
      <c r="D2218" s="22"/>
      <c r="E2218" s="23"/>
      <c r="F2218" s="19" t="str">
        <f>"037509"</f>
        <v>037509</v>
      </c>
      <c r="G2218" s="19" t="s">
        <v>109</v>
      </c>
      <c r="H2218" s="20">
        <v>105.85</v>
      </c>
      <c r="I2218" s="24">
        <v>0.18</v>
      </c>
      <c r="J2218" s="25"/>
      <c r="K2218" s="24">
        <v>19.05</v>
      </c>
      <c r="L2218" s="25"/>
    </row>
    <row r="2219" spans="1:12" ht="15" customHeight="1" x14ac:dyDescent="0.25">
      <c r="A2219" s="21" t="s">
        <v>291</v>
      </c>
      <c r="B2219" s="22"/>
      <c r="C2219" s="22"/>
      <c r="D2219" s="22"/>
      <c r="E2219" s="23"/>
      <c r="F2219" s="19" t="str">
        <f>"037564"</f>
        <v>037564</v>
      </c>
      <c r="G2219" s="19" t="s">
        <v>109</v>
      </c>
      <c r="H2219" s="20">
        <v>44.36</v>
      </c>
      <c r="I2219" s="24">
        <v>0.02</v>
      </c>
      <c r="J2219" s="25"/>
      <c r="K2219" s="24">
        <v>0.88</v>
      </c>
      <c r="L2219" s="25"/>
    </row>
    <row r="2220" spans="1:12" ht="15" customHeight="1" x14ac:dyDescent="0.25">
      <c r="A2220" s="21" t="s">
        <v>292</v>
      </c>
      <c r="B2220" s="22"/>
      <c r="C2220" s="22"/>
      <c r="D2220" s="22"/>
      <c r="E2220" s="23"/>
      <c r="F2220" s="19" t="str">
        <f>"038021"</f>
        <v>038021</v>
      </c>
      <c r="G2220" s="19" t="s">
        <v>109</v>
      </c>
      <c r="H2220" s="20">
        <v>77.48</v>
      </c>
      <c r="I2220" s="24">
        <v>0.11</v>
      </c>
      <c r="J2220" s="25"/>
      <c r="K2220" s="24">
        <v>8.52</v>
      </c>
      <c r="L2220" s="25"/>
    </row>
    <row r="2221" spans="1:12" ht="15" customHeight="1" x14ac:dyDescent="0.25">
      <c r="A2221" s="21" t="s">
        <v>293</v>
      </c>
      <c r="B2221" s="22"/>
      <c r="C2221" s="22"/>
      <c r="D2221" s="22"/>
      <c r="E2221" s="23"/>
      <c r="F2221" s="19" t="str">
        <f>"038024"</f>
        <v>038024</v>
      </c>
      <c r="G2221" s="19" t="s">
        <v>81</v>
      </c>
      <c r="H2221" s="20">
        <v>7.27</v>
      </c>
      <c r="I2221" s="24">
        <v>0.08</v>
      </c>
      <c r="J2221" s="25"/>
      <c r="K2221" s="24">
        <v>0.57999999999999996</v>
      </c>
      <c r="L2221" s="25"/>
    </row>
    <row r="2222" spans="1:12" ht="15" customHeight="1" x14ac:dyDescent="0.25">
      <c r="A2222" s="15" t="s">
        <v>51</v>
      </c>
      <c r="B2222" s="16"/>
      <c r="C2222" s="16"/>
      <c r="D2222" s="16"/>
      <c r="E2222" s="16"/>
      <c r="F2222" s="16"/>
      <c r="G2222" s="16"/>
      <c r="H2222" s="16"/>
      <c r="I2222" s="16"/>
      <c r="J2222" s="17"/>
      <c r="K2222" s="15">
        <v>29.03</v>
      </c>
      <c r="L2222" s="17"/>
    </row>
    <row r="2223" spans="1:12" x14ac:dyDescent="0.25">
      <c r="A2223" s="18"/>
      <c r="B2223" s="18"/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</row>
    <row r="2224" spans="1:12" ht="15" customHeight="1" x14ac:dyDescent="0.25">
      <c r="A2224" s="10" t="s">
        <v>52</v>
      </c>
      <c r="B2224" s="11"/>
      <c r="C2224" s="11"/>
      <c r="D2224" s="11"/>
      <c r="E2224" s="12"/>
      <c r="F2224" s="8" t="s">
        <v>21</v>
      </c>
      <c r="G2224" s="8" t="s">
        <v>22</v>
      </c>
      <c r="H2224" s="9" t="s">
        <v>44</v>
      </c>
      <c r="I2224" s="13" t="s">
        <v>34</v>
      </c>
      <c r="J2224" s="14"/>
      <c r="K2224" s="13" t="s">
        <v>50</v>
      </c>
      <c r="L2224" s="14"/>
    </row>
    <row r="2225" spans="1:12" ht="15" customHeight="1" x14ac:dyDescent="0.25">
      <c r="A2225" s="15" t="s">
        <v>53</v>
      </c>
      <c r="B2225" s="16"/>
      <c r="C2225" s="16"/>
      <c r="D2225" s="16"/>
      <c r="E2225" s="16"/>
      <c r="F2225" s="16"/>
      <c r="G2225" s="16"/>
      <c r="H2225" s="16"/>
      <c r="I2225" s="16"/>
      <c r="J2225" s="17"/>
      <c r="K2225" s="15">
        <v>0</v>
      </c>
      <c r="L2225" s="17"/>
    </row>
    <row r="2226" spans="1:12" x14ac:dyDescent="0.25">
      <c r="A2226" s="18"/>
      <c r="B2226" s="18"/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</row>
    <row r="2227" spans="1:12" ht="15" customHeight="1" x14ac:dyDescent="0.25">
      <c r="A2227" s="10" t="s">
        <v>54</v>
      </c>
      <c r="B2227" s="11"/>
      <c r="C2227" s="12"/>
      <c r="D2227" s="8" t="s">
        <v>21</v>
      </c>
      <c r="E2227" s="8" t="s">
        <v>22</v>
      </c>
      <c r="F2227" s="9" t="s">
        <v>55</v>
      </c>
      <c r="G2227" s="8" t="s">
        <v>56</v>
      </c>
      <c r="H2227" s="8" t="s">
        <v>57</v>
      </c>
      <c r="I2227" s="8" t="s">
        <v>58</v>
      </c>
      <c r="J2227" s="9" t="s">
        <v>59</v>
      </c>
      <c r="K2227" s="9" t="s">
        <v>34</v>
      </c>
      <c r="L2227" s="9" t="s">
        <v>50</v>
      </c>
    </row>
    <row r="2228" spans="1:12" ht="15" customHeight="1" x14ac:dyDescent="0.25">
      <c r="A2228" s="15" t="s">
        <v>60</v>
      </c>
      <c r="B2228" s="16"/>
      <c r="C2228" s="16"/>
      <c r="D2228" s="16"/>
      <c r="E2228" s="16"/>
      <c r="F2228" s="16"/>
      <c r="G2228" s="16"/>
      <c r="H2228" s="16"/>
      <c r="I2228" s="16"/>
      <c r="J2228" s="17"/>
      <c r="K2228" s="15">
        <v>0</v>
      </c>
      <c r="L2228" s="17"/>
    </row>
    <row r="2229" spans="1:12" x14ac:dyDescent="0.25">
      <c r="A2229" s="18"/>
      <c r="B2229" s="18"/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</row>
    <row r="2230" spans="1:12" ht="15" customHeight="1" x14ac:dyDescent="0.25">
      <c r="A2230" s="27" t="s">
        <v>61</v>
      </c>
      <c r="B2230" s="27"/>
      <c r="C2230" s="27"/>
      <c r="D2230" s="27"/>
      <c r="E2230" s="27"/>
      <c r="F2230" s="27"/>
      <c r="G2230" s="27"/>
      <c r="H2230" s="27"/>
      <c r="I2230" s="27"/>
      <c r="J2230" s="27"/>
      <c r="K2230" s="27">
        <v>43.82</v>
      </c>
      <c r="L2230" s="27"/>
    </row>
    <row r="2231" spans="1:12" ht="15" customHeight="1" x14ac:dyDescent="0.25">
      <c r="A2231" s="27" t="s">
        <v>62</v>
      </c>
      <c r="B2231" s="27"/>
      <c r="C2231" s="27"/>
      <c r="D2231" s="27"/>
      <c r="E2231" s="27"/>
      <c r="F2231" s="27"/>
      <c r="G2231" s="27"/>
      <c r="H2231" s="27"/>
      <c r="I2231" s="27"/>
      <c r="J2231" s="27"/>
      <c r="K2231" s="27">
        <v>14.57</v>
      </c>
      <c r="L2231" s="27"/>
    </row>
    <row r="2232" spans="1:12" ht="15" customHeight="1" x14ac:dyDescent="0.25">
      <c r="A2232" s="27" t="s">
        <v>63</v>
      </c>
      <c r="B2232" s="27"/>
      <c r="C2232" s="27"/>
      <c r="D2232" s="27"/>
      <c r="E2232" s="27"/>
      <c r="F2232" s="27"/>
      <c r="G2232" s="27"/>
      <c r="H2232" s="27"/>
      <c r="I2232" s="27"/>
      <c r="J2232" s="27"/>
      <c r="K2232" s="27">
        <v>58.39</v>
      </c>
      <c r="L2232" s="27"/>
    </row>
    <row r="2233" spans="1:12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</row>
    <row r="2234" spans="1:12" ht="15" customHeight="1" x14ac:dyDescent="0.25">
      <c r="A2234" s="3" t="s">
        <v>8</v>
      </c>
      <c r="B2234" s="6" t="s">
        <v>9</v>
      </c>
      <c r="C2234" s="6"/>
      <c r="D2234" s="6"/>
      <c r="E2234" s="6"/>
      <c r="F2234" s="6"/>
      <c r="G2234" s="6"/>
      <c r="H2234" s="6"/>
      <c r="I2234" s="6"/>
      <c r="J2234" s="6"/>
      <c r="K2234" s="6"/>
      <c r="L2234" s="6"/>
    </row>
    <row r="2235" spans="1:12" ht="15" customHeight="1" x14ac:dyDescent="0.25">
      <c r="A2235" s="3" t="s">
        <v>10</v>
      </c>
      <c r="B2235" s="6" t="s">
        <v>294</v>
      </c>
      <c r="C2235" s="6"/>
      <c r="D2235" s="6"/>
      <c r="E2235" s="6"/>
      <c r="F2235" s="6"/>
      <c r="G2235" s="6"/>
      <c r="H2235" s="6"/>
      <c r="I2235" s="6"/>
      <c r="J2235" s="6"/>
      <c r="K2235" s="3" t="s">
        <v>12</v>
      </c>
      <c r="L2235" s="4" t="s">
        <v>84</v>
      </c>
    </row>
    <row r="2236" spans="1:12" ht="15" customHeight="1" x14ac:dyDescent="0.25">
      <c r="A2236" s="3" t="s">
        <v>14</v>
      </c>
      <c r="B2236" s="6" t="s">
        <v>88</v>
      </c>
      <c r="C2236" s="6"/>
      <c r="D2236" s="7" t="s">
        <v>16</v>
      </c>
      <c r="E2236" s="7"/>
      <c r="F2236" s="6" t="str">
        <f>"37DC.000119"</f>
        <v>37DC.000119</v>
      </c>
      <c r="G2236" s="6"/>
      <c r="H2236" s="3" t="s">
        <v>17</v>
      </c>
      <c r="I2236" s="6" t="s">
        <v>89</v>
      </c>
      <c r="J2236" s="6"/>
      <c r="K2236" s="3" t="s">
        <v>19</v>
      </c>
      <c r="L2236" s="5">
        <v>1</v>
      </c>
    </row>
    <row r="2237" spans="1:12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</row>
    <row r="2238" spans="1:12" ht="15" customHeight="1" x14ac:dyDescent="0.25">
      <c r="A2238" s="10" t="s">
        <v>20</v>
      </c>
      <c r="B2238" s="11"/>
      <c r="C2238" s="12"/>
      <c r="D2238" s="8" t="s">
        <v>21</v>
      </c>
      <c r="E2238" s="8" t="s">
        <v>22</v>
      </c>
      <c r="F2238" s="9" t="s">
        <v>23</v>
      </c>
      <c r="G2238" s="9" t="s">
        <v>24</v>
      </c>
      <c r="H2238" s="9" t="s">
        <v>25</v>
      </c>
      <c r="I2238" s="9" t="s">
        <v>26</v>
      </c>
      <c r="J2238" s="9" t="s">
        <v>27</v>
      </c>
      <c r="K2238" s="13" t="s">
        <v>28</v>
      </c>
      <c r="L2238" s="14"/>
    </row>
    <row r="2239" spans="1:12" ht="15" customHeight="1" x14ac:dyDescent="0.25">
      <c r="A2239" s="15" t="s">
        <v>29</v>
      </c>
      <c r="B2239" s="16"/>
      <c r="C2239" s="16"/>
      <c r="D2239" s="16"/>
      <c r="E2239" s="16"/>
      <c r="F2239" s="16"/>
      <c r="G2239" s="16"/>
      <c r="H2239" s="16"/>
      <c r="I2239" s="16"/>
      <c r="J2239" s="17"/>
      <c r="K2239" s="15">
        <v>0</v>
      </c>
      <c r="L2239" s="17"/>
    </row>
    <row r="2240" spans="1:12" x14ac:dyDescent="0.25">
      <c r="A2240" s="18"/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</row>
    <row r="2241" spans="1:12" ht="15" customHeight="1" x14ac:dyDescent="0.25">
      <c r="A2241" s="10" t="s">
        <v>30</v>
      </c>
      <c r="B2241" s="11"/>
      <c r="C2241" s="12"/>
      <c r="D2241" s="8" t="s">
        <v>21</v>
      </c>
      <c r="E2241" s="8" t="s">
        <v>22</v>
      </c>
      <c r="F2241" s="9" t="s">
        <v>31</v>
      </c>
      <c r="G2241" s="9" t="s">
        <v>32</v>
      </c>
      <c r="H2241" s="9" t="s">
        <v>33</v>
      </c>
      <c r="I2241" s="13" t="s">
        <v>34</v>
      </c>
      <c r="J2241" s="14"/>
      <c r="K2241" s="13" t="s">
        <v>28</v>
      </c>
      <c r="L2241" s="14"/>
    </row>
    <row r="2242" spans="1:12" ht="15" customHeight="1" x14ac:dyDescent="0.25">
      <c r="A2242" s="15" t="s">
        <v>38</v>
      </c>
      <c r="B2242" s="16"/>
      <c r="C2242" s="16"/>
      <c r="D2242" s="16"/>
      <c r="E2242" s="16"/>
      <c r="F2242" s="16"/>
      <c r="G2242" s="16"/>
      <c r="H2242" s="16"/>
      <c r="I2242" s="16"/>
      <c r="J2242" s="17"/>
      <c r="K2242" s="15">
        <v>0</v>
      </c>
      <c r="L2242" s="17"/>
    </row>
    <row r="2243" spans="1:12" x14ac:dyDescent="0.25">
      <c r="A2243" s="18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</row>
    <row r="2244" spans="1:12" ht="15" customHeight="1" x14ac:dyDescent="0.25">
      <c r="A2244" s="10" t="s">
        <v>39</v>
      </c>
      <c r="B2244" s="11"/>
      <c r="C2244" s="12"/>
      <c r="D2244" s="8" t="s">
        <v>21</v>
      </c>
      <c r="E2244" s="13" t="s">
        <v>40</v>
      </c>
      <c r="F2244" s="14"/>
      <c r="G2244" s="8" t="s">
        <v>41</v>
      </c>
      <c r="H2244" s="8" t="s">
        <v>42</v>
      </c>
      <c r="I2244" s="8" t="s">
        <v>43</v>
      </c>
      <c r="J2244" s="13" t="s">
        <v>44</v>
      </c>
      <c r="K2244" s="26"/>
      <c r="L2244" s="14"/>
    </row>
    <row r="2245" spans="1:12" ht="15" customHeight="1" x14ac:dyDescent="0.25">
      <c r="A2245" s="15" t="s">
        <v>45</v>
      </c>
      <c r="B2245" s="16"/>
      <c r="C2245" s="16"/>
      <c r="D2245" s="16"/>
      <c r="E2245" s="16"/>
      <c r="F2245" s="16"/>
      <c r="G2245" s="16"/>
      <c r="H2245" s="16"/>
      <c r="I2245" s="16"/>
      <c r="J2245" s="17"/>
      <c r="K2245" s="15">
        <v>0</v>
      </c>
      <c r="L2245" s="17"/>
    </row>
    <row r="2246" spans="1:12" x14ac:dyDescent="0.25">
      <c r="A2246" s="18"/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</row>
    <row r="2247" spans="1:12" ht="15" customHeight="1" x14ac:dyDescent="0.25">
      <c r="A2247" s="27" t="s">
        <v>46</v>
      </c>
      <c r="B2247" s="27"/>
      <c r="C2247" s="27"/>
      <c r="D2247" s="27"/>
      <c r="E2247" s="27"/>
      <c r="F2247" s="27"/>
      <c r="G2247" s="27"/>
      <c r="H2247" s="27"/>
      <c r="I2247" s="27"/>
      <c r="J2247" s="27"/>
      <c r="K2247" s="27">
        <v>0</v>
      </c>
      <c r="L2247" s="27"/>
    </row>
    <row r="2248" spans="1:12" ht="15" customHeight="1" x14ac:dyDescent="0.25">
      <c r="A2248" s="27" t="s">
        <v>47</v>
      </c>
      <c r="B2248" s="27"/>
      <c r="C2248" s="27"/>
      <c r="D2248" s="27"/>
      <c r="E2248" s="27"/>
      <c r="F2248" s="27"/>
      <c r="G2248" s="27"/>
      <c r="H2248" s="27"/>
      <c r="I2248" s="27"/>
      <c r="J2248" s="27"/>
      <c r="K2248" s="27">
        <v>1</v>
      </c>
      <c r="L2248" s="27"/>
    </row>
    <row r="2249" spans="1:12" ht="15" customHeight="1" x14ac:dyDescent="0.25">
      <c r="A2249" s="27" t="s">
        <v>48</v>
      </c>
      <c r="B2249" s="27"/>
      <c r="C2249" s="27"/>
      <c r="D2249" s="27"/>
      <c r="E2249" s="27"/>
      <c r="F2249" s="27"/>
      <c r="G2249" s="27"/>
      <c r="H2249" s="27"/>
      <c r="I2249" s="27"/>
      <c r="J2249" s="27"/>
      <c r="K2249" s="27">
        <v>0</v>
      </c>
      <c r="L2249" s="27"/>
    </row>
    <row r="2250" spans="1:12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</row>
    <row r="2251" spans="1:12" ht="15" customHeight="1" x14ac:dyDescent="0.25">
      <c r="A2251" s="10" t="s">
        <v>49</v>
      </c>
      <c r="B2251" s="11"/>
      <c r="C2251" s="11"/>
      <c r="D2251" s="11"/>
      <c r="E2251" s="12"/>
      <c r="F2251" s="8" t="s">
        <v>21</v>
      </c>
      <c r="G2251" s="8" t="s">
        <v>22</v>
      </c>
      <c r="H2251" s="9" t="s">
        <v>44</v>
      </c>
      <c r="I2251" s="13" t="s">
        <v>34</v>
      </c>
      <c r="J2251" s="14"/>
      <c r="K2251" s="13" t="s">
        <v>50</v>
      </c>
      <c r="L2251" s="14"/>
    </row>
    <row r="2252" spans="1:12" ht="15" customHeight="1" x14ac:dyDescent="0.25">
      <c r="A2252" s="21" t="s">
        <v>295</v>
      </c>
      <c r="B2252" s="22"/>
      <c r="C2252" s="22"/>
      <c r="D2252" s="22"/>
      <c r="E2252" s="23"/>
      <c r="F2252" s="19" t="str">
        <f>"00004889"</f>
        <v>00004889</v>
      </c>
      <c r="G2252" s="19" t="s">
        <v>81</v>
      </c>
      <c r="H2252" s="20">
        <v>5.81</v>
      </c>
      <c r="I2252" s="24">
        <v>1</v>
      </c>
      <c r="J2252" s="25"/>
      <c r="K2252" s="24">
        <v>5.81</v>
      </c>
      <c r="L2252" s="25"/>
    </row>
    <row r="2253" spans="1:12" ht="15" customHeight="1" x14ac:dyDescent="0.25">
      <c r="A2253" s="21" t="s">
        <v>296</v>
      </c>
      <c r="B2253" s="22"/>
      <c r="C2253" s="22"/>
      <c r="D2253" s="22"/>
      <c r="E2253" s="23"/>
      <c r="F2253" s="19" t="str">
        <f>"064149"</f>
        <v>064149</v>
      </c>
      <c r="G2253" s="19" t="s">
        <v>81</v>
      </c>
      <c r="H2253" s="20">
        <v>98.04</v>
      </c>
      <c r="I2253" s="24">
        <v>1</v>
      </c>
      <c r="J2253" s="25"/>
      <c r="K2253" s="24">
        <v>98.04</v>
      </c>
      <c r="L2253" s="25"/>
    </row>
    <row r="2254" spans="1:12" ht="15" customHeight="1" x14ac:dyDescent="0.25">
      <c r="A2254" s="15" t="s">
        <v>51</v>
      </c>
      <c r="B2254" s="16"/>
      <c r="C2254" s="16"/>
      <c r="D2254" s="16"/>
      <c r="E2254" s="16"/>
      <c r="F2254" s="16"/>
      <c r="G2254" s="16"/>
      <c r="H2254" s="16"/>
      <c r="I2254" s="16"/>
      <c r="J2254" s="17"/>
      <c r="K2254" s="15">
        <v>103.85</v>
      </c>
      <c r="L2254" s="17"/>
    </row>
    <row r="2255" spans="1:12" x14ac:dyDescent="0.25">
      <c r="A2255" s="18"/>
      <c r="B2255" s="18"/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</row>
    <row r="2256" spans="1:12" ht="15" customHeight="1" x14ac:dyDescent="0.25">
      <c r="A2256" s="10" t="s">
        <v>52</v>
      </c>
      <c r="B2256" s="11"/>
      <c r="C2256" s="11"/>
      <c r="D2256" s="11"/>
      <c r="E2256" s="12"/>
      <c r="F2256" s="8" t="s">
        <v>21</v>
      </c>
      <c r="G2256" s="8" t="s">
        <v>22</v>
      </c>
      <c r="H2256" s="9" t="s">
        <v>44</v>
      </c>
      <c r="I2256" s="13" t="s">
        <v>34</v>
      </c>
      <c r="J2256" s="14"/>
      <c r="K2256" s="13" t="s">
        <v>50</v>
      </c>
      <c r="L2256" s="14"/>
    </row>
    <row r="2257" spans="1:12" ht="15" customHeight="1" x14ac:dyDescent="0.25">
      <c r="A2257" s="21" t="s">
        <v>297</v>
      </c>
      <c r="B2257" s="22"/>
      <c r="C2257" s="22"/>
      <c r="D2257" s="22"/>
      <c r="E2257" s="23"/>
      <c r="F2257" s="19" t="s">
        <v>298</v>
      </c>
      <c r="G2257" s="19" t="s">
        <v>84</v>
      </c>
      <c r="H2257" s="20">
        <v>1</v>
      </c>
      <c r="I2257" s="24" t="s">
        <v>164</v>
      </c>
      <c r="J2257" s="25"/>
      <c r="K2257" s="24" t="s">
        <v>164</v>
      </c>
      <c r="L2257" s="25"/>
    </row>
    <row r="2258" spans="1:12" ht="15" customHeight="1" x14ac:dyDescent="0.25">
      <c r="A2258" s="15" t="s">
        <v>53</v>
      </c>
      <c r="B2258" s="16"/>
      <c r="C2258" s="16"/>
      <c r="D2258" s="16"/>
      <c r="E2258" s="16"/>
      <c r="F2258" s="16"/>
      <c r="G2258" s="16"/>
      <c r="H2258" s="16"/>
      <c r="I2258" s="16"/>
      <c r="J2258" s="17"/>
      <c r="K2258" s="15">
        <v>25.89</v>
      </c>
      <c r="L2258" s="17"/>
    </row>
    <row r="2259" spans="1:12" x14ac:dyDescent="0.25">
      <c r="A2259" s="18"/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</row>
    <row r="2260" spans="1:12" ht="15" customHeight="1" x14ac:dyDescent="0.25">
      <c r="A2260" s="10" t="s">
        <v>54</v>
      </c>
      <c r="B2260" s="11"/>
      <c r="C2260" s="12"/>
      <c r="D2260" s="8" t="s">
        <v>21</v>
      </c>
      <c r="E2260" s="8" t="s">
        <v>22</v>
      </c>
      <c r="F2260" s="9" t="s">
        <v>55</v>
      </c>
      <c r="G2260" s="8" t="s">
        <v>56</v>
      </c>
      <c r="H2260" s="8" t="s">
        <v>57</v>
      </c>
      <c r="I2260" s="8" t="s">
        <v>58</v>
      </c>
      <c r="J2260" s="9" t="s">
        <v>59</v>
      </c>
      <c r="K2260" s="9" t="s">
        <v>34</v>
      </c>
      <c r="L2260" s="9" t="s">
        <v>50</v>
      </c>
    </row>
    <row r="2261" spans="1:12" ht="15" customHeight="1" x14ac:dyDescent="0.25">
      <c r="A2261" s="15" t="s">
        <v>60</v>
      </c>
      <c r="B2261" s="16"/>
      <c r="C2261" s="16"/>
      <c r="D2261" s="16"/>
      <c r="E2261" s="16"/>
      <c r="F2261" s="16"/>
      <c r="G2261" s="16"/>
      <c r="H2261" s="16"/>
      <c r="I2261" s="16"/>
      <c r="J2261" s="17"/>
      <c r="K2261" s="15">
        <v>0</v>
      </c>
      <c r="L2261" s="17"/>
    </row>
    <row r="2262" spans="1:12" x14ac:dyDescent="0.25">
      <c r="A2262" s="18"/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</row>
    <row r="2263" spans="1:12" ht="15" customHeight="1" x14ac:dyDescent="0.25">
      <c r="A2263" s="27" t="s">
        <v>61</v>
      </c>
      <c r="B2263" s="27"/>
      <c r="C2263" s="27"/>
      <c r="D2263" s="27"/>
      <c r="E2263" s="27"/>
      <c r="F2263" s="27"/>
      <c r="G2263" s="27"/>
      <c r="H2263" s="27"/>
      <c r="I2263" s="27"/>
      <c r="J2263" s="27"/>
      <c r="K2263" s="27">
        <v>129.74</v>
      </c>
      <c r="L2263" s="27"/>
    </row>
    <row r="2264" spans="1:12" ht="15" customHeight="1" x14ac:dyDescent="0.25">
      <c r="A2264" s="27" t="s">
        <v>62</v>
      </c>
      <c r="B2264" s="27"/>
      <c r="C2264" s="27"/>
      <c r="D2264" s="27"/>
      <c r="E2264" s="27"/>
      <c r="F2264" s="27"/>
      <c r="G2264" s="27"/>
      <c r="H2264" s="27"/>
      <c r="I2264" s="27"/>
      <c r="J2264" s="27"/>
      <c r="K2264" s="27">
        <v>43.14</v>
      </c>
      <c r="L2264" s="27"/>
    </row>
    <row r="2265" spans="1:12" ht="15" customHeight="1" x14ac:dyDescent="0.25">
      <c r="A2265" s="27" t="s">
        <v>63</v>
      </c>
      <c r="B2265" s="27"/>
      <c r="C2265" s="27"/>
      <c r="D2265" s="27"/>
      <c r="E2265" s="27"/>
      <c r="F2265" s="27"/>
      <c r="G2265" s="27"/>
      <c r="H2265" s="27"/>
      <c r="I2265" s="27"/>
      <c r="J2265" s="27"/>
      <c r="K2265" s="27">
        <v>172.88</v>
      </c>
      <c r="L2265" s="27"/>
    </row>
    <row r="2266" spans="1:12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</row>
    <row r="2267" spans="1:12" ht="15" customHeight="1" x14ac:dyDescent="0.25">
      <c r="A2267" s="3" t="s">
        <v>8</v>
      </c>
      <c r="B2267" s="6" t="s">
        <v>9</v>
      </c>
      <c r="C2267" s="6"/>
      <c r="D2267" s="6"/>
      <c r="E2267" s="6"/>
      <c r="F2267" s="6"/>
      <c r="G2267" s="6"/>
      <c r="H2267" s="6"/>
      <c r="I2267" s="6"/>
      <c r="J2267" s="6"/>
      <c r="K2267" s="6"/>
      <c r="L2267" s="6"/>
    </row>
    <row r="2268" spans="1:12" ht="30" customHeight="1" x14ac:dyDescent="0.25">
      <c r="A2268" s="3" t="s">
        <v>10</v>
      </c>
      <c r="B2268" s="6" t="s">
        <v>299</v>
      </c>
      <c r="C2268" s="6"/>
      <c r="D2268" s="6"/>
      <c r="E2268" s="6"/>
      <c r="F2268" s="6"/>
      <c r="G2268" s="6"/>
      <c r="H2268" s="6"/>
      <c r="I2268" s="6"/>
      <c r="J2268" s="6"/>
      <c r="K2268" s="3" t="s">
        <v>12</v>
      </c>
      <c r="L2268" s="4" t="s">
        <v>84</v>
      </c>
    </row>
    <row r="2269" spans="1:12" ht="15" customHeight="1" x14ac:dyDescent="0.25">
      <c r="A2269" s="3" t="s">
        <v>14</v>
      </c>
      <c r="B2269" s="6" t="s">
        <v>88</v>
      </c>
      <c r="C2269" s="6"/>
      <c r="D2269" s="7" t="s">
        <v>16</v>
      </c>
      <c r="E2269" s="7"/>
      <c r="F2269" s="6" t="str">
        <f>"37DC.000120"</f>
        <v>37DC.000120</v>
      </c>
      <c r="G2269" s="6"/>
      <c r="H2269" s="3" t="s">
        <v>17</v>
      </c>
      <c r="I2269" s="6" t="s">
        <v>89</v>
      </c>
      <c r="J2269" s="6"/>
      <c r="K2269" s="3" t="s">
        <v>19</v>
      </c>
      <c r="L2269" s="5">
        <v>1</v>
      </c>
    </row>
    <row r="2270" spans="1:12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</row>
    <row r="2271" spans="1:12" ht="15" customHeight="1" x14ac:dyDescent="0.25">
      <c r="A2271" s="10" t="s">
        <v>20</v>
      </c>
      <c r="B2271" s="11"/>
      <c r="C2271" s="12"/>
      <c r="D2271" s="8" t="s">
        <v>21</v>
      </c>
      <c r="E2271" s="8" t="s">
        <v>22</v>
      </c>
      <c r="F2271" s="9" t="s">
        <v>23</v>
      </c>
      <c r="G2271" s="9" t="s">
        <v>24</v>
      </c>
      <c r="H2271" s="9" t="s">
        <v>25</v>
      </c>
      <c r="I2271" s="9" t="s">
        <v>26</v>
      </c>
      <c r="J2271" s="9" t="s">
        <v>27</v>
      </c>
      <c r="K2271" s="13" t="s">
        <v>28</v>
      </c>
      <c r="L2271" s="14"/>
    </row>
    <row r="2272" spans="1:12" ht="15" customHeight="1" x14ac:dyDescent="0.25">
      <c r="A2272" s="15" t="s">
        <v>29</v>
      </c>
      <c r="B2272" s="16"/>
      <c r="C2272" s="16"/>
      <c r="D2272" s="16"/>
      <c r="E2272" s="16"/>
      <c r="F2272" s="16"/>
      <c r="G2272" s="16"/>
      <c r="H2272" s="16"/>
      <c r="I2272" s="16"/>
      <c r="J2272" s="17"/>
      <c r="K2272" s="15">
        <v>0</v>
      </c>
      <c r="L2272" s="17"/>
    </row>
    <row r="2273" spans="1:12" x14ac:dyDescent="0.25">
      <c r="A2273" s="18"/>
      <c r="B2273" s="18"/>
      <c r="C2273" s="18"/>
      <c r="D2273" s="18"/>
      <c r="E2273" s="18"/>
      <c r="F2273" s="18"/>
      <c r="G2273" s="18"/>
      <c r="H2273" s="18"/>
      <c r="I2273" s="18"/>
      <c r="J2273" s="18"/>
      <c r="K2273" s="18"/>
      <c r="L2273" s="18"/>
    </row>
    <row r="2274" spans="1:12" ht="15" customHeight="1" x14ac:dyDescent="0.25">
      <c r="A2274" s="10" t="s">
        <v>30</v>
      </c>
      <c r="B2274" s="11"/>
      <c r="C2274" s="12"/>
      <c r="D2274" s="8" t="s">
        <v>21</v>
      </c>
      <c r="E2274" s="8" t="s">
        <v>22</v>
      </c>
      <c r="F2274" s="9" t="s">
        <v>31</v>
      </c>
      <c r="G2274" s="9" t="s">
        <v>32</v>
      </c>
      <c r="H2274" s="9" t="s">
        <v>33</v>
      </c>
      <c r="I2274" s="13" t="s">
        <v>34</v>
      </c>
      <c r="J2274" s="14"/>
      <c r="K2274" s="13" t="s">
        <v>28</v>
      </c>
      <c r="L2274" s="14"/>
    </row>
    <row r="2275" spans="1:12" ht="15" customHeight="1" x14ac:dyDescent="0.25">
      <c r="A2275" s="15" t="s">
        <v>38</v>
      </c>
      <c r="B2275" s="16"/>
      <c r="C2275" s="16"/>
      <c r="D2275" s="16"/>
      <c r="E2275" s="16"/>
      <c r="F2275" s="16"/>
      <c r="G2275" s="16"/>
      <c r="H2275" s="16"/>
      <c r="I2275" s="16"/>
      <c r="J2275" s="17"/>
      <c r="K2275" s="15">
        <v>0</v>
      </c>
      <c r="L2275" s="17"/>
    </row>
    <row r="2276" spans="1:12" x14ac:dyDescent="0.25">
      <c r="A2276" s="18"/>
      <c r="B2276" s="18"/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</row>
    <row r="2277" spans="1:12" ht="15" customHeight="1" x14ac:dyDescent="0.25">
      <c r="A2277" s="10" t="s">
        <v>39</v>
      </c>
      <c r="B2277" s="11"/>
      <c r="C2277" s="12"/>
      <c r="D2277" s="8" t="s">
        <v>21</v>
      </c>
      <c r="E2277" s="13" t="s">
        <v>40</v>
      </c>
      <c r="F2277" s="14"/>
      <c r="G2277" s="8" t="s">
        <v>41</v>
      </c>
      <c r="H2277" s="8" t="s">
        <v>42</v>
      </c>
      <c r="I2277" s="8" t="s">
        <v>43</v>
      </c>
      <c r="J2277" s="13" t="s">
        <v>44</v>
      </c>
      <c r="K2277" s="26"/>
      <c r="L2277" s="14"/>
    </row>
    <row r="2278" spans="1:12" ht="15" customHeight="1" x14ac:dyDescent="0.25">
      <c r="A2278" s="15" t="s">
        <v>45</v>
      </c>
      <c r="B2278" s="16"/>
      <c r="C2278" s="16"/>
      <c r="D2278" s="16"/>
      <c r="E2278" s="16"/>
      <c r="F2278" s="16"/>
      <c r="G2278" s="16"/>
      <c r="H2278" s="16"/>
      <c r="I2278" s="16"/>
      <c r="J2278" s="17"/>
      <c r="K2278" s="15">
        <v>0</v>
      </c>
      <c r="L2278" s="17"/>
    </row>
    <row r="2279" spans="1:12" x14ac:dyDescent="0.25">
      <c r="A2279" s="18"/>
      <c r="B2279" s="18"/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</row>
    <row r="2280" spans="1:12" ht="15" customHeight="1" x14ac:dyDescent="0.25">
      <c r="A2280" s="27" t="s">
        <v>46</v>
      </c>
      <c r="B2280" s="27"/>
      <c r="C2280" s="27"/>
      <c r="D2280" s="27"/>
      <c r="E2280" s="27"/>
      <c r="F2280" s="27"/>
      <c r="G2280" s="27"/>
      <c r="H2280" s="27"/>
      <c r="I2280" s="27"/>
      <c r="J2280" s="27"/>
      <c r="K2280" s="27">
        <v>0</v>
      </c>
      <c r="L2280" s="27"/>
    </row>
    <row r="2281" spans="1:12" ht="15" customHeight="1" x14ac:dyDescent="0.25">
      <c r="A2281" s="27" t="s">
        <v>47</v>
      </c>
      <c r="B2281" s="27"/>
      <c r="C2281" s="27"/>
      <c r="D2281" s="27"/>
      <c r="E2281" s="27"/>
      <c r="F2281" s="27"/>
      <c r="G2281" s="27"/>
      <c r="H2281" s="27"/>
      <c r="I2281" s="27"/>
      <c r="J2281" s="27"/>
      <c r="K2281" s="27">
        <v>1</v>
      </c>
      <c r="L2281" s="27"/>
    </row>
    <row r="2282" spans="1:12" ht="15" customHeight="1" x14ac:dyDescent="0.25">
      <c r="A2282" s="27" t="s">
        <v>48</v>
      </c>
      <c r="B2282" s="27"/>
      <c r="C2282" s="27"/>
      <c r="D2282" s="27"/>
      <c r="E2282" s="27"/>
      <c r="F2282" s="27"/>
      <c r="G2282" s="27"/>
      <c r="H2282" s="27"/>
      <c r="I2282" s="27"/>
      <c r="J2282" s="27"/>
      <c r="K2282" s="27">
        <v>0</v>
      </c>
      <c r="L2282" s="27"/>
    </row>
    <row r="2283" spans="1:12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</row>
    <row r="2284" spans="1:12" ht="15" customHeight="1" x14ac:dyDescent="0.25">
      <c r="A2284" s="10" t="s">
        <v>49</v>
      </c>
      <c r="B2284" s="11"/>
      <c r="C2284" s="11"/>
      <c r="D2284" s="11"/>
      <c r="E2284" s="12"/>
      <c r="F2284" s="8" t="s">
        <v>21</v>
      </c>
      <c r="G2284" s="8" t="s">
        <v>22</v>
      </c>
      <c r="H2284" s="9" t="s">
        <v>44</v>
      </c>
      <c r="I2284" s="13" t="s">
        <v>34</v>
      </c>
      <c r="J2284" s="14"/>
      <c r="K2284" s="13" t="s">
        <v>50</v>
      </c>
      <c r="L2284" s="14"/>
    </row>
    <row r="2285" spans="1:12" ht="15" customHeight="1" x14ac:dyDescent="0.25">
      <c r="A2285" s="21" t="s">
        <v>300</v>
      </c>
      <c r="B2285" s="22"/>
      <c r="C2285" s="22"/>
      <c r="D2285" s="22"/>
      <c r="E2285" s="23"/>
      <c r="F2285" s="19" t="str">
        <f>"00003456"</f>
        <v>00003456</v>
      </c>
      <c r="G2285" s="19" t="s">
        <v>81</v>
      </c>
      <c r="H2285" s="20">
        <v>10.81</v>
      </c>
      <c r="I2285" s="24">
        <v>2</v>
      </c>
      <c r="J2285" s="25"/>
      <c r="K2285" s="24">
        <v>21.62</v>
      </c>
      <c r="L2285" s="25"/>
    </row>
    <row r="2286" spans="1:12" ht="15" customHeight="1" x14ac:dyDescent="0.25">
      <c r="A2286" s="21" t="s">
        <v>301</v>
      </c>
      <c r="B2286" s="22"/>
      <c r="C2286" s="22"/>
      <c r="D2286" s="22"/>
      <c r="E2286" s="23"/>
      <c r="F2286" s="19" t="str">
        <f>"00004342"</f>
        <v>00004342</v>
      </c>
      <c r="G2286" s="19" t="s">
        <v>81</v>
      </c>
      <c r="H2286" s="20">
        <v>0.22</v>
      </c>
      <c r="I2286" s="24">
        <v>4</v>
      </c>
      <c r="J2286" s="25"/>
      <c r="K2286" s="24">
        <v>0.88</v>
      </c>
      <c r="L2286" s="25"/>
    </row>
    <row r="2287" spans="1:12" ht="15" customHeight="1" x14ac:dyDescent="0.25">
      <c r="A2287" s="21" t="s">
        <v>302</v>
      </c>
      <c r="B2287" s="22"/>
      <c r="C2287" s="22"/>
      <c r="D2287" s="22"/>
      <c r="E2287" s="23"/>
      <c r="F2287" s="19" t="str">
        <f>"00012734"</f>
        <v>00012734</v>
      </c>
      <c r="G2287" s="19" t="s">
        <v>81</v>
      </c>
      <c r="H2287" s="20">
        <v>15.89</v>
      </c>
      <c r="I2287" s="24">
        <v>1</v>
      </c>
      <c r="J2287" s="25"/>
      <c r="K2287" s="24">
        <v>15.89</v>
      </c>
      <c r="L2287" s="25"/>
    </row>
    <row r="2288" spans="1:12" ht="15" customHeight="1" x14ac:dyDescent="0.25">
      <c r="A2288" s="21" t="s">
        <v>303</v>
      </c>
      <c r="B2288" s="22"/>
      <c r="C2288" s="22"/>
      <c r="D2288" s="22"/>
      <c r="E2288" s="23"/>
      <c r="F2288" s="19" t="str">
        <f>"00034723"</f>
        <v>00034723</v>
      </c>
      <c r="G2288" s="19" t="s">
        <v>157</v>
      </c>
      <c r="H2288" s="20">
        <v>924</v>
      </c>
      <c r="I2288" s="24">
        <v>7.0000000000000001E-3</v>
      </c>
      <c r="J2288" s="25"/>
      <c r="K2288" s="24">
        <v>6.46</v>
      </c>
      <c r="L2288" s="25"/>
    </row>
    <row r="2289" spans="1:12" ht="30" customHeight="1" x14ac:dyDescent="0.25">
      <c r="A2289" s="21" t="s">
        <v>304</v>
      </c>
      <c r="B2289" s="22"/>
      <c r="C2289" s="22"/>
      <c r="D2289" s="22"/>
      <c r="E2289" s="23"/>
      <c r="F2289" s="19" t="str">
        <f>"00039664"</f>
        <v>00039664</v>
      </c>
      <c r="G2289" s="19" t="s">
        <v>99</v>
      </c>
      <c r="H2289" s="20">
        <v>31.7</v>
      </c>
      <c r="I2289" s="24">
        <v>0.5</v>
      </c>
      <c r="J2289" s="25"/>
      <c r="K2289" s="24">
        <v>15.85</v>
      </c>
      <c r="L2289" s="25"/>
    </row>
    <row r="2290" spans="1:12" ht="15" customHeight="1" x14ac:dyDescent="0.25">
      <c r="A2290" s="21" t="s">
        <v>305</v>
      </c>
      <c r="B2290" s="22"/>
      <c r="C2290" s="22"/>
      <c r="D2290" s="22"/>
      <c r="E2290" s="23"/>
      <c r="F2290" s="19" t="str">
        <f>"00039864"</f>
        <v>00039864</v>
      </c>
      <c r="G2290" s="19" t="s">
        <v>81</v>
      </c>
      <c r="H2290" s="20">
        <v>18.55</v>
      </c>
      <c r="I2290" s="24">
        <v>2</v>
      </c>
      <c r="J2290" s="25"/>
      <c r="K2290" s="24">
        <v>37.1</v>
      </c>
      <c r="L2290" s="25"/>
    </row>
    <row r="2291" spans="1:12" ht="15" customHeight="1" x14ac:dyDescent="0.25">
      <c r="A2291" s="21" t="s">
        <v>306</v>
      </c>
      <c r="B2291" s="22"/>
      <c r="C2291" s="22"/>
      <c r="D2291" s="22"/>
      <c r="E2291" s="23"/>
      <c r="F2291" s="19" t="str">
        <f>"00040359"</f>
        <v>00040359</v>
      </c>
      <c r="G2291" s="19" t="s">
        <v>81</v>
      </c>
      <c r="H2291" s="20">
        <v>13.39</v>
      </c>
      <c r="I2291" s="24">
        <v>2</v>
      </c>
      <c r="J2291" s="25"/>
      <c r="K2291" s="24">
        <v>26.78</v>
      </c>
      <c r="L2291" s="25"/>
    </row>
    <row r="2292" spans="1:12" ht="15" customHeight="1" x14ac:dyDescent="0.25">
      <c r="A2292" s="21" t="s">
        <v>307</v>
      </c>
      <c r="B2292" s="22"/>
      <c r="C2292" s="22"/>
      <c r="D2292" s="22"/>
      <c r="E2292" s="23"/>
      <c r="F2292" s="19" t="str">
        <f>"060475"</f>
        <v>060475</v>
      </c>
      <c r="G2292" s="19" t="s">
        <v>81</v>
      </c>
      <c r="H2292" s="20">
        <v>76.23</v>
      </c>
      <c r="I2292" s="24">
        <v>2</v>
      </c>
      <c r="J2292" s="25"/>
      <c r="K2292" s="24">
        <v>152.46</v>
      </c>
      <c r="L2292" s="25"/>
    </row>
    <row r="2293" spans="1:12" ht="15" customHeight="1" x14ac:dyDescent="0.25">
      <c r="A2293" s="21" t="s">
        <v>308</v>
      </c>
      <c r="B2293" s="22"/>
      <c r="C2293" s="22"/>
      <c r="D2293" s="22"/>
      <c r="E2293" s="23"/>
      <c r="F2293" s="19" t="str">
        <f>"063101"</f>
        <v>063101</v>
      </c>
      <c r="G2293" s="19" t="s">
        <v>99</v>
      </c>
      <c r="H2293" s="20">
        <v>85.6</v>
      </c>
      <c r="I2293" s="24">
        <v>1.5</v>
      </c>
      <c r="J2293" s="25"/>
      <c r="K2293" s="24">
        <v>128.4</v>
      </c>
      <c r="L2293" s="25"/>
    </row>
    <row r="2294" spans="1:12" ht="15" customHeight="1" x14ac:dyDescent="0.25">
      <c r="A2294" s="21" t="s">
        <v>309</v>
      </c>
      <c r="B2294" s="22"/>
      <c r="C2294" s="22"/>
      <c r="D2294" s="22"/>
      <c r="E2294" s="23"/>
      <c r="F2294" s="19" t="str">
        <f>"071563"</f>
        <v>071563</v>
      </c>
      <c r="G2294" s="19" t="s">
        <v>81</v>
      </c>
      <c r="H2294" s="20">
        <v>9.51</v>
      </c>
      <c r="I2294" s="24">
        <v>2</v>
      </c>
      <c r="J2294" s="25"/>
      <c r="K2294" s="24">
        <v>19.02</v>
      </c>
      <c r="L2294" s="25"/>
    </row>
    <row r="2295" spans="1:12" ht="15" customHeight="1" x14ac:dyDescent="0.25">
      <c r="A2295" s="15" t="s">
        <v>51</v>
      </c>
      <c r="B2295" s="16"/>
      <c r="C2295" s="16"/>
      <c r="D2295" s="16"/>
      <c r="E2295" s="16"/>
      <c r="F2295" s="16"/>
      <c r="G2295" s="16"/>
      <c r="H2295" s="16"/>
      <c r="I2295" s="16"/>
      <c r="J2295" s="17"/>
      <c r="K2295" s="15">
        <v>424.46</v>
      </c>
      <c r="L2295" s="17"/>
    </row>
    <row r="2296" spans="1:12" x14ac:dyDescent="0.25">
      <c r="A2296" s="18"/>
      <c r="B2296" s="18"/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</row>
    <row r="2297" spans="1:12" ht="15" customHeight="1" x14ac:dyDescent="0.25">
      <c r="A2297" s="10" t="s">
        <v>52</v>
      </c>
      <c r="B2297" s="11"/>
      <c r="C2297" s="11"/>
      <c r="D2297" s="11"/>
      <c r="E2297" s="12"/>
      <c r="F2297" s="8" t="s">
        <v>21</v>
      </c>
      <c r="G2297" s="8" t="s">
        <v>22</v>
      </c>
      <c r="H2297" s="9" t="s">
        <v>44</v>
      </c>
      <c r="I2297" s="13" t="s">
        <v>34</v>
      </c>
      <c r="J2297" s="14"/>
      <c r="K2297" s="13" t="s">
        <v>50</v>
      </c>
      <c r="L2297" s="14"/>
    </row>
    <row r="2298" spans="1:12" ht="45" customHeight="1" x14ac:dyDescent="0.25">
      <c r="A2298" s="21" t="s">
        <v>310</v>
      </c>
      <c r="B2298" s="22"/>
      <c r="C2298" s="22"/>
      <c r="D2298" s="22"/>
      <c r="E2298" s="23"/>
      <c r="F2298" s="19" t="s">
        <v>311</v>
      </c>
      <c r="G2298" s="19" t="s">
        <v>13</v>
      </c>
      <c r="H2298" s="20">
        <v>2.0499999999999998</v>
      </c>
      <c r="I2298" s="24">
        <v>91.07</v>
      </c>
      <c r="J2298" s="25"/>
      <c r="K2298" s="24">
        <v>186.69</v>
      </c>
      <c r="L2298" s="25"/>
    </row>
    <row r="2299" spans="1:12" ht="30" customHeight="1" x14ac:dyDescent="0.25">
      <c r="A2299" s="21" t="s">
        <v>312</v>
      </c>
      <c r="B2299" s="22"/>
      <c r="C2299" s="22"/>
      <c r="D2299" s="22"/>
      <c r="E2299" s="23"/>
      <c r="F2299" s="19" t="s">
        <v>313</v>
      </c>
      <c r="G2299" s="19" t="s">
        <v>13</v>
      </c>
      <c r="H2299" s="20">
        <v>0.6</v>
      </c>
      <c r="I2299" s="24">
        <v>908.9</v>
      </c>
      <c r="J2299" s="25"/>
      <c r="K2299" s="24">
        <v>545.34</v>
      </c>
      <c r="L2299" s="25"/>
    </row>
    <row r="2300" spans="1:12" ht="15" customHeight="1" x14ac:dyDescent="0.25">
      <c r="A2300" s="21" t="s">
        <v>245</v>
      </c>
      <c r="B2300" s="22"/>
      <c r="C2300" s="22"/>
      <c r="D2300" s="22"/>
      <c r="E2300" s="23"/>
      <c r="F2300" s="19" t="s">
        <v>246</v>
      </c>
      <c r="G2300" s="19" t="s">
        <v>13</v>
      </c>
      <c r="H2300" s="20">
        <v>3.5150000000000001</v>
      </c>
      <c r="I2300" s="24">
        <v>7.9</v>
      </c>
      <c r="J2300" s="25"/>
      <c r="K2300" s="24">
        <v>27.76</v>
      </c>
      <c r="L2300" s="25"/>
    </row>
    <row r="2301" spans="1:12" ht="30" customHeight="1" x14ac:dyDescent="0.25">
      <c r="A2301" s="21" t="s">
        <v>314</v>
      </c>
      <c r="B2301" s="22"/>
      <c r="C2301" s="22"/>
      <c r="D2301" s="22"/>
      <c r="E2301" s="23"/>
      <c r="F2301" s="19" t="s">
        <v>315</v>
      </c>
      <c r="G2301" s="19" t="s">
        <v>13</v>
      </c>
      <c r="H2301" s="20">
        <v>3.5150000000000001</v>
      </c>
      <c r="I2301" s="24">
        <v>66.06</v>
      </c>
      <c r="J2301" s="25"/>
      <c r="K2301" s="24">
        <v>232.2</v>
      </c>
      <c r="L2301" s="25"/>
    </row>
    <row r="2302" spans="1:12" ht="15" customHeight="1" x14ac:dyDescent="0.25">
      <c r="A2302" s="21" t="s">
        <v>316</v>
      </c>
      <c r="B2302" s="22"/>
      <c r="C2302" s="22"/>
      <c r="D2302" s="22"/>
      <c r="E2302" s="23"/>
      <c r="F2302" s="19" t="s">
        <v>317</v>
      </c>
      <c r="G2302" s="19" t="s">
        <v>84</v>
      </c>
      <c r="H2302" s="20">
        <v>1</v>
      </c>
      <c r="I2302" s="24">
        <v>102.41</v>
      </c>
      <c r="J2302" s="25"/>
      <c r="K2302" s="24">
        <v>102.41</v>
      </c>
      <c r="L2302" s="25"/>
    </row>
    <row r="2303" spans="1:12" ht="45" customHeight="1" x14ac:dyDescent="0.25">
      <c r="A2303" s="21" t="s">
        <v>318</v>
      </c>
      <c r="B2303" s="22"/>
      <c r="C2303" s="22"/>
      <c r="D2303" s="22"/>
      <c r="E2303" s="23"/>
      <c r="F2303" s="19" t="s">
        <v>319</v>
      </c>
      <c r="G2303" s="19" t="s">
        <v>13</v>
      </c>
      <c r="H2303" s="20">
        <v>3.5150000000000001</v>
      </c>
      <c r="I2303" s="24">
        <v>29.44</v>
      </c>
      <c r="J2303" s="25"/>
      <c r="K2303" s="24">
        <v>103.48</v>
      </c>
      <c r="L2303" s="25"/>
    </row>
    <row r="2304" spans="1:12" ht="15" customHeight="1" x14ac:dyDescent="0.25">
      <c r="A2304" s="21" t="s">
        <v>320</v>
      </c>
      <c r="B2304" s="22"/>
      <c r="C2304" s="22"/>
      <c r="D2304" s="22"/>
      <c r="E2304" s="23"/>
      <c r="F2304" s="19" t="s">
        <v>321</v>
      </c>
      <c r="G2304" s="19" t="s">
        <v>84</v>
      </c>
      <c r="H2304" s="20">
        <v>11</v>
      </c>
      <c r="I2304" s="24" t="s">
        <v>164</v>
      </c>
      <c r="J2304" s="25"/>
      <c r="K2304" s="24" t="s">
        <v>164</v>
      </c>
      <c r="L2304" s="25"/>
    </row>
    <row r="2305" spans="1:12" ht="30" customHeight="1" x14ac:dyDescent="0.25">
      <c r="A2305" s="21" t="s">
        <v>322</v>
      </c>
      <c r="B2305" s="22"/>
      <c r="C2305" s="22"/>
      <c r="D2305" s="22"/>
      <c r="E2305" s="23"/>
      <c r="F2305" s="19" t="s">
        <v>323</v>
      </c>
      <c r="G2305" s="19" t="s">
        <v>87</v>
      </c>
      <c r="H2305" s="20">
        <v>2</v>
      </c>
      <c r="I2305" s="24" t="s">
        <v>164</v>
      </c>
      <c r="J2305" s="25"/>
      <c r="K2305" s="24" t="s">
        <v>164</v>
      </c>
      <c r="L2305" s="25"/>
    </row>
    <row r="2306" spans="1:12" ht="30" customHeight="1" x14ac:dyDescent="0.25">
      <c r="A2306" s="21" t="s">
        <v>324</v>
      </c>
      <c r="B2306" s="22"/>
      <c r="C2306" s="22"/>
      <c r="D2306" s="22"/>
      <c r="E2306" s="23"/>
      <c r="F2306" s="19" t="s">
        <v>325</v>
      </c>
      <c r="G2306" s="19" t="s">
        <v>84</v>
      </c>
      <c r="H2306" s="20">
        <v>2</v>
      </c>
      <c r="I2306" s="24" t="s">
        <v>164</v>
      </c>
      <c r="J2306" s="25"/>
      <c r="K2306" s="24" t="s">
        <v>164</v>
      </c>
      <c r="L2306" s="25"/>
    </row>
    <row r="2307" spans="1:12" ht="15" customHeight="1" x14ac:dyDescent="0.25">
      <c r="A2307" s="15" t="s">
        <v>53</v>
      </c>
      <c r="B2307" s="16"/>
      <c r="C2307" s="16"/>
      <c r="D2307" s="16"/>
      <c r="E2307" s="16"/>
      <c r="F2307" s="16"/>
      <c r="G2307" s="16"/>
      <c r="H2307" s="16"/>
      <c r="I2307" s="16"/>
      <c r="J2307" s="17"/>
      <c r="K2307" s="31">
        <v>1594.97</v>
      </c>
      <c r="L2307" s="32"/>
    </row>
    <row r="2308" spans="1:12" x14ac:dyDescent="0.25">
      <c r="A2308" s="18"/>
      <c r="B2308" s="18"/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</row>
    <row r="2309" spans="1:12" ht="15" customHeight="1" x14ac:dyDescent="0.25">
      <c r="A2309" s="10" t="s">
        <v>54</v>
      </c>
      <c r="B2309" s="11"/>
      <c r="C2309" s="12"/>
      <c r="D2309" s="8" t="s">
        <v>21</v>
      </c>
      <c r="E2309" s="8" t="s">
        <v>22</v>
      </c>
      <c r="F2309" s="9" t="s">
        <v>55</v>
      </c>
      <c r="G2309" s="8" t="s">
        <v>56</v>
      </c>
      <c r="H2309" s="8" t="s">
        <v>57</v>
      </c>
      <c r="I2309" s="8" t="s">
        <v>58</v>
      </c>
      <c r="J2309" s="9" t="s">
        <v>59</v>
      </c>
      <c r="K2309" s="9" t="s">
        <v>34</v>
      </c>
      <c r="L2309" s="9" t="s">
        <v>50</v>
      </c>
    </row>
    <row r="2310" spans="1:12" ht="15" customHeight="1" x14ac:dyDescent="0.25">
      <c r="A2310" s="15" t="s">
        <v>60</v>
      </c>
      <c r="B2310" s="16"/>
      <c r="C2310" s="16"/>
      <c r="D2310" s="16"/>
      <c r="E2310" s="16"/>
      <c r="F2310" s="16"/>
      <c r="G2310" s="16"/>
      <c r="H2310" s="16"/>
      <c r="I2310" s="16"/>
      <c r="J2310" s="17"/>
      <c r="K2310" s="15">
        <v>0</v>
      </c>
      <c r="L2310" s="17"/>
    </row>
    <row r="2311" spans="1:12" x14ac:dyDescent="0.25">
      <c r="A2311" s="18"/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</row>
    <row r="2312" spans="1:12" ht="15" customHeight="1" x14ac:dyDescent="0.25">
      <c r="A2312" s="27" t="s">
        <v>61</v>
      </c>
      <c r="B2312" s="27"/>
      <c r="C2312" s="27"/>
      <c r="D2312" s="27"/>
      <c r="E2312" s="27"/>
      <c r="F2312" s="27"/>
      <c r="G2312" s="27"/>
      <c r="H2312" s="27"/>
      <c r="I2312" s="27"/>
      <c r="J2312" s="27"/>
      <c r="K2312" s="28">
        <v>2019.43</v>
      </c>
      <c r="L2312" s="28"/>
    </row>
    <row r="2313" spans="1:12" ht="15" customHeight="1" x14ac:dyDescent="0.25">
      <c r="A2313" s="27" t="s">
        <v>62</v>
      </c>
      <c r="B2313" s="27"/>
      <c r="C2313" s="27"/>
      <c r="D2313" s="27"/>
      <c r="E2313" s="27"/>
      <c r="F2313" s="27"/>
      <c r="G2313" s="27"/>
      <c r="H2313" s="27"/>
      <c r="I2313" s="27"/>
      <c r="J2313" s="27"/>
      <c r="K2313" s="27">
        <v>671.46</v>
      </c>
      <c r="L2313" s="27"/>
    </row>
    <row r="2314" spans="1:12" ht="15" customHeight="1" x14ac:dyDescent="0.25">
      <c r="A2314" s="27" t="s">
        <v>63</v>
      </c>
      <c r="B2314" s="27"/>
      <c r="C2314" s="27"/>
      <c r="D2314" s="27"/>
      <c r="E2314" s="27"/>
      <c r="F2314" s="27"/>
      <c r="G2314" s="27"/>
      <c r="H2314" s="27"/>
      <c r="I2314" s="27"/>
      <c r="J2314" s="27"/>
      <c r="K2314" s="28">
        <v>2690.89</v>
      </c>
      <c r="L2314" s="28"/>
    </row>
    <row r="2315" spans="1:12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</row>
    <row r="2316" spans="1:12" ht="15" customHeight="1" x14ac:dyDescent="0.25">
      <c r="A2316" s="3" t="s">
        <v>8</v>
      </c>
      <c r="B2316" s="6" t="s">
        <v>9</v>
      </c>
      <c r="C2316" s="6"/>
      <c r="D2316" s="6"/>
      <c r="E2316" s="6"/>
      <c r="F2316" s="6"/>
      <c r="G2316" s="6"/>
      <c r="H2316" s="6"/>
      <c r="I2316" s="6"/>
      <c r="J2316" s="6"/>
      <c r="K2316" s="6"/>
      <c r="L2316" s="6"/>
    </row>
    <row r="2317" spans="1:12" ht="15" customHeight="1" x14ac:dyDescent="0.25">
      <c r="A2317" s="3" t="s">
        <v>10</v>
      </c>
      <c r="B2317" s="6" t="s">
        <v>326</v>
      </c>
      <c r="C2317" s="6"/>
      <c r="D2317" s="6"/>
      <c r="E2317" s="6"/>
      <c r="F2317" s="6"/>
      <c r="G2317" s="6"/>
      <c r="H2317" s="6"/>
      <c r="I2317" s="6"/>
      <c r="J2317" s="6"/>
      <c r="K2317" s="3" t="s">
        <v>12</v>
      </c>
      <c r="L2317" s="4" t="s">
        <v>84</v>
      </c>
    </row>
    <row r="2318" spans="1:12" ht="15" customHeight="1" x14ac:dyDescent="0.25">
      <c r="A2318" s="3" t="s">
        <v>14</v>
      </c>
      <c r="B2318" s="6" t="s">
        <v>88</v>
      </c>
      <c r="C2318" s="6"/>
      <c r="D2318" s="7" t="s">
        <v>16</v>
      </c>
      <c r="E2318" s="7"/>
      <c r="F2318" s="6" t="str">
        <f>"2A87.000186"</f>
        <v>2A87.000186</v>
      </c>
      <c r="G2318" s="6"/>
      <c r="H2318" s="3" t="s">
        <v>17</v>
      </c>
      <c r="I2318" s="6" t="s">
        <v>89</v>
      </c>
      <c r="J2318" s="6"/>
      <c r="K2318" s="3" t="s">
        <v>19</v>
      </c>
      <c r="L2318" s="5">
        <v>1</v>
      </c>
    </row>
    <row r="2319" spans="1:12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</row>
    <row r="2320" spans="1:12" ht="15" customHeight="1" x14ac:dyDescent="0.25">
      <c r="A2320" s="10" t="s">
        <v>20</v>
      </c>
      <c r="B2320" s="11"/>
      <c r="C2320" s="12"/>
      <c r="D2320" s="8" t="s">
        <v>21</v>
      </c>
      <c r="E2320" s="8" t="s">
        <v>22</v>
      </c>
      <c r="F2320" s="9" t="s">
        <v>23</v>
      </c>
      <c r="G2320" s="9" t="s">
        <v>24</v>
      </c>
      <c r="H2320" s="9" t="s">
        <v>25</v>
      </c>
      <c r="I2320" s="9" t="s">
        <v>26</v>
      </c>
      <c r="J2320" s="9" t="s">
        <v>27</v>
      </c>
      <c r="K2320" s="13" t="s">
        <v>28</v>
      </c>
      <c r="L2320" s="14"/>
    </row>
    <row r="2321" spans="1:12" ht="15" customHeight="1" x14ac:dyDescent="0.25">
      <c r="A2321" s="15" t="s">
        <v>29</v>
      </c>
      <c r="B2321" s="16"/>
      <c r="C2321" s="16"/>
      <c r="D2321" s="16"/>
      <c r="E2321" s="16"/>
      <c r="F2321" s="16"/>
      <c r="G2321" s="16"/>
      <c r="H2321" s="16"/>
      <c r="I2321" s="16"/>
      <c r="J2321" s="17"/>
      <c r="K2321" s="15">
        <v>0</v>
      </c>
      <c r="L2321" s="17"/>
    </row>
    <row r="2322" spans="1:12" x14ac:dyDescent="0.25">
      <c r="A2322" s="18"/>
      <c r="B2322" s="18"/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</row>
    <row r="2323" spans="1:12" ht="15" customHeight="1" x14ac:dyDescent="0.25">
      <c r="A2323" s="10" t="s">
        <v>30</v>
      </c>
      <c r="B2323" s="11"/>
      <c r="C2323" s="12"/>
      <c r="D2323" s="8" t="s">
        <v>21</v>
      </c>
      <c r="E2323" s="8" t="s">
        <v>22</v>
      </c>
      <c r="F2323" s="9" t="s">
        <v>31</v>
      </c>
      <c r="G2323" s="9" t="s">
        <v>32</v>
      </c>
      <c r="H2323" s="9" t="s">
        <v>33</v>
      </c>
      <c r="I2323" s="13" t="s">
        <v>34</v>
      </c>
      <c r="J2323" s="14"/>
      <c r="K2323" s="13" t="s">
        <v>28</v>
      </c>
      <c r="L2323" s="14"/>
    </row>
    <row r="2324" spans="1:12" ht="15" customHeight="1" x14ac:dyDescent="0.25">
      <c r="A2324" s="15" t="s">
        <v>38</v>
      </c>
      <c r="B2324" s="16"/>
      <c r="C2324" s="16"/>
      <c r="D2324" s="16"/>
      <c r="E2324" s="16"/>
      <c r="F2324" s="16"/>
      <c r="G2324" s="16"/>
      <c r="H2324" s="16"/>
      <c r="I2324" s="16"/>
      <c r="J2324" s="17"/>
      <c r="K2324" s="15">
        <v>0</v>
      </c>
      <c r="L2324" s="17"/>
    </row>
    <row r="2325" spans="1:12" x14ac:dyDescent="0.25">
      <c r="A2325" s="18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</row>
    <row r="2326" spans="1:12" ht="15" customHeight="1" x14ac:dyDescent="0.25">
      <c r="A2326" s="10" t="s">
        <v>39</v>
      </c>
      <c r="B2326" s="11"/>
      <c r="C2326" s="12"/>
      <c r="D2326" s="8" t="s">
        <v>21</v>
      </c>
      <c r="E2326" s="13" t="s">
        <v>40</v>
      </c>
      <c r="F2326" s="14"/>
      <c r="G2326" s="8" t="s">
        <v>41</v>
      </c>
      <c r="H2326" s="8" t="s">
        <v>42</v>
      </c>
      <c r="I2326" s="8" t="s">
        <v>43</v>
      </c>
      <c r="J2326" s="13" t="s">
        <v>44</v>
      </c>
      <c r="K2326" s="26"/>
      <c r="L2326" s="14"/>
    </row>
    <row r="2327" spans="1:12" ht="15" customHeight="1" x14ac:dyDescent="0.25">
      <c r="A2327" s="15" t="s">
        <v>45</v>
      </c>
      <c r="B2327" s="16"/>
      <c r="C2327" s="16"/>
      <c r="D2327" s="16"/>
      <c r="E2327" s="16"/>
      <c r="F2327" s="16"/>
      <c r="G2327" s="16"/>
      <c r="H2327" s="16"/>
      <c r="I2327" s="16"/>
      <c r="J2327" s="17"/>
      <c r="K2327" s="15">
        <v>0</v>
      </c>
      <c r="L2327" s="17"/>
    </row>
    <row r="2328" spans="1:12" x14ac:dyDescent="0.25">
      <c r="A2328" s="18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</row>
    <row r="2329" spans="1:12" ht="15" customHeight="1" x14ac:dyDescent="0.25">
      <c r="A2329" s="27" t="s">
        <v>46</v>
      </c>
      <c r="B2329" s="27"/>
      <c r="C2329" s="27"/>
      <c r="D2329" s="27"/>
      <c r="E2329" s="27"/>
      <c r="F2329" s="27"/>
      <c r="G2329" s="27"/>
      <c r="H2329" s="27"/>
      <c r="I2329" s="27"/>
      <c r="J2329" s="27"/>
      <c r="K2329" s="27">
        <v>0</v>
      </c>
      <c r="L2329" s="27"/>
    </row>
    <row r="2330" spans="1:12" ht="15" customHeight="1" x14ac:dyDescent="0.25">
      <c r="A2330" s="27" t="s">
        <v>47</v>
      </c>
      <c r="B2330" s="27"/>
      <c r="C2330" s="27"/>
      <c r="D2330" s="27"/>
      <c r="E2330" s="27"/>
      <c r="F2330" s="27"/>
      <c r="G2330" s="27"/>
      <c r="H2330" s="27"/>
      <c r="I2330" s="27"/>
      <c r="J2330" s="27"/>
      <c r="K2330" s="27">
        <v>1</v>
      </c>
      <c r="L2330" s="27"/>
    </row>
    <row r="2331" spans="1:12" ht="15" customHeight="1" x14ac:dyDescent="0.25">
      <c r="A2331" s="27" t="s">
        <v>48</v>
      </c>
      <c r="B2331" s="27"/>
      <c r="C2331" s="27"/>
      <c r="D2331" s="27"/>
      <c r="E2331" s="27"/>
      <c r="F2331" s="27"/>
      <c r="G2331" s="27"/>
      <c r="H2331" s="27"/>
      <c r="I2331" s="27"/>
      <c r="J2331" s="27"/>
      <c r="K2331" s="27">
        <v>0</v>
      </c>
      <c r="L2331" s="27"/>
    </row>
    <row r="2332" spans="1:12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</row>
    <row r="2333" spans="1:12" ht="15" customHeight="1" x14ac:dyDescent="0.25">
      <c r="A2333" s="10" t="s">
        <v>49</v>
      </c>
      <c r="B2333" s="11"/>
      <c r="C2333" s="11"/>
      <c r="D2333" s="11"/>
      <c r="E2333" s="12"/>
      <c r="F2333" s="8" t="s">
        <v>21</v>
      </c>
      <c r="G2333" s="8" t="s">
        <v>22</v>
      </c>
      <c r="H2333" s="9" t="s">
        <v>44</v>
      </c>
      <c r="I2333" s="13" t="s">
        <v>34</v>
      </c>
      <c r="J2333" s="14"/>
      <c r="K2333" s="13" t="s">
        <v>50</v>
      </c>
      <c r="L2333" s="14"/>
    </row>
    <row r="2334" spans="1:12" ht="30" customHeight="1" x14ac:dyDescent="0.25">
      <c r="A2334" s="21" t="s">
        <v>327</v>
      </c>
      <c r="B2334" s="22"/>
      <c r="C2334" s="22"/>
      <c r="D2334" s="22"/>
      <c r="E2334" s="23"/>
      <c r="F2334" s="19" t="str">
        <f>"078783"</f>
        <v>078783</v>
      </c>
      <c r="G2334" s="19" t="s">
        <v>81</v>
      </c>
      <c r="H2334" s="20">
        <v>856.29</v>
      </c>
      <c r="I2334" s="24">
        <v>1</v>
      </c>
      <c r="J2334" s="25"/>
      <c r="K2334" s="24">
        <v>856.29</v>
      </c>
      <c r="L2334" s="25"/>
    </row>
    <row r="2335" spans="1:12" ht="15" customHeight="1" x14ac:dyDescent="0.25">
      <c r="A2335" s="15" t="s">
        <v>51</v>
      </c>
      <c r="B2335" s="16"/>
      <c r="C2335" s="16"/>
      <c r="D2335" s="16"/>
      <c r="E2335" s="16"/>
      <c r="F2335" s="16"/>
      <c r="G2335" s="16"/>
      <c r="H2335" s="16"/>
      <c r="I2335" s="16"/>
      <c r="J2335" s="17"/>
      <c r="K2335" s="15">
        <v>856.29</v>
      </c>
      <c r="L2335" s="17"/>
    </row>
    <row r="2336" spans="1:12" x14ac:dyDescent="0.25">
      <c r="A2336" s="18"/>
      <c r="B2336" s="18"/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</row>
    <row r="2337" spans="1:12" ht="15" customHeight="1" x14ac:dyDescent="0.25">
      <c r="A2337" s="10" t="s">
        <v>52</v>
      </c>
      <c r="B2337" s="11"/>
      <c r="C2337" s="11"/>
      <c r="D2337" s="11"/>
      <c r="E2337" s="12"/>
      <c r="F2337" s="8" t="s">
        <v>21</v>
      </c>
      <c r="G2337" s="8" t="s">
        <v>22</v>
      </c>
      <c r="H2337" s="9" t="s">
        <v>44</v>
      </c>
      <c r="I2337" s="13" t="s">
        <v>34</v>
      </c>
      <c r="J2337" s="14"/>
      <c r="K2337" s="13" t="s">
        <v>50</v>
      </c>
      <c r="L2337" s="14"/>
    </row>
    <row r="2338" spans="1:12" ht="15" customHeight="1" x14ac:dyDescent="0.25">
      <c r="A2338" s="15" t="s">
        <v>53</v>
      </c>
      <c r="B2338" s="16"/>
      <c r="C2338" s="16"/>
      <c r="D2338" s="16"/>
      <c r="E2338" s="16"/>
      <c r="F2338" s="16"/>
      <c r="G2338" s="16"/>
      <c r="H2338" s="16"/>
      <c r="I2338" s="16"/>
      <c r="J2338" s="17"/>
      <c r="K2338" s="15">
        <v>0</v>
      </c>
      <c r="L2338" s="17"/>
    </row>
    <row r="2339" spans="1:12" x14ac:dyDescent="0.25">
      <c r="A2339" s="18"/>
      <c r="B2339" s="18"/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</row>
    <row r="2340" spans="1:12" ht="15" customHeight="1" x14ac:dyDescent="0.25">
      <c r="A2340" s="10" t="s">
        <v>54</v>
      </c>
      <c r="B2340" s="11"/>
      <c r="C2340" s="12"/>
      <c r="D2340" s="8" t="s">
        <v>21</v>
      </c>
      <c r="E2340" s="8" t="s">
        <v>22</v>
      </c>
      <c r="F2340" s="9" t="s">
        <v>55</v>
      </c>
      <c r="G2340" s="8" t="s">
        <v>56</v>
      </c>
      <c r="H2340" s="8" t="s">
        <v>57</v>
      </c>
      <c r="I2340" s="8" t="s">
        <v>58</v>
      </c>
      <c r="J2340" s="9" t="s">
        <v>59</v>
      </c>
      <c r="K2340" s="9" t="s">
        <v>34</v>
      </c>
      <c r="L2340" s="9" t="s">
        <v>50</v>
      </c>
    </row>
    <row r="2341" spans="1:12" ht="15" customHeight="1" x14ac:dyDescent="0.25">
      <c r="A2341" s="15" t="s">
        <v>60</v>
      </c>
      <c r="B2341" s="16"/>
      <c r="C2341" s="16"/>
      <c r="D2341" s="16"/>
      <c r="E2341" s="16"/>
      <c r="F2341" s="16"/>
      <c r="G2341" s="16"/>
      <c r="H2341" s="16"/>
      <c r="I2341" s="16"/>
      <c r="J2341" s="17"/>
      <c r="K2341" s="15">
        <v>0</v>
      </c>
      <c r="L2341" s="17"/>
    </row>
    <row r="2342" spans="1:12" x14ac:dyDescent="0.25">
      <c r="A2342" s="18"/>
      <c r="B2342" s="18"/>
      <c r="C2342" s="18"/>
      <c r="D2342" s="18"/>
      <c r="E2342" s="18"/>
      <c r="F2342" s="18"/>
      <c r="G2342" s="18"/>
      <c r="H2342" s="18"/>
      <c r="I2342" s="18"/>
      <c r="J2342" s="18"/>
      <c r="K2342" s="18"/>
      <c r="L2342" s="18"/>
    </row>
    <row r="2343" spans="1:12" ht="15" customHeight="1" x14ac:dyDescent="0.25">
      <c r="A2343" s="27" t="s">
        <v>61</v>
      </c>
      <c r="B2343" s="27"/>
      <c r="C2343" s="27"/>
      <c r="D2343" s="27"/>
      <c r="E2343" s="27"/>
      <c r="F2343" s="27"/>
      <c r="G2343" s="27"/>
      <c r="H2343" s="27"/>
      <c r="I2343" s="27"/>
      <c r="J2343" s="27"/>
      <c r="K2343" s="27">
        <v>856.29</v>
      </c>
      <c r="L2343" s="27"/>
    </row>
    <row r="2344" spans="1:12" ht="15" customHeight="1" x14ac:dyDescent="0.25">
      <c r="A2344" s="27" t="s">
        <v>62</v>
      </c>
      <c r="B2344" s="27"/>
      <c r="C2344" s="27"/>
      <c r="D2344" s="27"/>
      <c r="E2344" s="27"/>
      <c r="F2344" s="27"/>
      <c r="G2344" s="27"/>
      <c r="H2344" s="27"/>
      <c r="I2344" s="27"/>
      <c r="J2344" s="27"/>
      <c r="K2344" s="27">
        <v>284.72000000000003</v>
      </c>
      <c r="L2344" s="27"/>
    </row>
    <row r="2345" spans="1:12" ht="15" customHeight="1" x14ac:dyDescent="0.25">
      <c r="A2345" s="27" t="s">
        <v>63</v>
      </c>
      <c r="B2345" s="27"/>
      <c r="C2345" s="27"/>
      <c r="D2345" s="27"/>
      <c r="E2345" s="27"/>
      <c r="F2345" s="27"/>
      <c r="G2345" s="27"/>
      <c r="H2345" s="27"/>
      <c r="I2345" s="27"/>
      <c r="J2345" s="27"/>
      <c r="K2345" s="28">
        <v>1141.01</v>
      </c>
      <c r="L2345" s="28"/>
    </row>
    <row r="2346" spans="1:12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</row>
    <row r="2347" spans="1:12" ht="15" customHeight="1" x14ac:dyDescent="0.25">
      <c r="A2347" s="3" t="s">
        <v>8</v>
      </c>
      <c r="B2347" s="6" t="s">
        <v>9</v>
      </c>
      <c r="C2347" s="6"/>
      <c r="D2347" s="6"/>
      <c r="E2347" s="6"/>
      <c r="F2347" s="6"/>
      <c r="G2347" s="6"/>
      <c r="H2347" s="6"/>
      <c r="I2347" s="6"/>
      <c r="J2347" s="6"/>
      <c r="K2347" s="6"/>
      <c r="L2347" s="6"/>
    </row>
    <row r="2348" spans="1:12" ht="15" customHeight="1" x14ac:dyDescent="0.25">
      <c r="A2348" s="3" t="s">
        <v>10</v>
      </c>
      <c r="B2348" s="6" t="s">
        <v>328</v>
      </c>
      <c r="C2348" s="6"/>
      <c r="D2348" s="6"/>
      <c r="E2348" s="6"/>
      <c r="F2348" s="6"/>
      <c r="G2348" s="6"/>
      <c r="H2348" s="6"/>
      <c r="I2348" s="6"/>
      <c r="J2348" s="6"/>
      <c r="K2348" s="3" t="s">
        <v>12</v>
      </c>
      <c r="L2348" s="4" t="s">
        <v>87</v>
      </c>
    </row>
    <row r="2349" spans="1:12" ht="15" customHeight="1" x14ac:dyDescent="0.25">
      <c r="A2349" s="3" t="s">
        <v>14</v>
      </c>
      <c r="B2349" s="6" t="s">
        <v>15</v>
      </c>
      <c r="C2349" s="6"/>
      <c r="D2349" s="7" t="s">
        <v>16</v>
      </c>
      <c r="E2349" s="7"/>
      <c r="F2349" s="6" t="str">
        <f>"150701"</f>
        <v>150701</v>
      </c>
      <c r="G2349" s="6"/>
      <c r="H2349" s="3" t="s">
        <v>17</v>
      </c>
      <c r="I2349" s="6" t="s">
        <v>18</v>
      </c>
      <c r="J2349" s="6"/>
      <c r="K2349" s="3" t="s">
        <v>19</v>
      </c>
      <c r="L2349" s="5">
        <v>1</v>
      </c>
    </row>
    <row r="2350" spans="1:12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</row>
    <row r="2351" spans="1:12" ht="15" customHeight="1" x14ac:dyDescent="0.25">
      <c r="A2351" s="10" t="s">
        <v>20</v>
      </c>
      <c r="B2351" s="11"/>
      <c r="C2351" s="12"/>
      <c r="D2351" s="8" t="s">
        <v>21</v>
      </c>
      <c r="E2351" s="8" t="s">
        <v>22</v>
      </c>
      <c r="F2351" s="9" t="s">
        <v>23</v>
      </c>
      <c r="G2351" s="9" t="s">
        <v>24</v>
      </c>
      <c r="H2351" s="9" t="s">
        <v>25</v>
      </c>
      <c r="I2351" s="9" t="s">
        <v>26</v>
      </c>
      <c r="J2351" s="9" t="s">
        <v>27</v>
      </c>
      <c r="K2351" s="13" t="s">
        <v>28</v>
      </c>
      <c r="L2351" s="14"/>
    </row>
    <row r="2352" spans="1:12" ht="15" customHeight="1" x14ac:dyDescent="0.25">
      <c r="A2352" s="15" t="s">
        <v>29</v>
      </c>
      <c r="B2352" s="16"/>
      <c r="C2352" s="16"/>
      <c r="D2352" s="16"/>
      <c r="E2352" s="16"/>
      <c r="F2352" s="16"/>
      <c r="G2352" s="16"/>
      <c r="H2352" s="16"/>
      <c r="I2352" s="16"/>
      <c r="J2352" s="17"/>
      <c r="K2352" s="15">
        <v>0</v>
      </c>
      <c r="L2352" s="17"/>
    </row>
    <row r="2353" spans="1:12" x14ac:dyDescent="0.25">
      <c r="A2353" s="18"/>
      <c r="B2353" s="18"/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</row>
    <row r="2354" spans="1:12" ht="15" customHeight="1" x14ac:dyDescent="0.25">
      <c r="A2354" s="10" t="s">
        <v>30</v>
      </c>
      <c r="B2354" s="11"/>
      <c r="C2354" s="12"/>
      <c r="D2354" s="8" t="s">
        <v>21</v>
      </c>
      <c r="E2354" s="8" t="s">
        <v>22</v>
      </c>
      <c r="F2354" s="9" t="s">
        <v>31</v>
      </c>
      <c r="G2354" s="9" t="s">
        <v>32</v>
      </c>
      <c r="H2354" s="9" t="s">
        <v>33</v>
      </c>
      <c r="I2354" s="13" t="s">
        <v>34</v>
      </c>
      <c r="J2354" s="14"/>
      <c r="K2354" s="13" t="s">
        <v>28</v>
      </c>
      <c r="L2354" s="14"/>
    </row>
    <row r="2355" spans="1:12" ht="15" customHeight="1" x14ac:dyDescent="0.25">
      <c r="A2355" s="21" t="s">
        <v>69</v>
      </c>
      <c r="B2355" s="22"/>
      <c r="C2355" s="23"/>
      <c r="D2355" s="19" t="str">
        <f>"010139"</f>
        <v>010139</v>
      </c>
      <c r="E2355" s="19" t="s">
        <v>36</v>
      </c>
      <c r="F2355" s="20">
        <v>10.119999999999999</v>
      </c>
      <c r="G2355" s="20">
        <v>157.27000000000001</v>
      </c>
      <c r="H2355" s="20">
        <v>26.03</v>
      </c>
      <c r="I2355" s="24">
        <v>0.125</v>
      </c>
      <c r="J2355" s="25"/>
      <c r="K2355" s="24">
        <v>3.25</v>
      </c>
      <c r="L2355" s="25"/>
    </row>
    <row r="2356" spans="1:12" ht="15" customHeight="1" x14ac:dyDescent="0.25">
      <c r="A2356" s="21" t="s">
        <v>37</v>
      </c>
      <c r="B2356" s="22"/>
      <c r="C2356" s="23"/>
      <c r="D2356" s="19" t="str">
        <f>"010146"</f>
        <v>010146</v>
      </c>
      <c r="E2356" s="19" t="s">
        <v>36</v>
      </c>
      <c r="F2356" s="20">
        <v>7.65</v>
      </c>
      <c r="G2356" s="20">
        <v>157.27000000000001</v>
      </c>
      <c r="H2356" s="20">
        <v>19.68</v>
      </c>
      <c r="I2356" s="24">
        <v>1.7968999999999999</v>
      </c>
      <c r="J2356" s="25"/>
      <c r="K2356" s="24">
        <v>35.36</v>
      </c>
      <c r="L2356" s="25"/>
    </row>
    <row r="2357" spans="1:12" ht="15" customHeight="1" x14ac:dyDescent="0.25">
      <c r="A2357" s="15" t="s">
        <v>38</v>
      </c>
      <c r="B2357" s="16"/>
      <c r="C2357" s="16"/>
      <c r="D2357" s="16"/>
      <c r="E2357" s="16"/>
      <c r="F2357" s="16"/>
      <c r="G2357" s="16"/>
      <c r="H2357" s="16"/>
      <c r="I2357" s="16"/>
      <c r="J2357" s="17"/>
      <c r="K2357" s="15">
        <v>38.61</v>
      </c>
      <c r="L2357" s="17"/>
    </row>
    <row r="2358" spans="1:12" x14ac:dyDescent="0.25">
      <c r="A2358" s="18"/>
      <c r="B2358" s="18"/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</row>
    <row r="2359" spans="1:12" ht="15" customHeight="1" x14ac:dyDescent="0.25">
      <c r="A2359" s="10" t="s">
        <v>39</v>
      </c>
      <c r="B2359" s="11"/>
      <c r="C2359" s="12"/>
      <c r="D2359" s="8" t="s">
        <v>21</v>
      </c>
      <c r="E2359" s="13" t="s">
        <v>40</v>
      </c>
      <c r="F2359" s="14"/>
      <c r="G2359" s="8" t="s">
        <v>41</v>
      </c>
      <c r="H2359" s="8" t="s">
        <v>42</v>
      </c>
      <c r="I2359" s="8" t="s">
        <v>43</v>
      </c>
      <c r="J2359" s="13" t="s">
        <v>44</v>
      </c>
      <c r="K2359" s="26"/>
      <c r="L2359" s="14"/>
    </row>
    <row r="2360" spans="1:12" ht="15" customHeight="1" x14ac:dyDescent="0.25">
      <c r="A2360" s="15" t="s">
        <v>45</v>
      </c>
      <c r="B2360" s="16"/>
      <c r="C2360" s="16"/>
      <c r="D2360" s="16"/>
      <c r="E2360" s="16"/>
      <c r="F2360" s="16"/>
      <c r="G2360" s="16"/>
      <c r="H2360" s="16"/>
      <c r="I2360" s="16"/>
      <c r="J2360" s="17"/>
      <c r="K2360" s="15">
        <v>0</v>
      </c>
      <c r="L2360" s="17"/>
    </row>
    <row r="2361" spans="1:12" x14ac:dyDescent="0.25">
      <c r="A2361" s="18"/>
      <c r="B2361" s="18"/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</row>
    <row r="2362" spans="1:12" ht="15" customHeight="1" x14ac:dyDescent="0.25">
      <c r="A2362" s="27" t="s">
        <v>46</v>
      </c>
      <c r="B2362" s="27"/>
      <c r="C2362" s="27"/>
      <c r="D2362" s="27"/>
      <c r="E2362" s="27"/>
      <c r="F2362" s="27"/>
      <c r="G2362" s="27"/>
      <c r="H2362" s="27"/>
      <c r="I2362" s="27"/>
      <c r="J2362" s="27"/>
      <c r="K2362" s="27">
        <v>38.61</v>
      </c>
      <c r="L2362" s="27"/>
    </row>
    <row r="2363" spans="1:12" ht="15" customHeight="1" x14ac:dyDescent="0.25">
      <c r="A2363" s="27" t="s">
        <v>47</v>
      </c>
      <c r="B2363" s="27"/>
      <c r="C2363" s="27"/>
      <c r="D2363" s="27"/>
      <c r="E2363" s="27"/>
      <c r="F2363" s="27"/>
      <c r="G2363" s="27"/>
      <c r="H2363" s="27"/>
      <c r="I2363" s="27"/>
      <c r="J2363" s="27"/>
      <c r="K2363" s="27">
        <v>1</v>
      </c>
      <c r="L2363" s="27"/>
    </row>
    <row r="2364" spans="1:12" ht="15" customHeight="1" x14ac:dyDescent="0.25">
      <c r="A2364" s="27" t="s">
        <v>48</v>
      </c>
      <c r="B2364" s="27"/>
      <c r="C2364" s="27"/>
      <c r="D2364" s="27"/>
      <c r="E2364" s="27"/>
      <c r="F2364" s="27"/>
      <c r="G2364" s="27"/>
      <c r="H2364" s="27"/>
      <c r="I2364" s="27"/>
      <c r="J2364" s="27"/>
      <c r="K2364" s="27">
        <v>38.61</v>
      </c>
      <c r="L2364" s="27"/>
    </row>
    <row r="2365" spans="1:12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</row>
    <row r="2366" spans="1:12" ht="15" customHeight="1" x14ac:dyDescent="0.25">
      <c r="A2366" s="10" t="s">
        <v>49</v>
      </c>
      <c r="B2366" s="11"/>
      <c r="C2366" s="11"/>
      <c r="D2366" s="11"/>
      <c r="E2366" s="12"/>
      <c r="F2366" s="8" t="s">
        <v>21</v>
      </c>
      <c r="G2366" s="8" t="s">
        <v>22</v>
      </c>
      <c r="H2366" s="9" t="s">
        <v>44</v>
      </c>
      <c r="I2366" s="13" t="s">
        <v>34</v>
      </c>
      <c r="J2366" s="14"/>
      <c r="K2366" s="13" t="s">
        <v>50</v>
      </c>
      <c r="L2366" s="14"/>
    </row>
    <row r="2367" spans="1:12" ht="15" customHeight="1" x14ac:dyDescent="0.25">
      <c r="A2367" s="21" t="s">
        <v>122</v>
      </c>
      <c r="B2367" s="22"/>
      <c r="C2367" s="22"/>
      <c r="D2367" s="22"/>
      <c r="E2367" s="23"/>
      <c r="F2367" s="19" t="str">
        <f>"020503"</f>
        <v>020503</v>
      </c>
      <c r="G2367" s="19" t="s">
        <v>105</v>
      </c>
      <c r="H2367" s="20">
        <v>152</v>
      </c>
      <c r="I2367" s="24">
        <v>4.0099999999999997E-2</v>
      </c>
      <c r="J2367" s="25"/>
      <c r="K2367" s="24">
        <v>6.09</v>
      </c>
      <c r="L2367" s="25"/>
    </row>
    <row r="2368" spans="1:12" ht="15" customHeight="1" x14ac:dyDescent="0.25">
      <c r="A2368" s="21" t="s">
        <v>125</v>
      </c>
      <c r="B2368" s="22"/>
      <c r="C2368" s="22"/>
      <c r="D2368" s="22"/>
      <c r="E2368" s="23"/>
      <c r="F2368" s="19" t="str">
        <f>"020508"</f>
        <v>020508</v>
      </c>
      <c r="G2368" s="19" t="s">
        <v>124</v>
      </c>
      <c r="H2368" s="20">
        <v>0.59</v>
      </c>
      <c r="I2368" s="24">
        <v>16.406300000000002</v>
      </c>
      <c r="J2368" s="25"/>
      <c r="K2368" s="24">
        <v>9.67</v>
      </c>
      <c r="L2368" s="25"/>
    </row>
    <row r="2369" spans="1:12" ht="15" customHeight="1" x14ac:dyDescent="0.25">
      <c r="A2369" s="21" t="s">
        <v>257</v>
      </c>
      <c r="B2369" s="22"/>
      <c r="C2369" s="22"/>
      <c r="D2369" s="22"/>
      <c r="E2369" s="23"/>
      <c r="F2369" s="19" t="str">
        <f>"020517"</f>
        <v>020517</v>
      </c>
      <c r="G2369" s="19" t="s">
        <v>105</v>
      </c>
      <c r="H2369" s="20">
        <v>172.35</v>
      </c>
      <c r="I2369" s="24">
        <v>1.6400000000000001E-2</v>
      </c>
      <c r="J2369" s="25"/>
      <c r="K2369" s="24">
        <v>2.82</v>
      </c>
      <c r="L2369" s="25"/>
    </row>
    <row r="2370" spans="1:12" ht="15" customHeight="1" x14ac:dyDescent="0.25">
      <c r="A2370" s="21" t="s">
        <v>258</v>
      </c>
      <c r="B2370" s="22"/>
      <c r="C2370" s="22"/>
      <c r="D2370" s="22"/>
      <c r="E2370" s="23"/>
      <c r="F2370" s="19" t="str">
        <f>"020518"</f>
        <v>020518</v>
      </c>
      <c r="G2370" s="19" t="s">
        <v>105</v>
      </c>
      <c r="H2370" s="20">
        <v>172.35</v>
      </c>
      <c r="I2370" s="24">
        <v>3.8399999999999997E-2</v>
      </c>
      <c r="J2370" s="25"/>
      <c r="K2370" s="24">
        <v>6.61</v>
      </c>
      <c r="L2370" s="25"/>
    </row>
    <row r="2371" spans="1:12" ht="15" customHeight="1" x14ac:dyDescent="0.25">
      <c r="A2371" s="15" t="s">
        <v>51</v>
      </c>
      <c r="B2371" s="16"/>
      <c r="C2371" s="16"/>
      <c r="D2371" s="16"/>
      <c r="E2371" s="16"/>
      <c r="F2371" s="16"/>
      <c r="G2371" s="16"/>
      <c r="H2371" s="16"/>
      <c r="I2371" s="16"/>
      <c r="J2371" s="17"/>
      <c r="K2371" s="15">
        <v>25.19</v>
      </c>
      <c r="L2371" s="17"/>
    </row>
    <row r="2372" spans="1:12" x14ac:dyDescent="0.25">
      <c r="A2372" s="18"/>
      <c r="B2372" s="18"/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</row>
    <row r="2373" spans="1:12" ht="15" customHeight="1" x14ac:dyDescent="0.25">
      <c r="A2373" s="10" t="s">
        <v>52</v>
      </c>
      <c r="B2373" s="11"/>
      <c r="C2373" s="11"/>
      <c r="D2373" s="11"/>
      <c r="E2373" s="12"/>
      <c r="F2373" s="8" t="s">
        <v>21</v>
      </c>
      <c r="G2373" s="8" t="s">
        <v>22</v>
      </c>
      <c r="H2373" s="9" t="s">
        <v>44</v>
      </c>
      <c r="I2373" s="13" t="s">
        <v>34</v>
      </c>
      <c r="J2373" s="14"/>
      <c r="K2373" s="13" t="s">
        <v>50</v>
      </c>
      <c r="L2373" s="14"/>
    </row>
    <row r="2374" spans="1:12" ht="30" customHeight="1" x14ac:dyDescent="0.25">
      <c r="A2374" s="21" t="s">
        <v>265</v>
      </c>
      <c r="B2374" s="22"/>
      <c r="C2374" s="22"/>
      <c r="D2374" s="22"/>
      <c r="E2374" s="23"/>
      <c r="F2374" s="19" t="s">
        <v>266</v>
      </c>
      <c r="G2374" s="19" t="s">
        <v>267</v>
      </c>
      <c r="H2374" s="20">
        <v>4.4600000000000001E-2</v>
      </c>
      <c r="I2374" s="24">
        <v>1.82</v>
      </c>
      <c r="J2374" s="25"/>
      <c r="K2374" s="24">
        <v>0.08</v>
      </c>
      <c r="L2374" s="25"/>
    </row>
    <row r="2375" spans="1:12" ht="15" customHeight="1" x14ac:dyDescent="0.25">
      <c r="A2375" s="15" t="s">
        <v>53</v>
      </c>
      <c r="B2375" s="16"/>
      <c r="C2375" s="16"/>
      <c r="D2375" s="16"/>
      <c r="E2375" s="16"/>
      <c r="F2375" s="16"/>
      <c r="G2375" s="16"/>
      <c r="H2375" s="16"/>
      <c r="I2375" s="16"/>
      <c r="J2375" s="17"/>
      <c r="K2375" s="15">
        <v>0.08</v>
      </c>
      <c r="L2375" s="17"/>
    </row>
    <row r="2376" spans="1:12" x14ac:dyDescent="0.25">
      <c r="A2376" s="18"/>
      <c r="B2376" s="18"/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</row>
    <row r="2377" spans="1:12" ht="15" customHeight="1" x14ac:dyDescent="0.25">
      <c r="A2377" s="10" t="s">
        <v>54</v>
      </c>
      <c r="B2377" s="11"/>
      <c r="C2377" s="12"/>
      <c r="D2377" s="8" t="s">
        <v>21</v>
      </c>
      <c r="E2377" s="8" t="s">
        <v>22</v>
      </c>
      <c r="F2377" s="9" t="s">
        <v>55</v>
      </c>
      <c r="G2377" s="8" t="s">
        <v>56</v>
      </c>
      <c r="H2377" s="8" t="s">
        <v>57</v>
      </c>
      <c r="I2377" s="8" t="s">
        <v>58</v>
      </c>
      <c r="J2377" s="9" t="s">
        <v>59</v>
      </c>
      <c r="K2377" s="9" t="s">
        <v>34</v>
      </c>
      <c r="L2377" s="9" t="s">
        <v>50</v>
      </c>
    </row>
    <row r="2378" spans="1:12" ht="15" customHeight="1" x14ac:dyDescent="0.25">
      <c r="A2378" s="15" t="s">
        <v>60</v>
      </c>
      <c r="B2378" s="16"/>
      <c r="C2378" s="16"/>
      <c r="D2378" s="16"/>
      <c r="E2378" s="16"/>
      <c r="F2378" s="16"/>
      <c r="G2378" s="16"/>
      <c r="H2378" s="16"/>
      <c r="I2378" s="16"/>
      <c r="J2378" s="17"/>
      <c r="K2378" s="15">
        <v>0</v>
      </c>
      <c r="L2378" s="17"/>
    </row>
    <row r="2379" spans="1:12" x14ac:dyDescent="0.25">
      <c r="A2379" s="18"/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</row>
    <row r="2380" spans="1:12" ht="15" customHeight="1" x14ac:dyDescent="0.25">
      <c r="A2380" s="27" t="s">
        <v>61</v>
      </c>
      <c r="B2380" s="27"/>
      <c r="C2380" s="27"/>
      <c r="D2380" s="27"/>
      <c r="E2380" s="27"/>
      <c r="F2380" s="27"/>
      <c r="G2380" s="27"/>
      <c r="H2380" s="27"/>
      <c r="I2380" s="27"/>
      <c r="J2380" s="27"/>
      <c r="K2380" s="27">
        <v>63.88</v>
      </c>
      <c r="L2380" s="27"/>
    </row>
    <row r="2381" spans="1:12" ht="15" customHeight="1" x14ac:dyDescent="0.25">
      <c r="A2381" s="27" t="s">
        <v>62</v>
      </c>
      <c r="B2381" s="27"/>
      <c r="C2381" s="27"/>
      <c r="D2381" s="27"/>
      <c r="E2381" s="27"/>
      <c r="F2381" s="27"/>
      <c r="G2381" s="27"/>
      <c r="H2381" s="27"/>
      <c r="I2381" s="27"/>
      <c r="J2381" s="27"/>
      <c r="K2381" s="27">
        <v>21.24</v>
      </c>
      <c r="L2381" s="27"/>
    </row>
    <row r="2382" spans="1:12" ht="15" customHeight="1" x14ac:dyDescent="0.25">
      <c r="A2382" s="27" t="s">
        <v>63</v>
      </c>
      <c r="B2382" s="27"/>
      <c r="C2382" s="27"/>
      <c r="D2382" s="27"/>
      <c r="E2382" s="27"/>
      <c r="F2382" s="27"/>
      <c r="G2382" s="27"/>
      <c r="H2382" s="27"/>
      <c r="I2382" s="27"/>
      <c r="J2382" s="27"/>
      <c r="K2382" s="27">
        <v>85.12</v>
      </c>
      <c r="L2382" s="27"/>
    </row>
    <row r="2383" spans="1:12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</row>
    <row r="2384" spans="1:12" ht="15" customHeight="1" x14ac:dyDescent="0.25">
      <c r="A2384" s="3" t="s">
        <v>8</v>
      </c>
      <c r="B2384" s="6" t="s">
        <v>9</v>
      </c>
      <c r="C2384" s="6"/>
      <c r="D2384" s="6"/>
      <c r="E2384" s="6"/>
      <c r="F2384" s="6"/>
      <c r="G2384" s="6"/>
      <c r="H2384" s="6"/>
      <c r="I2384" s="6"/>
      <c r="J2384" s="6"/>
      <c r="K2384" s="6"/>
      <c r="L2384" s="6"/>
    </row>
    <row r="2385" spans="1:12" ht="15" customHeight="1" x14ac:dyDescent="0.25">
      <c r="A2385" s="3" t="s">
        <v>10</v>
      </c>
      <c r="B2385" s="6" t="s">
        <v>329</v>
      </c>
      <c r="C2385" s="6"/>
      <c r="D2385" s="6"/>
      <c r="E2385" s="6"/>
      <c r="F2385" s="6"/>
      <c r="G2385" s="6"/>
      <c r="H2385" s="6"/>
      <c r="I2385" s="6"/>
      <c r="J2385" s="6"/>
      <c r="K2385" s="3" t="s">
        <v>12</v>
      </c>
      <c r="L2385" s="4" t="s">
        <v>84</v>
      </c>
    </row>
    <row r="2386" spans="1:12" ht="15" customHeight="1" x14ac:dyDescent="0.25">
      <c r="A2386" s="3" t="s">
        <v>14</v>
      </c>
      <c r="B2386" s="6" t="s">
        <v>88</v>
      </c>
      <c r="C2386" s="6"/>
      <c r="D2386" s="7" t="s">
        <v>16</v>
      </c>
      <c r="E2386" s="7"/>
      <c r="F2386" s="6" t="str">
        <f>"35A7.000230"</f>
        <v>35A7.000230</v>
      </c>
      <c r="G2386" s="6"/>
      <c r="H2386" s="3" t="s">
        <v>17</v>
      </c>
      <c r="I2386" s="6" t="s">
        <v>89</v>
      </c>
      <c r="J2386" s="6"/>
      <c r="K2386" s="3" t="s">
        <v>19</v>
      </c>
      <c r="L2386" s="5">
        <v>1</v>
      </c>
    </row>
    <row r="2387" spans="1:12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</row>
    <row r="2388" spans="1:12" ht="15" customHeight="1" x14ac:dyDescent="0.25">
      <c r="A2388" s="10" t="s">
        <v>20</v>
      </c>
      <c r="B2388" s="11"/>
      <c r="C2388" s="12"/>
      <c r="D2388" s="8" t="s">
        <v>21</v>
      </c>
      <c r="E2388" s="8" t="s">
        <v>22</v>
      </c>
      <c r="F2388" s="9" t="s">
        <v>23</v>
      </c>
      <c r="G2388" s="9" t="s">
        <v>24</v>
      </c>
      <c r="H2388" s="9" t="s">
        <v>25</v>
      </c>
      <c r="I2388" s="9" t="s">
        <v>26</v>
      </c>
      <c r="J2388" s="9" t="s">
        <v>27</v>
      </c>
      <c r="K2388" s="13" t="s">
        <v>28</v>
      </c>
      <c r="L2388" s="14"/>
    </row>
    <row r="2389" spans="1:12" ht="15" customHeight="1" x14ac:dyDescent="0.25">
      <c r="A2389" s="15" t="s">
        <v>29</v>
      </c>
      <c r="B2389" s="16"/>
      <c r="C2389" s="16"/>
      <c r="D2389" s="16"/>
      <c r="E2389" s="16"/>
      <c r="F2389" s="16"/>
      <c r="G2389" s="16"/>
      <c r="H2389" s="16"/>
      <c r="I2389" s="16"/>
      <c r="J2389" s="17"/>
      <c r="K2389" s="15">
        <v>0</v>
      </c>
      <c r="L2389" s="17"/>
    </row>
    <row r="2390" spans="1:12" x14ac:dyDescent="0.25">
      <c r="A2390" s="18"/>
      <c r="B2390" s="18"/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</row>
    <row r="2391" spans="1:12" ht="15" customHeight="1" x14ac:dyDescent="0.25">
      <c r="A2391" s="10" t="s">
        <v>30</v>
      </c>
      <c r="B2391" s="11"/>
      <c r="C2391" s="12"/>
      <c r="D2391" s="8" t="s">
        <v>21</v>
      </c>
      <c r="E2391" s="8" t="s">
        <v>22</v>
      </c>
      <c r="F2391" s="9" t="s">
        <v>31</v>
      </c>
      <c r="G2391" s="9" t="s">
        <v>32</v>
      </c>
      <c r="H2391" s="9" t="s">
        <v>33</v>
      </c>
      <c r="I2391" s="13" t="s">
        <v>34</v>
      </c>
      <c r="J2391" s="14"/>
      <c r="K2391" s="13" t="s">
        <v>28</v>
      </c>
      <c r="L2391" s="14"/>
    </row>
    <row r="2392" spans="1:12" ht="15" customHeight="1" x14ac:dyDescent="0.25">
      <c r="A2392" s="15" t="s">
        <v>38</v>
      </c>
      <c r="B2392" s="16"/>
      <c r="C2392" s="16"/>
      <c r="D2392" s="16"/>
      <c r="E2392" s="16"/>
      <c r="F2392" s="16"/>
      <c r="G2392" s="16"/>
      <c r="H2392" s="16"/>
      <c r="I2392" s="16"/>
      <c r="J2392" s="17"/>
      <c r="K2392" s="15">
        <v>0</v>
      </c>
      <c r="L2392" s="17"/>
    </row>
    <row r="2393" spans="1:12" x14ac:dyDescent="0.25">
      <c r="A2393" s="18"/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</row>
    <row r="2394" spans="1:12" ht="15" customHeight="1" x14ac:dyDescent="0.25">
      <c r="A2394" s="10" t="s">
        <v>39</v>
      </c>
      <c r="B2394" s="11"/>
      <c r="C2394" s="12"/>
      <c r="D2394" s="8" t="s">
        <v>21</v>
      </c>
      <c r="E2394" s="13" t="s">
        <v>40</v>
      </c>
      <c r="F2394" s="14"/>
      <c r="G2394" s="8" t="s">
        <v>41</v>
      </c>
      <c r="H2394" s="8" t="s">
        <v>42</v>
      </c>
      <c r="I2394" s="8" t="s">
        <v>43</v>
      </c>
      <c r="J2394" s="13" t="s">
        <v>44</v>
      </c>
      <c r="K2394" s="26"/>
      <c r="L2394" s="14"/>
    </row>
    <row r="2395" spans="1:12" ht="15" customHeight="1" x14ac:dyDescent="0.25">
      <c r="A2395" s="15" t="s">
        <v>45</v>
      </c>
      <c r="B2395" s="16"/>
      <c r="C2395" s="16"/>
      <c r="D2395" s="16"/>
      <c r="E2395" s="16"/>
      <c r="F2395" s="16"/>
      <c r="G2395" s="16"/>
      <c r="H2395" s="16"/>
      <c r="I2395" s="16"/>
      <c r="J2395" s="17"/>
      <c r="K2395" s="15">
        <v>0</v>
      </c>
      <c r="L2395" s="17"/>
    </row>
    <row r="2396" spans="1:12" x14ac:dyDescent="0.25">
      <c r="A2396" s="18"/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</row>
    <row r="2397" spans="1:12" ht="15" customHeight="1" x14ac:dyDescent="0.25">
      <c r="A2397" s="27" t="s">
        <v>46</v>
      </c>
      <c r="B2397" s="27"/>
      <c r="C2397" s="27"/>
      <c r="D2397" s="27"/>
      <c r="E2397" s="27"/>
      <c r="F2397" s="27"/>
      <c r="G2397" s="27"/>
      <c r="H2397" s="27"/>
      <c r="I2397" s="27"/>
      <c r="J2397" s="27"/>
      <c r="K2397" s="27">
        <v>0</v>
      </c>
      <c r="L2397" s="27"/>
    </row>
    <row r="2398" spans="1:12" ht="15" customHeight="1" x14ac:dyDescent="0.25">
      <c r="A2398" s="27" t="s">
        <v>47</v>
      </c>
      <c r="B2398" s="27"/>
      <c r="C2398" s="27"/>
      <c r="D2398" s="27"/>
      <c r="E2398" s="27"/>
      <c r="F2398" s="27"/>
      <c r="G2398" s="27"/>
      <c r="H2398" s="27"/>
      <c r="I2398" s="27"/>
      <c r="J2398" s="27"/>
      <c r="K2398" s="27">
        <v>1</v>
      </c>
      <c r="L2398" s="27"/>
    </row>
    <row r="2399" spans="1:12" ht="15" customHeight="1" x14ac:dyDescent="0.25">
      <c r="A2399" s="27" t="s">
        <v>48</v>
      </c>
      <c r="B2399" s="27"/>
      <c r="C2399" s="27"/>
      <c r="D2399" s="27"/>
      <c r="E2399" s="27"/>
      <c r="F2399" s="27"/>
      <c r="G2399" s="27"/>
      <c r="H2399" s="27"/>
      <c r="I2399" s="27"/>
      <c r="J2399" s="27"/>
      <c r="K2399" s="27">
        <v>0</v>
      </c>
      <c r="L2399" s="27"/>
    </row>
    <row r="2400" spans="1:12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</row>
    <row r="2401" spans="1:12" ht="15" customHeight="1" x14ac:dyDescent="0.25">
      <c r="A2401" s="10" t="s">
        <v>49</v>
      </c>
      <c r="B2401" s="11"/>
      <c r="C2401" s="11"/>
      <c r="D2401" s="11"/>
      <c r="E2401" s="12"/>
      <c r="F2401" s="8" t="s">
        <v>21</v>
      </c>
      <c r="G2401" s="8" t="s">
        <v>22</v>
      </c>
      <c r="H2401" s="9" t="s">
        <v>44</v>
      </c>
      <c r="I2401" s="13" t="s">
        <v>34</v>
      </c>
      <c r="J2401" s="14"/>
      <c r="K2401" s="13" t="s">
        <v>50</v>
      </c>
      <c r="L2401" s="14"/>
    </row>
    <row r="2402" spans="1:12" ht="15" customHeight="1" x14ac:dyDescent="0.25">
      <c r="A2402" s="15" t="s">
        <v>51</v>
      </c>
      <c r="B2402" s="16"/>
      <c r="C2402" s="16"/>
      <c r="D2402" s="16"/>
      <c r="E2402" s="16"/>
      <c r="F2402" s="16"/>
      <c r="G2402" s="16"/>
      <c r="H2402" s="16"/>
      <c r="I2402" s="16"/>
      <c r="J2402" s="17"/>
      <c r="K2402" s="15">
        <v>0</v>
      </c>
      <c r="L2402" s="17"/>
    </row>
    <row r="2403" spans="1:12" x14ac:dyDescent="0.25">
      <c r="A2403" s="18"/>
      <c r="B2403" s="18"/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</row>
    <row r="2404" spans="1:12" ht="15" customHeight="1" x14ac:dyDescent="0.25">
      <c r="A2404" s="10" t="s">
        <v>52</v>
      </c>
      <c r="B2404" s="11"/>
      <c r="C2404" s="11"/>
      <c r="D2404" s="11"/>
      <c r="E2404" s="12"/>
      <c r="F2404" s="8" t="s">
        <v>21</v>
      </c>
      <c r="G2404" s="8" t="s">
        <v>22</v>
      </c>
      <c r="H2404" s="9" t="s">
        <v>44</v>
      </c>
      <c r="I2404" s="13" t="s">
        <v>34</v>
      </c>
      <c r="J2404" s="14"/>
      <c r="K2404" s="13" t="s">
        <v>50</v>
      </c>
      <c r="L2404" s="14"/>
    </row>
    <row r="2405" spans="1:12" ht="30" customHeight="1" x14ac:dyDescent="0.25">
      <c r="A2405" s="21" t="s">
        <v>330</v>
      </c>
      <c r="B2405" s="22"/>
      <c r="C2405" s="22"/>
      <c r="D2405" s="22"/>
      <c r="E2405" s="23"/>
      <c r="F2405" s="19" t="s">
        <v>331</v>
      </c>
      <c r="G2405" s="19" t="s">
        <v>84</v>
      </c>
      <c r="H2405" s="20">
        <v>1</v>
      </c>
      <c r="I2405" s="29">
        <v>10109.719999999999</v>
      </c>
      <c r="J2405" s="30"/>
      <c r="K2405" s="29">
        <v>10109.719999999999</v>
      </c>
      <c r="L2405" s="30"/>
    </row>
    <row r="2406" spans="1:12" ht="15" customHeight="1" x14ac:dyDescent="0.25">
      <c r="A2406" s="15" t="s">
        <v>53</v>
      </c>
      <c r="B2406" s="16"/>
      <c r="C2406" s="16"/>
      <c r="D2406" s="16"/>
      <c r="E2406" s="16"/>
      <c r="F2406" s="16"/>
      <c r="G2406" s="16"/>
      <c r="H2406" s="16"/>
      <c r="I2406" s="16"/>
      <c r="J2406" s="17"/>
      <c r="K2406" s="31">
        <v>10109.719999999999</v>
      </c>
      <c r="L2406" s="32"/>
    </row>
    <row r="2407" spans="1:12" x14ac:dyDescent="0.25">
      <c r="A2407" s="18"/>
      <c r="B2407" s="18"/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</row>
    <row r="2408" spans="1:12" ht="15" customHeight="1" x14ac:dyDescent="0.25">
      <c r="A2408" s="10" t="s">
        <v>54</v>
      </c>
      <c r="B2408" s="11"/>
      <c r="C2408" s="12"/>
      <c r="D2408" s="8" t="s">
        <v>21</v>
      </c>
      <c r="E2408" s="8" t="s">
        <v>22</v>
      </c>
      <c r="F2408" s="9" t="s">
        <v>55</v>
      </c>
      <c r="G2408" s="8" t="s">
        <v>56</v>
      </c>
      <c r="H2408" s="8" t="s">
        <v>57</v>
      </c>
      <c r="I2408" s="8" t="s">
        <v>58</v>
      </c>
      <c r="J2408" s="9" t="s">
        <v>59</v>
      </c>
      <c r="K2408" s="9" t="s">
        <v>34</v>
      </c>
      <c r="L2408" s="9" t="s">
        <v>50</v>
      </c>
    </row>
    <row r="2409" spans="1:12" ht="15" customHeight="1" x14ac:dyDescent="0.25">
      <c r="A2409" s="15" t="s">
        <v>60</v>
      </c>
      <c r="B2409" s="16"/>
      <c r="C2409" s="16"/>
      <c r="D2409" s="16"/>
      <c r="E2409" s="16"/>
      <c r="F2409" s="16"/>
      <c r="G2409" s="16"/>
      <c r="H2409" s="16"/>
      <c r="I2409" s="16"/>
      <c r="J2409" s="17"/>
      <c r="K2409" s="15">
        <v>0</v>
      </c>
      <c r="L2409" s="17"/>
    </row>
    <row r="2410" spans="1:12" x14ac:dyDescent="0.25">
      <c r="A2410" s="18"/>
      <c r="B2410" s="18"/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</row>
    <row r="2411" spans="1:12" ht="15" customHeight="1" x14ac:dyDescent="0.25">
      <c r="A2411" s="27" t="s">
        <v>61</v>
      </c>
      <c r="B2411" s="27"/>
      <c r="C2411" s="27"/>
      <c r="D2411" s="27"/>
      <c r="E2411" s="27"/>
      <c r="F2411" s="27"/>
      <c r="G2411" s="27"/>
      <c r="H2411" s="27"/>
      <c r="I2411" s="27"/>
      <c r="J2411" s="27"/>
      <c r="K2411" s="28">
        <v>10109.719999999999</v>
      </c>
      <c r="L2411" s="28"/>
    </row>
    <row r="2412" spans="1:12" ht="15" customHeight="1" x14ac:dyDescent="0.25">
      <c r="A2412" s="27" t="s">
        <v>62</v>
      </c>
      <c r="B2412" s="27"/>
      <c r="C2412" s="27"/>
      <c r="D2412" s="27"/>
      <c r="E2412" s="27"/>
      <c r="F2412" s="27"/>
      <c r="G2412" s="27"/>
      <c r="H2412" s="27"/>
      <c r="I2412" s="27"/>
      <c r="J2412" s="27"/>
      <c r="K2412" s="28">
        <v>3361.48</v>
      </c>
      <c r="L2412" s="28"/>
    </row>
    <row r="2413" spans="1:12" ht="15" customHeight="1" x14ac:dyDescent="0.25">
      <c r="A2413" s="27" t="s">
        <v>63</v>
      </c>
      <c r="B2413" s="27"/>
      <c r="C2413" s="27"/>
      <c r="D2413" s="27"/>
      <c r="E2413" s="27"/>
      <c r="F2413" s="27"/>
      <c r="G2413" s="27"/>
      <c r="H2413" s="27"/>
      <c r="I2413" s="27"/>
      <c r="J2413" s="27"/>
      <c r="K2413" s="28">
        <v>13471.2</v>
      </c>
      <c r="L2413" s="28"/>
    </row>
    <row r="2414" spans="1:12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</row>
    <row r="2415" spans="1:12" ht="15" customHeight="1" x14ac:dyDescent="0.25">
      <c r="A2415" s="3" t="s">
        <v>8</v>
      </c>
      <c r="B2415" s="6" t="s">
        <v>9</v>
      </c>
      <c r="C2415" s="6"/>
      <c r="D2415" s="6"/>
      <c r="E2415" s="6"/>
      <c r="F2415" s="6"/>
      <c r="G2415" s="6"/>
      <c r="H2415" s="6"/>
      <c r="I2415" s="6"/>
      <c r="J2415" s="6"/>
      <c r="K2415" s="6"/>
      <c r="L2415" s="6"/>
    </row>
    <row r="2416" spans="1:12" ht="15" customHeight="1" x14ac:dyDescent="0.25">
      <c r="A2416" s="3" t="s">
        <v>10</v>
      </c>
      <c r="B2416" s="6" t="s">
        <v>332</v>
      </c>
      <c r="C2416" s="6"/>
      <c r="D2416" s="6"/>
      <c r="E2416" s="6"/>
      <c r="F2416" s="6"/>
      <c r="G2416" s="6"/>
      <c r="H2416" s="6"/>
      <c r="I2416" s="6"/>
      <c r="J2416" s="6"/>
      <c r="K2416" s="3" t="s">
        <v>12</v>
      </c>
      <c r="L2416" s="4" t="s">
        <v>87</v>
      </c>
    </row>
    <row r="2417" spans="1:12" ht="15" customHeight="1" x14ac:dyDescent="0.25">
      <c r="A2417" s="3" t="s">
        <v>14</v>
      </c>
      <c r="B2417" s="6" t="s">
        <v>88</v>
      </c>
      <c r="C2417" s="6"/>
      <c r="D2417" s="7" t="s">
        <v>16</v>
      </c>
      <c r="E2417" s="7"/>
      <c r="F2417" s="6" t="str">
        <f>"3673.000074"</f>
        <v>3673.000074</v>
      </c>
      <c r="G2417" s="6"/>
      <c r="H2417" s="3" t="s">
        <v>17</v>
      </c>
      <c r="I2417" s="6" t="s">
        <v>89</v>
      </c>
      <c r="J2417" s="6"/>
      <c r="K2417" s="3" t="s">
        <v>19</v>
      </c>
      <c r="L2417" s="5">
        <v>1</v>
      </c>
    </row>
    <row r="2418" spans="1:12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</row>
    <row r="2419" spans="1:12" ht="15" customHeight="1" x14ac:dyDescent="0.25">
      <c r="A2419" s="10" t="s">
        <v>20</v>
      </c>
      <c r="B2419" s="11"/>
      <c r="C2419" s="12"/>
      <c r="D2419" s="8" t="s">
        <v>21</v>
      </c>
      <c r="E2419" s="8" t="s">
        <v>22</v>
      </c>
      <c r="F2419" s="9" t="s">
        <v>23</v>
      </c>
      <c r="G2419" s="9" t="s">
        <v>24</v>
      </c>
      <c r="H2419" s="9" t="s">
        <v>25</v>
      </c>
      <c r="I2419" s="9" t="s">
        <v>26</v>
      </c>
      <c r="J2419" s="9" t="s">
        <v>27</v>
      </c>
      <c r="K2419" s="13" t="s">
        <v>28</v>
      </c>
      <c r="L2419" s="14"/>
    </row>
    <row r="2420" spans="1:12" ht="15" customHeight="1" x14ac:dyDescent="0.25">
      <c r="A2420" s="15" t="s">
        <v>29</v>
      </c>
      <c r="B2420" s="16"/>
      <c r="C2420" s="16"/>
      <c r="D2420" s="16"/>
      <c r="E2420" s="16"/>
      <c r="F2420" s="16"/>
      <c r="G2420" s="16"/>
      <c r="H2420" s="16"/>
      <c r="I2420" s="16"/>
      <c r="J2420" s="17"/>
      <c r="K2420" s="15">
        <v>0</v>
      </c>
      <c r="L2420" s="17"/>
    </row>
    <row r="2421" spans="1:12" x14ac:dyDescent="0.25">
      <c r="A2421" s="18"/>
      <c r="B2421" s="18"/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</row>
    <row r="2422" spans="1:12" ht="15" customHeight="1" x14ac:dyDescent="0.25">
      <c r="A2422" s="10" t="s">
        <v>30</v>
      </c>
      <c r="B2422" s="11"/>
      <c r="C2422" s="12"/>
      <c r="D2422" s="8" t="s">
        <v>21</v>
      </c>
      <c r="E2422" s="8" t="s">
        <v>22</v>
      </c>
      <c r="F2422" s="9" t="s">
        <v>31</v>
      </c>
      <c r="G2422" s="9" t="s">
        <v>32</v>
      </c>
      <c r="H2422" s="9" t="s">
        <v>33</v>
      </c>
      <c r="I2422" s="13" t="s">
        <v>34</v>
      </c>
      <c r="J2422" s="14"/>
      <c r="K2422" s="13" t="s">
        <v>28</v>
      </c>
      <c r="L2422" s="14"/>
    </row>
    <row r="2423" spans="1:12" ht="15" customHeight="1" x14ac:dyDescent="0.25">
      <c r="A2423" s="21" t="s">
        <v>281</v>
      </c>
      <c r="B2423" s="22"/>
      <c r="C2423" s="23"/>
      <c r="D2423" s="19" t="str">
        <f>"010101"</f>
        <v>010101</v>
      </c>
      <c r="E2423" s="19" t="s">
        <v>36</v>
      </c>
      <c r="F2423" s="20">
        <v>8.5299999999999994</v>
      </c>
      <c r="G2423" s="20">
        <v>157.27000000000001</v>
      </c>
      <c r="H2423" s="20">
        <v>21.94</v>
      </c>
      <c r="I2423" s="24">
        <v>0.4</v>
      </c>
      <c r="J2423" s="25"/>
      <c r="K2423" s="24">
        <v>8.77</v>
      </c>
      <c r="L2423" s="25"/>
    </row>
    <row r="2424" spans="1:12" ht="15" customHeight="1" x14ac:dyDescent="0.25">
      <c r="A2424" s="21" t="s">
        <v>333</v>
      </c>
      <c r="B2424" s="22"/>
      <c r="C2424" s="23"/>
      <c r="D2424" s="19" t="str">
        <f>"010130"</f>
        <v>010130</v>
      </c>
      <c r="E2424" s="19" t="s">
        <v>36</v>
      </c>
      <c r="F2424" s="20">
        <v>13.35</v>
      </c>
      <c r="G2424" s="20">
        <v>157.27000000000001</v>
      </c>
      <c r="H2424" s="20">
        <v>34.340000000000003</v>
      </c>
      <c r="I2424" s="24">
        <v>0.4</v>
      </c>
      <c r="J2424" s="25"/>
      <c r="K2424" s="24">
        <v>13.73</v>
      </c>
      <c r="L2424" s="25"/>
    </row>
    <row r="2425" spans="1:12" ht="15" customHeight="1" x14ac:dyDescent="0.25">
      <c r="A2425" s="15" t="s">
        <v>38</v>
      </c>
      <c r="B2425" s="16"/>
      <c r="C2425" s="16"/>
      <c r="D2425" s="16"/>
      <c r="E2425" s="16"/>
      <c r="F2425" s="16"/>
      <c r="G2425" s="16"/>
      <c r="H2425" s="16"/>
      <c r="I2425" s="16"/>
      <c r="J2425" s="17"/>
      <c r="K2425" s="15">
        <v>22.5</v>
      </c>
      <c r="L2425" s="17"/>
    </row>
    <row r="2426" spans="1:12" x14ac:dyDescent="0.25">
      <c r="A2426" s="18"/>
      <c r="B2426" s="18"/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</row>
    <row r="2427" spans="1:12" ht="15" customHeight="1" x14ac:dyDescent="0.25">
      <c r="A2427" s="10" t="s">
        <v>39</v>
      </c>
      <c r="B2427" s="11"/>
      <c r="C2427" s="12"/>
      <c r="D2427" s="8" t="s">
        <v>21</v>
      </c>
      <c r="E2427" s="13" t="s">
        <v>40</v>
      </c>
      <c r="F2427" s="14"/>
      <c r="G2427" s="8" t="s">
        <v>41</v>
      </c>
      <c r="H2427" s="8" t="s">
        <v>42</v>
      </c>
      <c r="I2427" s="8" t="s">
        <v>43</v>
      </c>
      <c r="J2427" s="13" t="s">
        <v>44</v>
      </c>
      <c r="K2427" s="26"/>
      <c r="L2427" s="14"/>
    </row>
    <row r="2428" spans="1:12" ht="15" customHeight="1" x14ac:dyDescent="0.25">
      <c r="A2428" s="21" t="s">
        <v>146</v>
      </c>
      <c r="B2428" s="22"/>
      <c r="C2428" s="23"/>
      <c r="D2428" s="19" t="s">
        <v>147</v>
      </c>
      <c r="E2428" s="24">
        <v>0.52</v>
      </c>
      <c r="F2428" s="25"/>
      <c r="G2428" s="20"/>
      <c r="H2428" s="20"/>
      <c r="I2428" s="20" t="s">
        <v>148</v>
      </c>
      <c r="J2428" s="24">
        <v>117.43</v>
      </c>
      <c r="K2428" s="33"/>
      <c r="L2428" s="25"/>
    </row>
    <row r="2429" spans="1:12" ht="15" customHeight="1" x14ac:dyDescent="0.25">
      <c r="A2429" s="15" t="s">
        <v>45</v>
      </c>
      <c r="B2429" s="16"/>
      <c r="C2429" s="16"/>
      <c r="D2429" s="16"/>
      <c r="E2429" s="16"/>
      <c r="F2429" s="16"/>
      <c r="G2429" s="16"/>
      <c r="H2429" s="16"/>
      <c r="I2429" s="16"/>
      <c r="J2429" s="17"/>
      <c r="K2429" s="15">
        <v>117.43</v>
      </c>
      <c r="L2429" s="17"/>
    </row>
    <row r="2430" spans="1:12" x14ac:dyDescent="0.25">
      <c r="A2430" s="18"/>
      <c r="B2430" s="18"/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</row>
    <row r="2431" spans="1:12" ht="15" customHeight="1" x14ac:dyDescent="0.25">
      <c r="A2431" s="27" t="s">
        <v>46</v>
      </c>
      <c r="B2431" s="27"/>
      <c r="C2431" s="27"/>
      <c r="D2431" s="27"/>
      <c r="E2431" s="27"/>
      <c r="F2431" s="27"/>
      <c r="G2431" s="27"/>
      <c r="H2431" s="27"/>
      <c r="I2431" s="27"/>
      <c r="J2431" s="27"/>
      <c r="K2431" s="27">
        <v>139.93</v>
      </c>
      <c r="L2431" s="27"/>
    </row>
    <row r="2432" spans="1:12" ht="15" customHeight="1" x14ac:dyDescent="0.25">
      <c r="A2432" s="27" t="s">
        <v>47</v>
      </c>
      <c r="B2432" s="27"/>
      <c r="C2432" s="27"/>
      <c r="D2432" s="27"/>
      <c r="E2432" s="27"/>
      <c r="F2432" s="27"/>
      <c r="G2432" s="27"/>
      <c r="H2432" s="27"/>
      <c r="I2432" s="27"/>
      <c r="J2432" s="27"/>
      <c r="K2432" s="27">
        <v>1</v>
      </c>
      <c r="L2432" s="27"/>
    </row>
    <row r="2433" spans="1:12" ht="15" customHeight="1" x14ac:dyDescent="0.25">
      <c r="A2433" s="27" t="s">
        <v>48</v>
      </c>
      <c r="B2433" s="27"/>
      <c r="C2433" s="27"/>
      <c r="D2433" s="27"/>
      <c r="E2433" s="27"/>
      <c r="F2433" s="27"/>
      <c r="G2433" s="27"/>
      <c r="H2433" s="27"/>
      <c r="I2433" s="27"/>
      <c r="J2433" s="27"/>
      <c r="K2433" s="27">
        <v>139.93</v>
      </c>
      <c r="L2433" s="27"/>
    </row>
    <row r="2434" spans="1:12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</row>
    <row r="2435" spans="1:12" ht="15" customHeight="1" x14ac:dyDescent="0.25">
      <c r="A2435" s="10" t="s">
        <v>49</v>
      </c>
      <c r="B2435" s="11"/>
      <c r="C2435" s="11"/>
      <c r="D2435" s="11"/>
      <c r="E2435" s="12"/>
      <c r="F2435" s="8" t="s">
        <v>21</v>
      </c>
      <c r="G2435" s="8" t="s">
        <v>22</v>
      </c>
      <c r="H2435" s="9" t="s">
        <v>44</v>
      </c>
      <c r="I2435" s="13" t="s">
        <v>34</v>
      </c>
      <c r="J2435" s="14"/>
      <c r="K2435" s="13" t="s">
        <v>50</v>
      </c>
      <c r="L2435" s="14"/>
    </row>
    <row r="2436" spans="1:12" ht="15" customHeight="1" x14ac:dyDescent="0.25">
      <c r="A2436" s="21" t="s">
        <v>334</v>
      </c>
      <c r="B2436" s="22"/>
      <c r="C2436" s="22"/>
      <c r="D2436" s="22"/>
      <c r="E2436" s="23"/>
      <c r="F2436" s="19" t="str">
        <f>"078423"</f>
        <v>078423</v>
      </c>
      <c r="G2436" s="19" t="s">
        <v>157</v>
      </c>
      <c r="H2436" s="20">
        <v>240.25</v>
      </c>
      <c r="I2436" s="24">
        <v>0.94</v>
      </c>
      <c r="J2436" s="25"/>
      <c r="K2436" s="24">
        <v>225.83</v>
      </c>
      <c r="L2436" s="25"/>
    </row>
    <row r="2437" spans="1:12" ht="15" customHeight="1" x14ac:dyDescent="0.25">
      <c r="A2437" s="15" t="s">
        <v>51</v>
      </c>
      <c r="B2437" s="16"/>
      <c r="C2437" s="16"/>
      <c r="D2437" s="16"/>
      <c r="E2437" s="16"/>
      <c r="F2437" s="16"/>
      <c r="G2437" s="16"/>
      <c r="H2437" s="16"/>
      <c r="I2437" s="16"/>
      <c r="J2437" s="17"/>
      <c r="K2437" s="15">
        <v>225.83</v>
      </c>
      <c r="L2437" s="17"/>
    </row>
    <row r="2438" spans="1:12" x14ac:dyDescent="0.25">
      <c r="A2438" s="18"/>
      <c r="B2438" s="18"/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</row>
    <row r="2439" spans="1:12" ht="15" customHeight="1" x14ac:dyDescent="0.25">
      <c r="A2439" s="10" t="s">
        <v>52</v>
      </c>
      <c r="B2439" s="11"/>
      <c r="C2439" s="11"/>
      <c r="D2439" s="11"/>
      <c r="E2439" s="12"/>
      <c r="F2439" s="8" t="s">
        <v>21</v>
      </c>
      <c r="G2439" s="8" t="s">
        <v>22</v>
      </c>
      <c r="H2439" s="9" t="s">
        <v>44</v>
      </c>
      <c r="I2439" s="13" t="s">
        <v>34</v>
      </c>
      <c r="J2439" s="14"/>
      <c r="K2439" s="13" t="s">
        <v>50</v>
      </c>
      <c r="L2439" s="14"/>
    </row>
    <row r="2440" spans="1:12" ht="15" customHeight="1" x14ac:dyDescent="0.25">
      <c r="A2440" s="15" t="s">
        <v>53</v>
      </c>
      <c r="B2440" s="16"/>
      <c r="C2440" s="16"/>
      <c r="D2440" s="16"/>
      <c r="E2440" s="16"/>
      <c r="F2440" s="16"/>
      <c r="G2440" s="16"/>
      <c r="H2440" s="16"/>
      <c r="I2440" s="16"/>
      <c r="J2440" s="17"/>
      <c r="K2440" s="15">
        <v>0</v>
      </c>
      <c r="L2440" s="17"/>
    </row>
    <row r="2441" spans="1:12" x14ac:dyDescent="0.25">
      <c r="A2441" s="18"/>
      <c r="B2441" s="18"/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</row>
    <row r="2442" spans="1:12" ht="15" customHeight="1" x14ac:dyDescent="0.25">
      <c r="A2442" s="10" t="s">
        <v>54</v>
      </c>
      <c r="B2442" s="11"/>
      <c r="C2442" s="12"/>
      <c r="D2442" s="8" t="s">
        <v>21</v>
      </c>
      <c r="E2442" s="8" t="s">
        <v>22</v>
      </c>
      <c r="F2442" s="9" t="s">
        <v>55</v>
      </c>
      <c r="G2442" s="8" t="s">
        <v>56</v>
      </c>
      <c r="H2442" s="8" t="s">
        <v>57</v>
      </c>
      <c r="I2442" s="8" t="s">
        <v>58</v>
      </c>
      <c r="J2442" s="9" t="s">
        <v>59</v>
      </c>
      <c r="K2442" s="9" t="s">
        <v>34</v>
      </c>
      <c r="L2442" s="9" t="s">
        <v>50</v>
      </c>
    </row>
    <row r="2443" spans="1:12" ht="15" customHeight="1" x14ac:dyDescent="0.25">
      <c r="A2443" s="15" t="s">
        <v>60</v>
      </c>
      <c r="B2443" s="16"/>
      <c r="C2443" s="16"/>
      <c r="D2443" s="16"/>
      <c r="E2443" s="16"/>
      <c r="F2443" s="16"/>
      <c r="G2443" s="16"/>
      <c r="H2443" s="16"/>
      <c r="I2443" s="16"/>
      <c r="J2443" s="17"/>
      <c r="K2443" s="15">
        <v>0</v>
      </c>
      <c r="L2443" s="17"/>
    </row>
    <row r="2444" spans="1:12" x14ac:dyDescent="0.25">
      <c r="A2444" s="18"/>
      <c r="B2444" s="18"/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</row>
    <row r="2445" spans="1:12" ht="15" customHeight="1" x14ac:dyDescent="0.25">
      <c r="A2445" s="27" t="s">
        <v>61</v>
      </c>
      <c r="B2445" s="27"/>
      <c r="C2445" s="27"/>
      <c r="D2445" s="27"/>
      <c r="E2445" s="27"/>
      <c r="F2445" s="27"/>
      <c r="G2445" s="27"/>
      <c r="H2445" s="27"/>
      <c r="I2445" s="27"/>
      <c r="J2445" s="27"/>
      <c r="K2445" s="27">
        <v>365.76</v>
      </c>
      <c r="L2445" s="27"/>
    </row>
    <row r="2446" spans="1:12" ht="15" customHeight="1" x14ac:dyDescent="0.25">
      <c r="A2446" s="27" t="s">
        <v>62</v>
      </c>
      <c r="B2446" s="27"/>
      <c r="C2446" s="27"/>
      <c r="D2446" s="27"/>
      <c r="E2446" s="27"/>
      <c r="F2446" s="27"/>
      <c r="G2446" s="27"/>
      <c r="H2446" s="27"/>
      <c r="I2446" s="27"/>
      <c r="J2446" s="27"/>
      <c r="K2446" s="27">
        <v>121.62</v>
      </c>
      <c r="L2446" s="27"/>
    </row>
    <row r="2447" spans="1:12" ht="15" customHeight="1" x14ac:dyDescent="0.25">
      <c r="A2447" s="27" t="s">
        <v>63</v>
      </c>
      <c r="B2447" s="27"/>
      <c r="C2447" s="27"/>
      <c r="D2447" s="27"/>
      <c r="E2447" s="27"/>
      <c r="F2447" s="27"/>
      <c r="G2447" s="27"/>
      <c r="H2447" s="27"/>
      <c r="I2447" s="27"/>
      <c r="J2447" s="27"/>
      <c r="K2447" s="27">
        <v>487.38</v>
      </c>
      <c r="L2447" s="27"/>
    </row>
    <row r="2448" spans="1:12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</row>
    <row r="2449" spans="1:12" ht="15" customHeight="1" x14ac:dyDescent="0.25">
      <c r="A2449" s="3" t="s">
        <v>8</v>
      </c>
      <c r="B2449" s="6" t="s">
        <v>9</v>
      </c>
      <c r="C2449" s="6"/>
      <c r="D2449" s="6"/>
      <c r="E2449" s="6"/>
      <c r="F2449" s="6"/>
      <c r="G2449" s="6"/>
      <c r="H2449" s="6"/>
      <c r="I2449" s="6"/>
      <c r="J2449" s="6"/>
      <c r="K2449" s="6"/>
      <c r="L2449" s="6"/>
    </row>
    <row r="2450" spans="1:12" ht="15" customHeight="1" x14ac:dyDescent="0.25">
      <c r="A2450" s="3" t="s">
        <v>10</v>
      </c>
      <c r="B2450" s="6" t="s">
        <v>335</v>
      </c>
      <c r="C2450" s="6"/>
      <c r="D2450" s="6"/>
      <c r="E2450" s="6"/>
      <c r="F2450" s="6"/>
      <c r="G2450" s="6"/>
      <c r="H2450" s="6"/>
      <c r="I2450" s="6"/>
      <c r="J2450" s="6"/>
      <c r="K2450" s="3" t="s">
        <v>12</v>
      </c>
      <c r="L2450" s="4" t="s">
        <v>84</v>
      </c>
    </row>
    <row r="2451" spans="1:12" ht="15" customHeight="1" x14ac:dyDescent="0.25">
      <c r="A2451" s="3" t="s">
        <v>14</v>
      </c>
      <c r="B2451" s="6" t="s">
        <v>88</v>
      </c>
      <c r="C2451" s="6"/>
      <c r="D2451" s="7" t="s">
        <v>16</v>
      </c>
      <c r="E2451" s="7"/>
      <c r="F2451" s="6" t="str">
        <f>"2D31.000179"</f>
        <v>2D31.000179</v>
      </c>
      <c r="G2451" s="6"/>
      <c r="H2451" s="3" t="s">
        <v>17</v>
      </c>
      <c r="I2451" s="6" t="s">
        <v>89</v>
      </c>
      <c r="J2451" s="6"/>
      <c r="K2451" s="3" t="s">
        <v>19</v>
      </c>
      <c r="L2451" s="5">
        <v>1</v>
      </c>
    </row>
    <row r="2452" spans="1:12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</row>
    <row r="2453" spans="1:12" ht="15" customHeight="1" x14ac:dyDescent="0.25">
      <c r="A2453" s="10" t="s">
        <v>20</v>
      </c>
      <c r="B2453" s="11"/>
      <c r="C2453" s="12"/>
      <c r="D2453" s="8" t="s">
        <v>21</v>
      </c>
      <c r="E2453" s="8" t="s">
        <v>22</v>
      </c>
      <c r="F2453" s="9" t="s">
        <v>23</v>
      </c>
      <c r="G2453" s="9" t="s">
        <v>24</v>
      </c>
      <c r="H2453" s="9" t="s">
        <v>25</v>
      </c>
      <c r="I2453" s="9" t="s">
        <v>26</v>
      </c>
      <c r="J2453" s="9" t="s">
        <v>27</v>
      </c>
      <c r="K2453" s="13" t="s">
        <v>28</v>
      </c>
      <c r="L2453" s="14"/>
    </row>
    <row r="2454" spans="1:12" ht="15" customHeight="1" x14ac:dyDescent="0.25">
      <c r="A2454" s="15" t="s">
        <v>29</v>
      </c>
      <c r="B2454" s="16"/>
      <c r="C2454" s="16"/>
      <c r="D2454" s="16"/>
      <c r="E2454" s="16"/>
      <c r="F2454" s="16"/>
      <c r="G2454" s="16"/>
      <c r="H2454" s="16"/>
      <c r="I2454" s="16"/>
      <c r="J2454" s="17"/>
      <c r="K2454" s="15">
        <v>0</v>
      </c>
      <c r="L2454" s="17"/>
    </row>
    <row r="2455" spans="1:12" x14ac:dyDescent="0.25">
      <c r="A2455" s="18"/>
      <c r="B2455" s="18"/>
      <c r="C2455" s="18"/>
      <c r="D2455" s="18"/>
      <c r="E2455" s="18"/>
      <c r="F2455" s="18"/>
      <c r="G2455" s="18"/>
      <c r="H2455" s="18"/>
      <c r="I2455" s="18"/>
      <c r="J2455" s="18"/>
      <c r="K2455" s="18"/>
      <c r="L2455" s="18"/>
    </row>
    <row r="2456" spans="1:12" ht="15" customHeight="1" x14ac:dyDescent="0.25">
      <c r="A2456" s="10" t="s">
        <v>30</v>
      </c>
      <c r="B2456" s="11"/>
      <c r="C2456" s="12"/>
      <c r="D2456" s="8" t="s">
        <v>21</v>
      </c>
      <c r="E2456" s="8" t="s">
        <v>22</v>
      </c>
      <c r="F2456" s="9" t="s">
        <v>31</v>
      </c>
      <c r="G2456" s="9" t="s">
        <v>32</v>
      </c>
      <c r="H2456" s="9" t="s">
        <v>33</v>
      </c>
      <c r="I2456" s="13" t="s">
        <v>34</v>
      </c>
      <c r="J2456" s="14"/>
      <c r="K2456" s="13" t="s">
        <v>28</v>
      </c>
      <c r="L2456" s="14"/>
    </row>
    <row r="2457" spans="1:12" ht="15" customHeight="1" x14ac:dyDescent="0.25">
      <c r="A2457" s="21" t="s">
        <v>281</v>
      </c>
      <c r="B2457" s="22"/>
      <c r="C2457" s="23"/>
      <c r="D2457" s="19" t="str">
        <f>"010101"</f>
        <v>010101</v>
      </c>
      <c r="E2457" s="19" t="s">
        <v>36</v>
      </c>
      <c r="F2457" s="20">
        <v>8.5299999999999994</v>
      </c>
      <c r="G2457" s="20">
        <v>157.27000000000001</v>
      </c>
      <c r="H2457" s="20">
        <v>21.94</v>
      </c>
      <c r="I2457" s="24">
        <v>1.5</v>
      </c>
      <c r="J2457" s="25"/>
      <c r="K2457" s="24">
        <v>32.909999999999997</v>
      </c>
      <c r="L2457" s="25"/>
    </row>
    <row r="2458" spans="1:12" ht="15" customHeight="1" x14ac:dyDescent="0.25">
      <c r="A2458" s="21" t="s">
        <v>336</v>
      </c>
      <c r="B2458" s="22"/>
      <c r="C2458" s="23"/>
      <c r="D2458" s="19" t="str">
        <f>"010115"</f>
        <v>010115</v>
      </c>
      <c r="E2458" s="19" t="s">
        <v>36</v>
      </c>
      <c r="F2458" s="20">
        <v>10.119999999999999</v>
      </c>
      <c r="G2458" s="20">
        <v>157.27000000000001</v>
      </c>
      <c r="H2458" s="20">
        <v>26.03</v>
      </c>
      <c r="I2458" s="24">
        <v>1.5</v>
      </c>
      <c r="J2458" s="25"/>
      <c r="K2458" s="24">
        <v>39.04</v>
      </c>
      <c r="L2458" s="25"/>
    </row>
    <row r="2459" spans="1:12" ht="15" customHeight="1" x14ac:dyDescent="0.25">
      <c r="A2459" s="15" t="s">
        <v>38</v>
      </c>
      <c r="B2459" s="16"/>
      <c r="C2459" s="16"/>
      <c r="D2459" s="16"/>
      <c r="E2459" s="16"/>
      <c r="F2459" s="16"/>
      <c r="G2459" s="16"/>
      <c r="H2459" s="16"/>
      <c r="I2459" s="16"/>
      <c r="J2459" s="17"/>
      <c r="K2459" s="15">
        <v>71.95</v>
      </c>
      <c r="L2459" s="17"/>
    </row>
    <row r="2460" spans="1:12" x14ac:dyDescent="0.25">
      <c r="A2460" s="18"/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</row>
    <row r="2461" spans="1:12" ht="15" customHeight="1" x14ac:dyDescent="0.25">
      <c r="A2461" s="10" t="s">
        <v>39</v>
      </c>
      <c r="B2461" s="11"/>
      <c r="C2461" s="12"/>
      <c r="D2461" s="8" t="s">
        <v>21</v>
      </c>
      <c r="E2461" s="13" t="s">
        <v>40</v>
      </c>
      <c r="F2461" s="14"/>
      <c r="G2461" s="8" t="s">
        <v>41</v>
      </c>
      <c r="H2461" s="8" t="s">
        <v>42</v>
      </c>
      <c r="I2461" s="8" t="s">
        <v>43</v>
      </c>
      <c r="J2461" s="13" t="s">
        <v>44</v>
      </c>
      <c r="K2461" s="26"/>
      <c r="L2461" s="14"/>
    </row>
    <row r="2462" spans="1:12" ht="15" customHeight="1" x14ac:dyDescent="0.25">
      <c r="A2462" s="15" t="s">
        <v>45</v>
      </c>
      <c r="B2462" s="16"/>
      <c r="C2462" s="16"/>
      <c r="D2462" s="16"/>
      <c r="E2462" s="16"/>
      <c r="F2462" s="16"/>
      <c r="G2462" s="16"/>
      <c r="H2462" s="16"/>
      <c r="I2462" s="16"/>
      <c r="J2462" s="17"/>
      <c r="K2462" s="15">
        <v>0</v>
      </c>
      <c r="L2462" s="17"/>
    </row>
    <row r="2463" spans="1:12" x14ac:dyDescent="0.25">
      <c r="A2463" s="18"/>
      <c r="B2463" s="18"/>
      <c r="C2463" s="18"/>
      <c r="D2463" s="18"/>
      <c r="E2463" s="18"/>
      <c r="F2463" s="18"/>
      <c r="G2463" s="18"/>
      <c r="H2463" s="18"/>
      <c r="I2463" s="18"/>
      <c r="J2463" s="18"/>
      <c r="K2463" s="18"/>
      <c r="L2463" s="18"/>
    </row>
    <row r="2464" spans="1:12" ht="15" customHeight="1" x14ac:dyDescent="0.25">
      <c r="A2464" s="27" t="s">
        <v>46</v>
      </c>
      <c r="B2464" s="27"/>
      <c r="C2464" s="27"/>
      <c r="D2464" s="27"/>
      <c r="E2464" s="27"/>
      <c r="F2464" s="27"/>
      <c r="G2464" s="27"/>
      <c r="H2464" s="27"/>
      <c r="I2464" s="27"/>
      <c r="J2464" s="27"/>
      <c r="K2464" s="27">
        <v>71.95</v>
      </c>
      <c r="L2464" s="27"/>
    </row>
    <row r="2465" spans="1:12" ht="15" customHeight="1" x14ac:dyDescent="0.25">
      <c r="A2465" s="27" t="s">
        <v>47</v>
      </c>
      <c r="B2465" s="27"/>
      <c r="C2465" s="27"/>
      <c r="D2465" s="27"/>
      <c r="E2465" s="27"/>
      <c r="F2465" s="27"/>
      <c r="G2465" s="27"/>
      <c r="H2465" s="27"/>
      <c r="I2465" s="27"/>
      <c r="J2465" s="27"/>
      <c r="K2465" s="27">
        <v>1</v>
      </c>
      <c r="L2465" s="27"/>
    </row>
    <row r="2466" spans="1:12" ht="15" customHeight="1" x14ac:dyDescent="0.25">
      <c r="A2466" s="27" t="s">
        <v>48</v>
      </c>
      <c r="B2466" s="27"/>
      <c r="C2466" s="27"/>
      <c r="D2466" s="27"/>
      <c r="E2466" s="27"/>
      <c r="F2466" s="27"/>
      <c r="G2466" s="27"/>
      <c r="H2466" s="27"/>
      <c r="I2466" s="27"/>
      <c r="J2466" s="27"/>
      <c r="K2466" s="27">
        <v>71.95</v>
      </c>
      <c r="L2466" s="27"/>
    </row>
    <row r="2467" spans="1:12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</row>
    <row r="2468" spans="1:12" ht="15" customHeight="1" x14ac:dyDescent="0.25">
      <c r="A2468" s="10" t="s">
        <v>49</v>
      </c>
      <c r="B2468" s="11"/>
      <c r="C2468" s="11"/>
      <c r="D2468" s="11"/>
      <c r="E2468" s="12"/>
      <c r="F2468" s="8" t="s">
        <v>21</v>
      </c>
      <c r="G2468" s="8" t="s">
        <v>22</v>
      </c>
      <c r="H2468" s="9" t="s">
        <v>44</v>
      </c>
      <c r="I2468" s="13" t="s">
        <v>34</v>
      </c>
      <c r="J2468" s="14"/>
      <c r="K2468" s="13" t="s">
        <v>50</v>
      </c>
      <c r="L2468" s="14"/>
    </row>
    <row r="2469" spans="1:12" ht="15" customHeight="1" x14ac:dyDescent="0.25">
      <c r="A2469" s="21" t="s">
        <v>337</v>
      </c>
      <c r="B2469" s="22"/>
      <c r="C2469" s="22"/>
      <c r="D2469" s="22"/>
      <c r="E2469" s="23"/>
      <c r="F2469" s="19" t="str">
        <f>"047735"</f>
        <v>047735</v>
      </c>
      <c r="G2469" s="19" t="s">
        <v>81</v>
      </c>
      <c r="H2469" s="34">
        <v>1662.48</v>
      </c>
      <c r="I2469" s="24">
        <v>1</v>
      </c>
      <c r="J2469" s="25"/>
      <c r="K2469" s="29">
        <v>1662.48</v>
      </c>
      <c r="L2469" s="30"/>
    </row>
    <row r="2470" spans="1:12" ht="15" customHeight="1" x14ac:dyDescent="0.25">
      <c r="A2470" s="15" t="s">
        <v>51</v>
      </c>
      <c r="B2470" s="16"/>
      <c r="C2470" s="16"/>
      <c r="D2470" s="16"/>
      <c r="E2470" s="16"/>
      <c r="F2470" s="16"/>
      <c r="G2470" s="16"/>
      <c r="H2470" s="16"/>
      <c r="I2470" s="16"/>
      <c r="J2470" s="17"/>
      <c r="K2470" s="31">
        <v>1662.48</v>
      </c>
      <c r="L2470" s="32"/>
    </row>
    <row r="2471" spans="1:12" x14ac:dyDescent="0.25">
      <c r="A2471" s="18"/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</row>
    <row r="2472" spans="1:12" ht="15" customHeight="1" x14ac:dyDescent="0.25">
      <c r="A2472" s="10" t="s">
        <v>52</v>
      </c>
      <c r="B2472" s="11"/>
      <c r="C2472" s="11"/>
      <c r="D2472" s="11"/>
      <c r="E2472" s="12"/>
      <c r="F2472" s="8" t="s">
        <v>21</v>
      </c>
      <c r="G2472" s="8" t="s">
        <v>22</v>
      </c>
      <c r="H2472" s="9" t="s">
        <v>44</v>
      </c>
      <c r="I2472" s="13" t="s">
        <v>34</v>
      </c>
      <c r="J2472" s="14"/>
      <c r="K2472" s="13" t="s">
        <v>50</v>
      </c>
      <c r="L2472" s="14"/>
    </row>
    <row r="2473" spans="1:12" ht="15" customHeight="1" x14ac:dyDescent="0.25">
      <c r="A2473" s="15" t="s">
        <v>53</v>
      </c>
      <c r="B2473" s="16"/>
      <c r="C2473" s="16"/>
      <c r="D2473" s="16"/>
      <c r="E2473" s="16"/>
      <c r="F2473" s="16"/>
      <c r="G2473" s="16"/>
      <c r="H2473" s="16"/>
      <c r="I2473" s="16"/>
      <c r="J2473" s="17"/>
      <c r="K2473" s="15">
        <v>0</v>
      </c>
      <c r="L2473" s="17"/>
    </row>
    <row r="2474" spans="1:12" x14ac:dyDescent="0.25">
      <c r="A2474" s="18"/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8"/>
    </row>
    <row r="2475" spans="1:12" ht="15" customHeight="1" x14ac:dyDescent="0.25">
      <c r="A2475" s="10" t="s">
        <v>54</v>
      </c>
      <c r="B2475" s="11"/>
      <c r="C2475" s="12"/>
      <c r="D2475" s="8" t="s">
        <v>21</v>
      </c>
      <c r="E2475" s="8" t="s">
        <v>22</v>
      </c>
      <c r="F2475" s="9" t="s">
        <v>55</v>
      </c>
      <c r="G2475" s="8" t="s">
        <v>56</v>
      </c>
      <c r="H2475" s="8" t="s">
        <v>57</v>
      </c>
      <c r="I2475" s="8" t="s">
        <v>58</v>
      </c>
      <c r="J2475" s="9" t="s">
        <v>59</v>
      </c>
      <c r="K2475" s="9" t="s">
        <v>34</v>
      </c>
      <c r="L2475" s="9" t="s">
        <v>50</v>
      </c>
    </row>
    <row r="2476" spans="1:12" ht="15" customHeight="1" x14ac:dyDescent="0.25">
      <c r="A2476" s="15" t="s">
        <v>60</v>
      </c>
      <c r="B2476" s="16"/>
      <c r="C2476" s="16"/>
      <c r="D2476" s="16"/>
      <c r="E2476" s="16"/>
      <c r="F2476" s="16"/>
      <c r="G2476" s="16"/>
      <c r="H2476" s="16"/>
      <c r="I2476" s="16"/>
      <c r="J2476" s="17"/>
      <c r="K2476" s="15">
        <v>0</v>
      </c>
      <c r="L2476" s="17"/>
    </row>
    <row r="2477" spans="1:12" x14ac:dyDescent="0.25">
      <c r="A2477" s="18"/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</row>
    <row r="2478" spans="1:12" ht="15" customHeight="1" x14ac:dyDescent="0.25">
      <c r="A2478" s="27" t="s">
        <v>61</v>
      </c>
      <c r="B2478" s="27"/>
      <c r="C2478" s="27"/>
      <c r="D2478" s="27"/>
      <c r="E2478" s="27"/>
      <c r="F2478" s="27"/>
      <c r="G2478" s="27"/>
      <c r="H2478" s="27"/>
      <c r="I2478" s="27"/>
      <c r="J2478" s="27"/>
      <c r="K2478" s="28">
        <v>1734.43</v>
      </c>
      <c r="L2478" s="28"/>
    </row>
    <row r="2479" spans="1:12" ht="15" customHeight="1" x14ac:dyDescent="0.25">
      <c r="A2479" s="27" t="s">
        <v>62</v>
      </c>
      <c r="B2479" s="27"/>
      <c r="C2479" s="27"/>
      <c r="D2479" s="27"/>
      <c r="E2479" s="27"/>
      <c r="F2479" s="27"/>
      <c r="G2479" s="27"/>
      <c r="H2479" s="27"/>
      <c r="I2479" s="27"/>
      <c r="J2479" s="27"/>
      <c r="K2479" s="27">
        <v>576.70000000000005</v>
      </c>
      <c r="L2479" s="27"/>
    </row>
    <row r="2480" spans="1:12" ht="15" customHeight="1" x14ac:dyDescent="0.25">
      <c r="A2480" s="27" t="s">
        <v>63</v>
      </c>
      <c r="B2480" s="27"/>
      <c r="C2480" s="27"/>
      <c r="D2480" s="27"/>
      <c r="E2480" s="27"/>
      <c r="F2480" s="27"/>
      <c r="G2480" s="27"/>
      <c r="H2480" s="27"/>
      <c r="I2480" s="27"/>
      <c r="J2480" s="27"/>
      <c r="K2480" s="28">
        <v>2311.13</v>
      </c>
      <c r="L2480" s="28"/>
    </row>
    <row r="2481" spans="1:12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</row>
    <row r="2482" spans="1:12" ht="15" customHeight="1" x14ac:dyDescent="0.25">
      <c r="A2482" s="3" t="s">
        <v>8</v>
      </c>
      <c r="B2482" s="6" t="s">
        <v>9</v>
      </c>
      <c r="C2482" s="6"/>
      <c r="D2482" s="6"/>
      <c r="E2482" s="6"/>
      <c r="F2482" s="6"/>
      <c r="G2482" s="6"/>
      <c r="H2482" s="6"/>
      <c r="I2482" s="6"/>
      <c r="J2482" s="6"/>
      <c r="K2482" s="6"/>
      <c r="L2482" s="6"/>
    </row>
    <row r="2483" spans="1:12" ht="30" customHeight="1" x14ac:dyDescent="0.25">
      <c r="A2483" s="3" t="s">
        <v>10</v>
      </c>
      <c r="B2483" s="6" t="s">
        <v>338</v>
      </c>
      <c r="C2483" s="6"/>
      <c r="D2483" s="6"/>
      <c r="E2483" s="6"/>
      <c r="F2483" s="6"/>
      <c r="G2483" s="6"/>
      <c r="H2483" s="6"/>
      <c r="I2483" s="6"/>
      <c r="J2483" s="6"/>
      <c r="K2483" s="3" t="s">
        <v>12</v>
      </c>
      <c r="L2483" s="4" t="s">
        <v>84</v>
      </c>
    </row>
    <row r="2484" spans="1:12" ht="15" customHeight="1" x14ac:dyDescent="0.25">
      <c r="A2484" s="3" t="s">
        <v>14</v>
      </c>
      <c r="B2484" s="6" t="s">
        <v>15</v>
      </c>
      <c r="C2484" s="6"/>
      <c r="D2484" s="7" t="s">
        <v>16</v>
      </c>
      <c r="E2484" s="7"/>
      <c r="F2484" s="6" t="str">
        <f>"170120"</f>
        <v>170120</v>
      </c>
      <c r="G2484" s="6"/>
      <c r="H2484" s="3" t="s">
        <v>17</v>
      </c>
      <c r="I2484" s="6" t="s">
        <v>18</v>
      </c>
      <c r="J2484" s="6"/>
      <c r="K2484" s="3" t="s">
        <v>19</v>
      </c>
      <c r="L2484" s="5">
        <v>1</v>
      </c>
    </row>
    <row r="2485" spans="1:12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</row>
    <row r="2486" spans="1:12" ht="15" customHeight="1" x14ac:dyDescent="0.25">
      <c r="A2486" s="10" t="s">
        <v>20</v>
      </c>
      <c r="B2486" s="11"/>
      <c r="C2486" s="12"/>
      <c r="D2486" s="8" t="s">
        <v>21</v>
      </c>
      <c r="E2486" s="8" t="s">
        <v>22</v>
      </c>
      <c r="F2486" s="9" t="s">
        <v>23</v>
      </c>
      <c r="G2486" s="9" t="s">
        <v>24</v>
      </c>
      <c r="H2486" s="9" t="s">
        <v>25</v>
      </c>
      <c r="I2486" s="9" t="s">
        <v>26</v>
      </c>
      <c r="J2486" s="9" t="s">
        <v>27</v>
      </c>
      <c r="K2486" s="13" t="s">
        <v>28</v>
      </c>
      <c r="L2486" s="14"/>
    </row>
    <row r="2487" spans="1:12" ht="15" customHeight="1" x14ac:dyDescent="0.25">
      <c r="A2487" s="15" t="s">
        <v>29</v>
      </c>
      <c r="B2487" s="16"/>
      <c r="C2487" s="16"/>
      <c r="D2487" s="16"/>
      <c r="E2487" s="16"/>
      <c r="F2487" s="16"/>
      <c r="G2487" s="16"/>
      <c r="H2487" s="16"/>
      <c r="I2487" s="16"/>
      <c r="J2487" s="17"/>
      <c r="K2487" s="15">
        <v>0</v>
      </c>
      <c r="L2487" s="17"/>
    </row>
    <row r="2488" spans="1:12" x14ac:dyDescent="0.25">
      <c r="A2488" s="18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</row>
    <row r="2489" spans="1:12" ht="15" customHeight="1" x14ac:dyDescent="0.25">
      <c r="A2489" s="10" t="s">
        <v>30</v>
      </c>
      <c r="B2489" s="11"/>
      <c r="C2489" s="12"/>
      <c r="D2489" s="8" t="s">
        <v>21</v>
      </c>
      <c r="E2489" s="8" t="s">
        <v>22</v>
      </c>
      <c r="F2489" s="9" t="s">
        <v>31</v>
      </c>
      <c r="G2489" s="9" t="s">
        <v>32</v>
      </c>
      <c r="H2489" s="9" t="s">
        <v>33</v>
      </c>
      <c r="I2489" s="13" t="s">
        <v>34</v>
      </c>
      <c r="J2489" s="14"/>
      <c r="K2489" s="13" t="s">
        <v>28</v>
      </c>
      <c r="L2489" s="14"/>
    </row>
    <row r="2490" spans="1:12" ht="15" customHeight="1" x14ac:dyDescent="0.25">
      <c r="A2490" s="21" t="s">
        <v>76</v>
      </c>
      <c r="B2490" s="22"/>
      <c r="C2490" s="23"/>
      <c r="D2490" s="19" t="str">
        <f>"010101"</f>
        <v>010101</v>
      </c>
      <c r="E2490" s="19" t="s">
        <v>36</v>
      </c>
      <c r="F2490" s="20">
        <v>8.5299999999999994</v>
      </c>
      <c r="G2490" s="20">
        <v>157.27000000000001</v>
      </c>
      <c r="H2490" s="20">
        <v>21.94</v>
      </c>
      <c r="I2490" s="24">
        <v>2.5499999999999998</v>
      </c>
      <c r="J2490" s="25"/>
      <c r="K2490" s="24">
        <v>55.94</v>
      </c>
      <c r="L2490" s="25"/>
    </row>
    <row r="2491" spans="1:12" ht="15" customHeight="1" x14ac:dyDescent="0.25">
      <c r="A2491" s="21" t="s">
        <v>85</v>
      </c>
      <c r="B2491" s="22"/>
      <c r="C2491" s="23"/>
      <c r="D2491" s="19" t="str">
        <f>"010118"</f>
        <v>010118</v>
      </c>
      <c r="E2491" s="19" t="s">
        <v>36</v>
      </c>
      <c r="F2491" s="20">
        <v>10.119999999999999</v>
      </c>
      <c r="G2491" s="20">
        <v>157.27000000000001</v>
      </c>
      <c r="H2491" s="20">
        <v>26.03</v>
      </c>
      <c r="I2491" s="24">
        <v>2.5499999999999998</v>
      </c>
      <c r="J2491" s="25"/>
      <c r="K2491" s="24">
        <v>66.37</v>
      </c>
      <c r="L2491" s="25"/>
    </row>
    <row r="2492" spans="1:12" ht="15" customHeight="1" x14ac:dyDescent="0.25">
      <c r="A2492" s="15" t="s">
        <v>38</v>
      </c>
      <c r="B2492" s="16"/>
      <c r="C2492" s="16"/>
      <c r="D2492" s="16"/>
      <c r="E2492" s="16"/>
      <c r="F2492" s="16"/>
      <c r="G2492" s="16"/>
      <c r="H2492" s="16"/>
      <c r="I2492" s="16"/>
      <c r="J2492" s="17"/>
      <c r="K2492" s="15">
        <v>122.31</v>
      </c>
      <c r="L2492" s="17"/>
    </row>
    <row r="2493" spans="1:12" x14ac:dyDescent="0.25">
      <c r="A2493" s="18"/>
      <c r="B2493" s="18"/>
      <c r="C2493" s="18"/>
      <c r="D2493" s="18"/>
      <c r="E2493" s="18"/>
      <c r="F2493" s="18"/>
      <c r="G2493" s="18"/>
      <c r="H2493" s="18"/>
      <c r="I2493" s="18"/>
      <c r="J2493" s="18"/>
      <c r="K2493" s="18"/>
      <c r="L2493" s="18"/>
    </row>
    <row r="2494" spans="1:12" ht="15" customHeight="1" x14ac:dyDescent="0.25">
      <c r="A2494" s="10" t="s">
        <v>39</v>
      </c>
      <c r="B2494" s="11"/>
      <c r="C2494" s="12"/>
      <c r="D2494" s="8" t="s">
        <v>21</v>
      </c>
      <c r="E2494" s="13" t="s">
        <v>40</v>
      </c>
      <c r="F2494" s="14"/>
      <c r="G2494" s="8" t="s">
        <v>41</v>
      </c>
      <c r="H2494" s="8" t="s">
        <v>42</v>
      </c>
      <c r="I2494" s="8" t="s">
        <v>43</v>
      </c>
      <c r="J2494" s="13" t="s">
        <v>44</v>
      </c>
      <c r="K2494" s="26"/>
      <c r="L2494" s="14"/>
    </row>
    <row r="2495" spans="1:12" ht="15" customHeight="1" x14ac:dyDescent="0.25">
      <c r="A2495" s="15" t="s">
        <v>45</v>
      </c>
      <c r="B2495" s="16"/>
      <c r="C2495" s="16"/>
      <c r="D2495" s="16"/>
      <c r="E2495" s="16"/>
      <c r="F2495" s="16"/>
      <c r="G2495" s="16"/>
      <c r="H2495" s="16"/>
      <c r="I2495" s="16"/>
      <c r="J2495" s="17"/>
      <c r="K2495" s="15">
        <v>0</v>
      </c>
      <c r="L2495" s="17"/>
    </row>
    <row r="2496" spans="1:12" x14ac:dyDescent="0.25">
      <c r="A2496" s="18"/>
      <c r="B2496" s="18"/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</row>
    <row r="2497" spans="1:12" ht="15" customHeight="1" x14ac:dyDescent="0.25">
      <c r="A2497" s="27" t="s">
        <v>46</v>
      </c>
      <c r="B2497" s="27"/>
      <c r="C2497" s="27"/>
      <c r="D2497" s="27"/>
      <c r="E2497" s="27"/>
      <c r="F2497" s="27"/>
      <c r="G2497" s="27"/>
      <c r="H2497" s="27"/>
      <c r="I2497" s="27"/>
      <c r="J2497" s="27"/>
      <c r="K2497" s="27">
        <v>122.31</v>
      </c>
      <c r="L2497" s="27"/>
    </row>
    <row r="2498" spans="1:12" ht="15" customHeight="1" x14ac:dyDescent="0.25">
      <c r="A2498" s="27" t="s">
        <v>47</v>
      </c>
      <c r="B2498" s="27"/>
      <c r="C2498" s="27"/>
      <c r="D2498" s="27"/>
      <c r="E2498" s="27"/>
      <c r="F2498" s="27"/>
      <c r="G2498" s="27"/>
      <c r="H2498" s="27"/>
      <c r="I2498" s="27"/>
      <c r="J2498" s="27"/>
      <c r="K2498" s="27">
        <v>1</v>
      </c>
      <c r="L2498" s="27"/>
    </row>
    <row r="2499" spans="1:12" ht="15" customHeight="1" x14ac:dyDescent="0.25">
      <c r="A2499" s="27" t="s">
        <v>48</v>
      </c>
      <c r="B2499" s="27"/>
      <c r="C2499" s="27"/>
      <c r="D2499" s="27"/>
      <c r="E2499" s="27"/>
      <c r="F2499" s="27"/>
      <c r="G2499" s="27"/>
      <c r="H2499" s="27"/>
      <c r="I2499" s="27"/>
      <c r="J2499" s="27"/>
      <c r="K2499" s="27">
        <v>122.31</v>
      </c>
      <c r="L2499" s="27"/>
    </row>
    <row r="2500" spans="1:12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</row>
    <row r="2501" spans="1:12" ht="15" customHeight="1" x14ac:dyDescent="0.25">
      <c r="A2501" s="10" t="s">
        <v>49</v>
      </c>
      <c r="B2501" s="11"/>
      <c r="C2501" s="11"/>
      <c r="D2501" s="11"/>
      <c r="E2501" s="12"/>
      <c r="F2501" s="8" t="s">
        <v>21</v>
      </c>
      <c r="G2501" s="8" t="s">
        <v>22</v>
      </c>
      <c r="H2501" s="9" t="s">
        <v>44</v>
      </c>
      <c r="I2501" s="13" t="s">
        <v>34</v>
      </c>
      <c r="J2501" s="14"/>
      <c r="K2501" s="13" t="s">
        <v>50</v>
      </c>
      <c r="L2501" s="14"/>
    </row>
    <row r="2502" spans="1:12" ht="15" customHeight="1" x14ac:dyDescent="0.25">
      <c r="A2502" s="21" t="s">
        <v>339</v>
      </c>
      <c r="B2502" s="22"/>
      <c r="C2502" s="22"/>
      <c r="D2502" s="22"/>
      <c r="E2502" s="23"/>
      <c r="F2502" s="19" t="str">
        <f>"026550"</f>
        <v>026550</v>
      </c>
      <c r="G2502" s="19" t="s">
        <v>81</v>
      </c>
      <c r="H2502" s="20">
        <v>12.23</v>
      </c>
      <c r="I2502" s="24">
        <v>1</v>
      </c>
      <c r="J2502" s="25"/>
      <c r="K2502" s="24">
        <v>12.23</v>
      </c>
      <c r="L2502" s="25"/>
    </row>
    <row r="2503" spans="1:12" ht="15" customHeight="1" x14ac:dyDescent="0.25">
      <c r="A2503" s="21" t="s">
        <v>340</v>
      </c>
      <c r="B2503" s="22"/>
      <c r="C2503" s="22"/>
      <c r="D2503" s="22"/>
      <c r="E2503" s="23"/>
      <c r="F2503" s="19" t="str">
        <f>"064006"</f>
        <v>064006</v>
      </c>
      <c r="G2503" s="19" t="s">
        <v>81</v>
      </c>
      <c r="H2503" s="20">
        <v>9.25</v>
      </c>
      <c r="I2503" s="24">
        <v>1</v>
      </c>
      <c r="J2503" s="25"/>
      <c r="K2503" s="24">
        <v>9.25</v>
      </c>
      <c r="L2503" s="25"/>
    </row>
    <row r="2504" spans="1:12" ht="15" customHeight="1" x14ac:dyDescent="0.25">
      <c r="A2504" s="21" t="s">
        <v>341</v>
      </c>
      <c r="B2504" s="22"/>
      <c r="C2504" s="22"/>
      <c r="D2504" s="22"/>
      <c r="E2504" s="23"/>
      <c r="F2504" s="19" t="str">
        <f>"064507"</f>
        <v>064507</v>
      </c>
      <c r="G2504" s="19" t="s">
        <v>81</v>
      </c>
      <c r="H2504" s="20">
        <v>15.33</v>
      </c>
      <c r="I2504" s="24">
        <v>1</v>
      </c>
      <c r="J2504" s="25"/>
      <c r="K2504" s="24">
        <v>15.33</v>
      </c>
      <c r="L2504" s="25"/>
    </row>
    <row r="2505" spans="1:12" ht="15" customHeight="1" x14ac:dyDescent="0.25">
      <c r="A2505" s="21" t="s">
        <v>342</v>
      </c>
      <c r="B2505" s="22"/>
      <c r="C2505" s="22"/>
      <c r="D2505" s="22"/>
      <c r="E2505" s="23"/>
      <c r="F2505" s="19" t="str">
        <f>"065831"</f>
        <v>065831</v>
      </c>
      <c r="G2505" s="19" t="s">
        <v>81</v>
      </c>
      <c r="H2505" s="20">
        <v>187.55</v>
      </c>
      <c r="I2505" s="24">
        <v>1</v>
      </c>
      <c r="J2505" s="25"/>
      <c r="K2505" s="24">
        <v>187.55</v>
      </c>
      <c r="L2505" s="25"/>
    </row>
    <row r="2506" spans="1:12" ht="15" customHeight="1" x14ac:dyDescent="0.25">
      <c r="A2506" s="21" t="s">
        <v>343</v>
      </c>
      <c r="B2506" s="22"/>
      <c r="C2506" s="22"/>
      <c r="D2506" s="22"/>
      <c r="E2506" s="23"/>
      <c r="F2506" s="19" t="str">
        <f>"069505"</f>
        <v>069505</v>
      </c>
      <c r="G2506" s="19" t="s">
        <v>81</v>
      </c>
      <c r="H2506" s="20">
        <v>7.22</v>
      </c>
      <c r="I2506" s="24">
        <v>1</v>
      </c>
      <c r="J2506" s="25"/>
      <c r="K2506" s="24">
        <v>7.22</v>
      </c>
      <c r="L2506" s="25"/>
    </row>
    <row r="2507" spans="1:12" ht="15" customHeight="1" x14ac:dyDescent="0.25">
      <c r="A2507" s="21" t="s">
        <v>270</v>
      </c>
      <c r="B2507" s="22"/>
      <c r="C2507" s="22"/>
      <c r="D2507" s="22"/>
      <c r="E2507" s="23"/>
      <c r="F2507" s="19" t="str">
        <f>"069512"</f>
        <v>069512</v>
      </c>
      <c r="G2507" s="19" t="s">
        <v>99</v>
      </c>
      <c r="H2507" s="20">
        <v>0.24</v>
      </c>
      <c r="I2507" s="24">
        <v>1.1200000000000001</v>
      </c>
      <c r="J2507" s="25"/>
      <c r="K2507" s="24">
        <v>0.26</v>
      </c>
      <c r="L2507" s="25"/>
    </row>
    <row r="2508" spans="1:12" ht="15" customHeight="1" x14ac:dyDescent="0.25">
      <c r="A2508" s="15" t="s">
        <v>51</v>
      </c>
      <c r="B2508" s="16"/>
      <c r="C2508" s="16"/>
      <c r="D2508" s="16"/>
      <c r="E2508" s="16"/>
      <c r="F2508" s="16"/>
      <c r="G2508" s="16"/>
      <c r="H2508" s="16"/>
      <c r="I2508" s="16"/>
      <c r="J2508" s="17"/>
      <c r="K2508" s="15">
        <v>231.84</v>
      </c>
      <c r="L2508" s="17"/>
    </row>
    <row r="2509" spans="1:12" x14ac:dyDescent="0.25">
      <c r="A2509" s="18"/>
      <c r="B2509" s="18"/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</row>
    <row r="2510" spans="1:12" ht="15" customHeight="1" x14ac:dyDescent="0.25">
      <c r="A2510" s="10" t="s">
        <v>52</v>
      </c>
      <c r="B2510" s="11"/>
      <c r="C2510" s="11"/>
      <c r="D2510" s="11"/>
      <c r="E2510" s="12"/>
      <c r="F2510" s="8" t="s">
        <v>21</v>
      </c>
      <c r="G2510" s="8" t="s">
        <v>22</v>
      </c>
      <c r="H2510" s="9" t="s">
        <v>44</v>
      </c>
      <c r="I2510" s="13" t="s">
        <v>34</v>
      </c>
      <c r="J2510" s="14"/>
      <c r="K2510" s="13" t="s">
        <v>50</v>
      </c>
      <c r="L2510" s="14"/>
    </row>
    <row r="2511" spans="1:12" ht="15" customHeight="1" x14ac:dyDescent="0.25">
      <c r="A2511" s="15" t="s">
        <v>53</v>
      </c>
      <c r="B2511" s="16"/>
      <c r="C2511" s="16"/>
      <c r="D2511" s="16"/>
      <c r="E2511" s="16"/>
      <c r="F2511" s="16"/>
      <c r="G2511" s="16"/>
      <c r="H2511" s="16"/>
      <c r="I2511" s="16"/>
      <c r="J2511" s="17"/>
      <c r="K2511" s="15">
        <v>0</v>
      </c>
      <c r="L2511" s="17"/>
    </row>
    <row r="2512" spans="1:12" x14ac:dyDescent="0.25">
      <c r="A2512" s="18"/>
      <c r="B2512" s="18"/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</row>
    <row r="2513" spans="1:12" ht="15" customHeight="1" x14ac:dyDescent="0.25">
      <c r="A2513" s="10" t="s">
        <v>54</v>
      </c>
      <c r="B2513" s="11"/>
      <c r="C2513" s="12"/>
      <c r="D2513" s="8" t="s">
        <v>21</v>
      </c>
      <c r="E2513" s="8" t="s">
        <v>22</v>
      </c>
      <c r="F2513" s="9" t="s">
        <v>55</v>
      </c>
      <c r="G2513" s="8" t="s">
        <v>56</v>
      </c>
      <c r="H2513" s="8" t="s">
        <v>57</v>
      </c>
      <c r="I2513" s="8" t="s">
        <v>58</v>
      </c>
      <c r="J2513" s="9" t="s">
        <v>59</v>
      </c>
      <c r="K2513" s="9" t="s">
        <v>34</v>
      </c>
      <c r="L2513" s="9" t="s">
        <v>50</v>
      </c>
    </row>
    <row r="2514" spans="1:12" ht="15" customHeight="1" x14ac:dyDescent="0.25">
      <c r="A2514" s="15" t="s">
        <v>60</v>
      </c>
      <c r="B2514" s="16"/>
      <c r="C2514" s="16"/>
      <c r="D2514" s="16"/>
      <c r="E2514" s="16"/>
      <c r="F2514" s="16"/>
      <c r="G2514" s="16"/>
      <c r="H2514" s="16"/>
      <c r="I2514" s="16"/>
      <c r="J2514" s="17"/>
      <c r="K2514" s="15">
        <v>0</v>
      </c>
      <c r="L2514" s="17"/>
    </row>
    <row r="2515" spans="1:12" x14ac:dyDescent="0.25">
      <c r="A2515" s="18"/>
      <c r="B2515" s="18"/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</row>
    <row r="2516" spans="1:12" ht="15" customHeight="1" x14ac:dyDescent="0.25">
      <c r="A2516" s="27" t="s">
        <v>61</v>
      </c>
      <c r="B2516" s="27"/>
      <c r="C2516" s="27"/>
      <c r="D2516" s="27"/>
      <c r="E2516" s="27"/>
      <c r="F2516" s="27"/>
      <c r="G2516" s="27"/>
      <c r="H2516" s="27"/>
      <c r="I2516" s="27"/>
      <c r="J2516" s="27"/>
      <c r="K2516" s="27">
        <v>354.15</v>
      </c>
      <c r="L2516" s="27"/>
    </row>
    <row r="2517" spans="1:12" ht="15" customHeight="1" x14ac:dyDescent="0.25">
      <c r="A2517" s="27" t="s">
        <v>62</v>
      </c>
      <c r="B2517" s="27"/>
      <c r="C2517" s="27"/>
      <c r="D2517" s="27"/>
      <c r="E2517" s="27"/>
      <c r="F2517" s="27"/>
      <c r="G2517" s="27"/>
      <c r="H2517" s="27"/>
      <c r="I2517" s="27"/>
      <c r="J2517" s="27"/>
      <c r="K2517" s="27">
        <v>117.75</v>
      </c>
      <c r="L2517" s="27"/>
    </row>
    <row r="2518" spans="1:12" ht="15" customHeight="1" x14ac:dyDescent="0.25">
      <c r="A2518" s="27" t="s">
        <v>63</v>
      </c>
      <c r="B2518" s="27"/>
      <c r="C2518" s="27"/>
      <c r="D2518" s="27"/>
      <c r="E2518" s="27"/>
      <c r="F2518" s="27"/>
      <c r="G2518" s="27"/>
      <c r="H2518" s="27"/>
      <c r="I2518" s="27"/>
      <c r="J2518" s="27"/>
      <c r="K2518" s="27">
        <v>471.9</v>
      </c>
      <c r="L2518" s="27"/>
    </row>
    <row r="2519" spans="1:12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</row>
    <row r="2520" spans="1:12" ht="15" customHeight="1" x14ac:dyDescent="0.25">
      <c r="A2520" s="3" t="s">
        <v>8</v>
      </c>
      <c r="B2520" s="6" t="s">
        <v>9</v>
      </c>
      <c r="C2520" s="6"/>
      <c r="D2520" s="6"/>
      <c r="E2520" s="6"/>
      <c r="F2520" s="6"/>
      <c r="G2520" s="6"/>
      <c r="H2520" s="6"/>
      <c r="I2520" s="6"/>
      <c r="J2520" s="6"/>
      <c r="K2520" s="6"/>
      <c r="L2520" s="6"/>
    </row>
    <row r="2521" spans="1:12" ht="15" customHeight="1" x14ac:dyDescent="0.25">
      <c r="A2521" s="3" t="s">
        <v>10</v>
      </c>
      <c r="B2521" s="6" t="s">
        <v>344</v>
      </c>
      <c r="C2521" s="6"/>
      <c r="D2521" s="6"/>
      <c r="E2521" s="6"/>
      <c r="F2521" s="6"/>
      <c r="G2521" s="6"/>
      <c r="H2521" s="6"/>
      <c r="I2521" s="6"/>
      <c r="J2521" s="6"/>
      <c r="K2521" s="3" t="s">
        <v>12</v>
      </c>
      <c r="L2521" s="4" t="s">
        <v>87</v>
      </c>
    </row>
    <row r="2522" spans="1:12" ht="15" customHeight="1" x14ac:dyDescent="0.25">
      <c r="A2522" s="3" t="s">
        <v>14</v>
      </c>
      <c r="B2522" s="6" t="s">
        <v>88</v>
      </c>
      <c r="C2522" s="6"/>
      <c r="D2522" s="7" t="s">
        <v>16</v>
      </c>
      <c r="E2522" s="7"/>
      <c r="F2522" s="6" t="str">
        <f>"3AA8.000006"</f>
        <v>3AA8.000006</v>
      </c>
      <c r="G2522" s="6"/>
      <c r="H2522" s="3" t="s">
        <v>17</v>
      </c>
      <c r="I2522" s="6" t="s">
        <v>89</v>
      </c>
      <c r="J2522" s="6"/>
      <c r="K2522" s="3" t="s">
        <v>19</v>
      </c>
      <c r="L2522" s="5">
        <v>1</v>
      </c>
    </row>
    <row r="2523" spans="1:12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</row>
    <row r="2524" spans="1:12" ht="15" customHeight="1" x14ac:dyDescent="0.25">
      <c r="A2524" s="10" t="s">
        <v>20</v>
      </c>
      <c r="B2524" s="11"/>
      <c r="C2524" s="12"/>
      <c r="D2524" s="8" t="s">
        <v>21</v>
      </c>
      <c r="E2524" s="8" t="s">
        <v>22</v>
      </c>
      <c r="F2524" s="9" t="s">
        <v>23</v>
      </c>
      <c r="G2524" s="9" t="s">
        <v>24</v>
      </c>
      <c r="H2524" s="9" t="s">
        <v>25</v>
      </c>
      <c r="I2524" s="9" t="s">
        <v>26</v>
      </c>
      <c r="J2524" s="9" t="s">
        <v>27</v>
      </c>
      <c r="K2524" s="13" t="s">
        <v>28</v>
      </c>
      <c r="L2524" s="14"/>
    </row>
    <row r="2525" spans="1:12" ht="15" customHeight="1" x14ac:dyDescent="0.25">
      <c r="A2525" s="15" t="s">
        <v>29</v>
      </c>
      <c r="B2525" s="16"/>
      <c r="C2525" s="16"/>
      <c r="D2525" s="16"/>
      <c r="E2525" s="16"/>
      <c r="F2525" s="16"/>
      <c r="G2525" s="16"/>
      <c r="H2525" s="16"/>
      <c r="I2525" s="16"/>
      <c r="J2525" s="17"/>
      <c r="K2525" s="15">
        <v>0</v>
      </c>
      <c r="L2525" s="17"/>
    </row>
    <row r="2526" spans="1:12" x14ac:dyDescent="0.25">
      <c r="A2526" s="18"/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</row>
    <row r="2527" spans="1:12" ht="15" customHeight="1" x14ac:dyDescent="0.25">
      <c r="A2527" s="10" t="s">
        <v>30</v>
      </c>
      <c r="B2527" s="11"/>
      <c r="C2527" s="12"/>
      <c r="D2527" s="8" t="s">
        <v>21</v>
      </c>
      <c r="E2527" s="8" t="s">
        <v>22</v>
      </c>
      <c r="F2527" s="9" t="s">
        <v>31</v>
      </c>
      <c r="G2527" s="9" t="s">
        <v>32</v>
      </c>
      <c r="H2527" s="9" t="s">
        <v>33</v>
      </c>
      <c r="I2527" s="13" t="s">
        <v>34</v>
      </c>
      <c r="J2527" s="14"/>
      <c r="K2527" s="13" t="s">
        <v>28</v>
      </c>
      <c r="L2527" s="14"/>
    </row>
    <row r="2528" spans="1:12" ht="15" customHeight="1" x14ac:dyDescent="0.25">
      <c r="A2528" s="21" t="s">
        <v>345</v>
      </c>
      <c r="B2528" s="22"/>
      <c r="C2528" s="23"/>
      <c r="D2528" s="19" t="str">
        <f>"010139"</f>
        <v>010139</v>
      </c>
      <c r="E2528" s="19" t="s">
        <v>36</v>
      </c>
      <c r="F2528" s="20">
        <v>10.119999999999999</v>
      </c>
      <c r="G2528" s="20">
        <v>157.27000000000001</v>
      </c>
      <c r="H2528" s="20">
        <v>26.03</v>
      </c>
      <c r="I2528" s="24">
        <v>0.2</v>
      </c>
      <c r="J2528" s="25"/>
      <c r="K2528" s="24">
        <v>5.2</v>
      </c>
      <c r="L2528" s="25"/>
    </row>
    <row r="2529" spans="1:12" ht="15" customHeight="1" x14ac:dyDescent="0.25">
      <c r="A2529" s="21" t="s">
        <v>90</v>
      </c>
      <c r="B2529" s="22"/>
      <c r="C2529" s="23"/>
      <c r="D2529" s="19" t="str">
        <f>"010146"</f>
        <v>010146</v>
      </c>
      <c r="E2529" s="19" t="s">
        <v>36</v>
      </c>
      <c r="F2529" s="20">
        <v>7.65</v>
      </c>
      <c r="G2529" s="20">
        <v>157.27000000000001</v>
      </c>
      <c r="H2529" s="20">
        <v>19.68</v>
      </c>
      <c r="I2529" s="24">
        <v>0.2</v>
      </c>
      <c r="J2529" s="25"/>
      <c r="K2529" s="24">
        <v>3.93</v>
      </c>
      <c r="L2529" s="25"/>
    </row>
    <row r="2530" spans="1:12" ht="15" customHeight="1" x14ac:dyDescent="0.25">
      <c r="A2530" s="15" t="s">
        <v>38</v>
      </c>
      <c r="B2530" s="16"/>
      <c r="C2530" s="16"/>
      <c r="D2530" s="16"/>
      <c r="E2530" s="16"/>
      <c r="F2530" s="16"/>
      <c r="G2530" s="16"/>
      <c r="H2530" s="16"/>
      <c r="I2530" s="16"/>
      <c r="J2530" s="17"/>
      <c r="K2530" s="15">
        <v>9.1300000000000008</v>
      </c>
      <c r="L2530" s="17"/>
    </row>
    <row r="2531" spans="1:12" x14ac:dyDescent="0.25">
      <c r="A2531" s="18"/>
      <c r="B2531" s="18"/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</row>
    <row r="2532" spans="1:12" ht="15" customHeight="1" x14ac:dyDescent="0.25">
      <c r="A2532" s="10" t="s">
        <v>39</v>
      </c>
      <c r="B2532" s="11"/>
      <c r="C2532" s="12"/>
      <c r="D2532" s="8" t="s">
        <v>21</v>
      </c>
      <c r="E2532" s="13" t="s">
        <v>40</v>
      </c>
      <c r="F2532" s="14"/>
      <c r="G2532" s="8" t="s">
        <v>41</v>
      </c>
      <c r="H2532" s="8" t="s">
        <v>42</v>
      </c>
      <c r="I2532" s="8" t="s">
        <v>43</v>
      </c>
      <c r="J2532" s="13" t="s">
        <v>44</v>
      </c>
      <c r="K2532" s="26"/>
      <c r="L2532" s="14"/>
    </row>
    <row r="2533" spans="1:12" ht="15" customHeight="1" x14ac:dyDescent="0.25">
      <c r="A2533" s="15" t="s">
        <v>45</v>
      </c>
      <c r="B2533" s="16"/>
      <c r="C2533" s="16"/>
      <c r="D2533" s="16"/>
      <c r="E2533" s="16"/>
      <c r="F2533" s="16"/>
      <c r="G2533" s="16"/>
      <c r="H2533" s="16"/>
      <c r="I2533" s="16"/>
      <c r="J2533" s="17"/>
      <c r="K2533" s="15">
        <v>0</v>
      </c>
      <c r="L2533" s="17"/>
    </row>
    <row r="2534" spans="1:12" x14ac:dyDescent="0.25">
      <c r="A2534" s="18"/>
      <c r="B2534" s="18"/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</row>
    <row r="2535" spans="1:12" ht="15" customHeight="1" x14ac:dyDescent="0.25">
      <c r="A2535" s="27" t="s">
        <v>46</v>
      </c>
      <c r="B2535" s="27"/>
      <c r="C2535" s="27"/>
      <c r="D2535" s="27"/>
      <c r="E2535" s="27"/>
      <c r="F2535" s="27"/>
      <c r="G2535" s="27"/>
      <c r="H2535" s="27"/>
      <c r="I2535" s="27"/>
      <c r="J2535" s="27"/>
      <c r="K2535" s="27">
        <v>9.1300000000000008</v>
      </c>
      <c r="L2535" s="27"/>
    </row>
    <row r="2536" spans="1:12" ht="15" customHeight="1" x14ac:dyDescent="0.25">
      <c r="A2536" s="27" t="s">
        <v>47</v>
      </c>
      <c r="B2536" s="27"/>
      <c r="C2536" s="27"/>
      <c r="D2536" s="27"/>
      <c r="E2536" s="27"/>
      <c r="F2536" s="27"/>
      <c r="G2536" s="27"/>
      <c r="H2536" s="27"/>
      <c r="I2536" s="27"/>
      <c r="J2536" s="27"/>
      <c r="K2536" s="27">
        <v>1</v>
      </c>
      <c r="L2536" s="27"/>
    </row>
    <row r="2537" spans="1:12" ht="15" customHeight="1" x14ac:dyDescent="0.25">
      <c r="A2537" s="27" t="s">
        <v>48</v>
      </c>
      <c r="B2537" s="27"/>
      <c r="C2537" s="27"/>
      <c r="D2537" s="27"/>
      <c r="E2537" s="27"/>
      <c r="F2537" s="27"/>
      <c r="G2537" s="27"/>
      <c r="H2537" s="27"/>
      <c r="I2537" s="27"/>
      <c r="J2537" s="27"/>
      <c r="K2537" s="27">
        <v>9.1300000000000008</v>
      </c>
      <c r="L2537" s="27"/>
    </row>
    <row r="2538" spans="1:12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</row>
    <row r="2539" spans="1:12" ht="15" customHeight="1" x14ac:dyDescent="0.25">
      <c r="A2539" s="10" t="s">
        <v>49</v>
      </c>
      <c r="B2539" s="11"/>
      <c r="C2539" s="11"/>
      <c r="D2539" s="11"/>
      <c r="E2539" s="12"/>
      <c r="F2539" s="8" t="s">
        <v>21</v>
      </c>
      <c r="G2539" s="8" t="s">
        <v>22</v>
      </c>
      <c r="H2539" s="9" t="s">
        <v>44</v>
      </c>
      <c r="I2539" s="13" t="s">
        <v>34</v>
      </c>
      <c r="J2539" s="14"/>
      <c r="K2539" s="13" t="s">
        <v>50</v>
      </c>
      <c r="L2539" s="14"/>
    </row>
    <row r="2540" spans="1:12" ht="30" customHeight="1" x14ac:dyDescent="0.25">
      <c r="A2540" s="21" t="s">
        <v>346</v>
      </c>
      <c r="B2540" s="22"/>
      <c r="C2540" s="22"/>
      <c r="D2540" s="22"/>
      <c r="E2540" s="23"/>
      <c r="F2540" s="19" t="str">
        <f>"00020231"</f>
        <v>00020231</v>
      </c>
      <c r="G2540" s="19" t="s">
        <v>99</v>
      </c>
      <c r="H2540" s="20">
        <v>35.35</v>
      </c>
      <c r="I2540" s="24">
        <v>1</v>
      </c>
      <c r="J2540" s="25"/>
      <c r="K2540" s="24">
        <v>35.35</v>
      </c>
      <c r="L2540" s="25"/>
    </row>
    <row r="2541" spans="1:12" ht="15" customHeight="1" x14ac:dyDescent="0.25">
      <c r="A2541" s="21" t="s">
        <v>347</v>
      </c>
      <c r="B2541" s="22"/>
      <c r="C2541" s="22"/>
      <c r="D2541" s="22"/>
      <c r="E2541" s="23"/>
      <c r="F2541" s="19" t="str">
        <f>"026651"</f>
        <v>026651</v>
      </c>
      <c r="G2541" s="19" t="s">
        <v>81</v>
      </c>
      <c r="H2541" s="20">
        <v>5.28</v>
      </c>
      <c r="I2541" s="24">
        <v>2</v>
      </c>
      <c r="J2541" s="25"/>
      <c r="K2541" s="24">
        <v>10.56</v>
      </c>
      <c r="L2541" s="25"/>
    </row>
    <row r="2542" spans="1:12" ht="15" customHeight="1" x14ac:dyDescent="0.25">
      <c r="A2542" s="21" t="s">
        <v>348</v>
      </c>
      <c r="B2542" s="22"/>
      <c r="C2542" s="22"/>
      <c r="D2542" s="22"/>
      <c r="E2542" s="23"/>
      <c r="F2542" s="19" t="str">
        <f>"032505"</f>
        <v>032505</v>
      </c>
      <c r="G2542" s="19" t="s">
        <v>157</v>
      </c>
      <c r="H2542" s="20">
        <v>326.23</v>
      </c>
      <c r="I2542" s="24">
        <v>0.6</v>
      </c>
      <c r="J2542" s="25"/>
      <c r="K2542" s="24">
        <v>195.73</v>
      </c>
      <c r="L2542" s="25"/>
    </row>
    <row r="2543" spans="1:12" ht="15" customHeight="1" x14ac:dyDescent="0.25">
      <c r="A2543" s="21" t="s">
        <v>349</v>
      </c>
      <c r="B2543" s="22"/>
      <c r="C2543" s="22"/>
      <c r="D2543" s="22"/>
      <c r="E2543" s="23"/>
      <c r="F2543" s="19" t="str">
        <f>"032587"</f>
        <v>032587</v>
      </c>
      <c r="G2543" s="19" t="s">
        <v>99</v>
      </c>
      <c r="H2543" s="20">
        <v>49.75</v>
      </c>
      <c r="I2543" s="24">
        <v>1</v>
      </c>
      <c r="J2543" s="25"/>
      <c r="K2543" s="24">
        <v>49.75</v>
      </c>
      <c r="L2543" s="25"/>
    </row>
    <row r="2544" spans="1:12" ht="15" customHeight="1" x14ac:dyDescent="0.25">
      <c r="A2544" s="15" t="s">
        <v>51</v>
      </c>
      <c r="B2544" s="16"/>
      <c r="C2544" s="16"/>
      <c r="D2544" s="16"/>
      <c r="E2544" s="16"/>
      <c r="F2544" s="16"/>
      <c r="G2544" s="16"/>
      <c r="H2544" s="16"/>
      <c r="I2544" s="16"/>
      <c r="J2544" s="17"/>
      <c r="K2544" s="15">
        <v>291.39</v>
      </c>
      <c r="L2544" s="17"/>
    </row>
    <row r="2545" spans="1:12" x14ac:dyDescent="0.25">
      <c r="A2545" s="18"/>
      <c r="B2545" s="18"/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</row>
    <row r="2546" spans="1:12" ht="15" customHeight="1" x14ac:dyDescent="0.25">
      <c r="A2546" s="10" t="s">
        <v>52</v>
      </c>
      <c r="B2546" s="11"/>
      <c r="C2546" s="11"/>
      <c r="D2546" s="11"/>
      <c r="E2546" s="12"/>
      <c r="F2546" s="8" t="s">
        <v>21</v>
      </c>
      <c r="G2546" s="8" t="s">
        <v>22</v>
      </c>
      <c r="H2546" s="9" t="s">
        <v>44</v>
      </c>
      <c r="I2546" s="13" t="s">
        <v>34</v>
      </c>
      <c r="J2546" s="14"/>
      <c r="K2546" s="13" t="s">
        <v>50</v>
      </c>
      <c r="L2546" s="14"/>
    </row>
    <row r="2547" spans="1:12" ht="45" customHeight="1" x14ac:dyDescent="0.25">
      <c r="A2547" s="21" t="s">
        <v>350</v>
      </c>
      <c r="B2547" s="22"/>
      <c r="C2547" s="22"/>
      <c r="D2547" s="22"/>
      <c r="E2547" s="23"/>
      <c r="F2547" s="19" t="s">
        <v>351</v>
      </c>
      <c r="G2547" s="19" t="s">
        <v>87</v>
      </c>
      <c r="H2547" s="20">
        <v>1</v>
      </c>
      <c r="I2547" s="24">
        <v>45.38</v>
      </c>
      <c r="J2547" s="25"/>
      <c r="K2547" s="24">
        <v>45.38</v>
      </c>
      <c r="L2547" s="25"/>
    </row>
    <row r="2548" spans="1:12" ht="30" customHeight="1" x14ac:dyDescent="0.25">
      <c r="A2548" s="21" t="s">
        <v>352</v>
      </c>
      <c r="B2548" s="22"/>
      <c r="C2548" s="22"/>
      <c r="D2548" s="22"/>
      <c r="E2548" s="23"/>
      <c r="F2548" s="19" t="s">
        <v>353</v>
      </c>
      <c r="G2548" s="19" t="s">
        <v>13</v>
      </c>
      <c r="H2548" s="20">
        <v>9.7000000000000003E-2</v>
      </c>
      <c r="I2548" s="24">
        <v>43.82</v>
      </c>
      <c r="J2548" s="25"/>
      <c r="K2548" s="24">
        <v>4.25</v>
      </c>
      <c r="L2548" s="25"/>
    </row>
    <row r="2549" spans="1:12" ht="15" customHeight="1" x14ac:dyDescent="0.25">
      <c r="A2549" s="21" t="s">
        <v>354</v>
      </c>
      <c r="B2549" s="22"/>
      <c r="C2549" s="22"/>
      <c r="D2549" s="22"/>
      <c r="E2549" s="23"/>
      <c r="F2549" s="19" t="s">
        <v>355</v>
      </c>
      <c r="G2549" s="19" t="s">
        <v>87</v>
      </c>
      <c r="H2549" s="20">
        <v>0.6</v>
      </c>
      <c r="I2549" s="24" t="s">
        <v>164</v>
      </c>
      <c r="J2549" s="25"/>
      <c r="K2549" s="24" t="s">
        <v>164</v>
      </c>
      <c r="L2549" s="25"/>
    </row>
    <row r="2550" spans="1:12" ht="15" customHeight="1" x14ac:dyDescent="0.25">
      <c r="A2550" s="15" t="s">
        <v>53</v>
      </c>
      <c r="B2550" s="16"/>
      <c r="C2550" s="16"/>
      <c r="D2550" s="16"/>
      <c r="E2550" s="16"/>
      <c r="F2550" s="16"/>
      <c r="G2550" s="16"/>
      <c r="H2550" s="16"/>
      <c r="I2550" s="16"/>
      <c r="J2550" s="17"/>
      <c r="K2550" s="15">
        <v>119.96</v>
      </c>
      <c r="L2550" s="17"/>
    </row>
    <row r="2551" spans="1:12" x14ac:dyDescent="0.25">
      <c r="A2551" s="18"/>
      <c r="B2551" s="18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</row>
    <row r="2552" spans="1:12" ht="15" customHeight="1" x14ac:dyDescent="0.25">
      <c r="A2552" s="10" t="s">
        <v>54</v>
      </c>
      <c r="B2552" s="11"/>
      <c r="C2552" s="12"/>
      <c r="D2552" s="8" t="s">
        <v>21</v>
      </c>
      <c r="E2552" s="8" t="s">
        <v>22</v>
      </c>
      <c r="F2552" s="9" t="s">
        <v>55</v>
      </c>
      <c r="G2552" s="8" t="s">
        <v>56</v>
      </c>
      <c r="H2552" s="8" t="s">
        <v>57</v>
      </c>
      <c r="I2552" s="8" t="s">
        <v>58</v>
      </c>
      <c r="J2552" s="9" t="s">
        <v>59</v>
      </c>
      <c r="K2552" s="9" t="s">
        <v>34</v>
      </c>
      <c r="L2552" s="9" t="s">
        <v>50</v>
      </c>
    </row>
    <row r="2553" spans="1:12" ht="15" customHeight="1" x14ac:dyDescent="0.25">
      <c r="A2553" s="15" t="s">
        <v>60</v>
      </c>
      <c r="B2553" s="16"/>
      <c r="C2553" s="16"/>
      <c r="D2553" s="16"/>
      <c r="E2553" s="16"/>
      <c r="F2553" s="16"/>
      <c r="G2553" s="16"/>
      <c r="H2553" s="16"/>
      <c r="I2553" s="16"/>
      <c r="J2553" s="17"/>
      <c r="K2553" s="15">
        <v>0</v>
      </c>
      <c r="L2553" s="17"/>
    </row>
    <row r="2554" spans="1:12" x14ac:dyDescent="0.25">
      <c r="A2554" s="18"/>
      <c r="B2554" s="18"/>
      <c r="C2554" s="18"/>
      <c r="D2554" s="18"/>
      <c r="E2554" s="18"/>
      <c r="F2554" s="18"/>
      <c r="G2554" s="18"/>
      <c r="H2554" s="18"/>
      <c r="I2554" s="18"/>
      <c r="J2554" s="18"/>
      <c r="K2554" s="18"/>
      <c r="L2554" s="18"/>
    </row>
    <row r="2555" spans="1:12" ht="15" customHeight="1" x14ac:dyDescent="0.25">
      <c r="A2555" s="27" t="s">
        <v>61</v>
      </c>
      <c r="B2555" s="27"/>
      <c r="C2555" s="27"/>
      <c r="D2555" s="27"/>
      <c r="E2555" s="27"/>
      <c r="F2555" s="27"/>
      <c r="G2555" s="27"/>
      <c r="H2555" s="27"/>
      <c r="I2555" s="27"/>
      <c r="J2555" s="27"/>
      <c r="K2555" s="27">
        <v>420.48</v>
      </c>
      <c r="L2555" s="27"/>
    </row>
    <row r="2556" spans="1:12" ht="15" customHeight="1" x14ac:dyDescent="0.25">
      <c r="A2556" s="27" t="s">
        <v>62</v>
      </c>
      <c r="B2556" s="27"/>
      <c r="C2556" s="27"/>
      <c r="D2556" s="27"/>
      <c r="E2556" s="27"/>
      <c r="F2556" s="27"/>
      <c r="G2556" s="27"/>
      <c r="H2556" s="27"/>
      <c r="I2556" s="27"/>
      <c r="J2556" s="27"/>
      <c r="K2556" s="27">
        <v>139.81</v>
      </c>
      <c r="L2556" s="27"/>
    </row>
    <row r="2557" spans="1:12" ht="15" customHeight="1" x14ac:dyDescent="0.25">
      <c r="A2557" s="27" t="s">
        <v>63</v>
      </c>
      <c r="B2557" s="27"/>
      <c r="C2557" s="27"/>
      <c r="D2557" s="27"/>
      <c r="E2557" s="27"/>
      <c r="F2557" s="27"/>
      <c r="G2557" s="27"/>
      <c r="H2557" s="27"/>
      <c r="I2557" s="27"/>
      <c r="J2557" s="27"/>
      <c r="K2557" s="27">
        <v>560.29</v>
      </c>
      <c r="L2557" s="27"/>
    </row>
    <row r="2558" spans="1:12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</row>
    <row r="2559" spans="1:12" ht="15" customHeight="1" x14ac:dyDescent="0.25">
      <c r="A2559" s="3" t="s">
        <v>8</v>
      </c>
      <c r="B2559" s="6" t="s">
        <v>9</v>
      </c>
      <c r="C2559" s="6"/>
      <c r="D2559" s="6"/>
      <c r="E2559" s="6"/>
      <c r="F2559" s="6"/>
      <c r="G2559" s="6"/>
      <c r="H2559" s="6"/>
      <c r="I2559" s="6"/>
      <c r="J2559" s="6"/>
      <c r="K2559" s="6"/>
      <c r="L2559" s="6"/>
    </row>
    <row r="2560" spans="1:12" ht="15" customHeight="1" x14ac:dyDescent="0.25">
      <c r="A2560" s="3" t="s">
        <v>10</v>
      </c>
      <c r="B2560" s="6" t="s">
        <v>356</v>
      </c>
      <c r="C2560" s="6"/>
      <c r="D2560" s="6"/>
      <c r="E2560" s="6"/>
      <c r="F2560" s="6"/>
      <c r="G2560" s="6"/>
      <c r="H2560" s="6"/>
      <c r="I2560" s="6"/>
      <c r="J2560" s="6"/>
      <c r="K2560" s="3" t="s">
        <v>12</v>
      </c>
      <c r="L2560" s="4" t="s">
        <v>84</v>
      </c>
    </row>
    <row r="2561" spans="1:12" ht="15" customHeight="1" x14ac:dyDescent="0.25">
      <c r="A2561" s="3" t="s">
        <v>14</v>
      </c>
      <c r="B2561" s="6" t="s">
        <v>15</v>
      </c>
      <c r="C2561" s="6"/>
      <c r="D2561" s="7" t="s">
        <v>16</v>
      </c>
      <c r="E2561" s="7"/>
      <c r="F2561" s="6" t="str">
        <f>"170222"</f>
        <v>170222</v>
      </c>
      <c r="G2561" s="6"/>
      <c r="H2561" s="3" t="s">
        <v>17</v>
      </c>
      <c r="I2561" s="6" t="s">
        <v>18</v>
      </c>
      <c r="J2561" s="6"/>
      <c r="K2561" s="3" t="s">
        <v>19</v>
      </c>
      <c r="L2561" s="5">
        <v>1</v>
      </c>
    </row>
    <row r="2562" spans="1:12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</row>
    <row r="2563" spans="1:12" ht="15" customHeight="1" x14ac:dyDescent="0.25">
      <c r="A2563" s="10" t="s">
        <v>20</v>
      </c>
      <c r="B2563" s="11"/>
      <c r="C2563" s="12"/>
      <c r="D2563" s="8" t="s">
        <v>21</v>
      </c>
      <c r="E2563" s="8" t="s">
        <v>22</v>
      </c>
      <c r="F2563" s="9" t="s">
        <v>23</v>
      </c>
      <c r="G2563" s="9" t="s">
        <v>24</v>
      </c>
      <c r="H2563" s="9" t="s">
        <v>25</v>
      </c>
      <c r="I2563" s="9" t="s">
        <v>26</v>
      </c>
      <c r="J2563" s="9" t="s">
        <v>27</v>
      </c>
      <c r="K2563" s="13" t="s">
        <v>28</v>
      </c>
      <c r="L2563" s="14"/>
    </row>
    <row r="2564" spans="1:12" ht="15" customHeight="1" x14ac:dyDescent="0.25">
      <c r="A2564" s="15" t="s">
        <v>29</v>
      </c>
      <c r="B2564" s="16"/>
      <c r="C2564" s="16"/>
      <c r="D2564" s="16"/>
      <c r="E2564" s="16"/>
      <c r="F2564" s="16"/>
      <c r="G2564" s="16"/>
      <c r="H2564" s="16"/>
      <c r="I2564" s="16"/>
      <c r="J2564" s="17"/>
      <c r="K2564" s="15">
        <v>0</v>
      </c>
      <c r="L2564" s="17"/>
    </row>
    <row r="2565" spans="1:12" x14ac:dyDescent="0.25">
      <c r="A2565" s="18"/>
      <c r="B2565" s="18"/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</row>
    <row r="2566" spans="1:12" ht="15" customHeight="1" x14ac:dyDescent="0.25">
      <c r="A2566" s="10" t="s">
        <v>30</v>
      </c>
      <c r="B2566" s="11"/>
      <c r="C2566" s="12"/>
      <c r="D2566" s="8" t="s">
        <v>21</v>
      </c>
      <c r="E2566" s="8" t="s">
        <v>22</v>
      </c>
      <c r="F2566" s="9" t="s">
        <v>31</v>
      </c>
      <c r="G2566" s="9" t="s">
        <v>32</v>
      </c>
      <c r="H2566" s="9" t="s">
        <v>33</v>
      </c>
      <c r="I2566" s="13" t="s">
        <v>34</v>
      </c>
      <c r="J2566" s="14"/>
      <c r="K2566" s="13" t="s">
        <v>28</v>
      </c>
      <c r="L2566" s="14"/>
    </row>
    <row r="2567" spans="1:12" ht="15" customHeight="1" x14ac:dyDescent="0.25">
      <c r="A2567" s="21" t="s">
        <v>76</v>
      </c>
      <c r="B2567" s="22"/>
      <c r="C2567" s="23"/>
      <c r="D2567" s="19" t="str">
        <f>"010101"</f>
        <v>010101</v>
      </c>
      <c r="E2567" s="19" t="s">
        <v>36</v>
      </c>
      <c r="F2567" s="20">
        <v>8.5299999999999994</v>
      </c>
      <c r="G2567" s="20">
        <v>157.27000000000001</v>
      </c>
      <c r="H2567" s="20">
        <v>21.94</v>
      </c>
      <c r="I2567" s="24">
        <v>4.8049999999999997</v>
      </c>
      <c r="J2567" s="25"/>
      <c r="K2567" s="24">
        <v>105.42</v>
      </c>
      <c r="L2567" s="25"/>
    </row>
    <row r="2568" spans="1:12" ht="15" customHeight="1" x14ac:dyDescent="0.25">
      <c r="A2568" s="21" t="s">
        <v>35</v>
      </c>
      <c r="B2568" s="22"/>
      <c r="C2568" s="23"/>
      <c r="D2568" s="19" t="str">
        <f>"010106"</f>
        <v>010106</v>
      </c>
      <c r="E2568" s="19" t="s">
        <v>36</v>
      </c>
      <c r="F2568" s="20">
        <v>10.119999999999999</v>
      </c>
      <c r="G2568" s="20">
        <v>157.27000000000001</v>
      </c>
      <c r="H2568" s="20">
        <v>26.03</v>
      </c>
      <c r="I2568" s="24">
        <v>1.0620099999999999</v>
      </c>
      <c r="J2568" s="25"/>
      <c r="K2568" s="24">
        <v>27.64</v>
      </c>
      <c r="L2568" s="25"/>
    </row>
    <row r="2569" spans="1:12" ht="15" customHeight="1" x14ac:dyDescent="0.25">
      <c r="A2569" s="21" t="s">
        <v>77</v>
      </c>
      <c r="B2569" s="22"/>
      <c r="C2569" s="23"/>
      <c r="D2569" s="19" t="str">
        <f>"010111"</f>
        <v>010111</v>
      </c>
      <c r="E2569" s="19" t="s">
        <v>36</v>
      </c>
      <c r="F2569" s="20">
        <v>10.119999999999999</v>
      </c>
      <c r="G2569" s="20">
        <v>157.27000000000001</v>
      </c>
      <c r="H2569" s="20">
        <v>26.03</v>
      </c>
      <c r="I2569" s="24">
        <v>2.0249999999999999</v>
      </c>
      <c r="J2569" s="25"/>
      <c r="K2569" s="24">
        <v>52.71</v>
      </c>
      <c r="L2569" s="25"/>
    </row>
    <row r="2570" spans="1:12" ht="15" customHeight="1" x14ac:dyDescent="0.25">
      <c r="A2570" s="21" t="s">
        <v>85</v>
      </c>
      <c r="B2570" s="22"/>
      <c r="C2570" s="23"/>
      <c r="D2570" s="19" t="str">
        <f>"010118"</f>
        <v>010118</v>
      </c>
      <c r="E2570" s="19" t="s">
        <v>36</v>
      </c>
      <c r="F2570" s="20">
        <v>10.119999999999999</v>
      </c>
      <c r="G2570" s="20">
        <v>157.27000000000001</v>
      </c>
      <c r="H2570" s="20">
        <v>26.03</v>
      </c>
      <c r="I2570" s="24">
        <v>2.5</v>
      </c>
      <c r="J2570" s="25"/>
      <c r="K2570" s="24">
        <v>65.069999999999993</v>
      </c>
      <c r="L2570" s="25"/>
    </row>
    <row r="2571" spans="1:12" ht="15" customHeight="1" x14ac:dyDescent="0.25">
      <c r="A2571" s="21" t="s">
        <v>256</v>
      </c>
      <c r="B2571" s="22"/>
      <c r="C2571" s="23"/>
      <c r="D2571" s="19" t="str">
        <f>"010121"</f>
        <v>010121</v>
      </c>
      <c r="E2571" s="19" t="s">
        <v>36</v>
      </c>
      <c r="F2571" s="20">
        <v>10.119999999999999</v>
      </c>
      <c r="G2571" s="20">
        <v>157.27000000000001</v>
      </c>
      <c r="H2571" s="20">
        <v>26.03</v>
      </c>
      <c r="I2571" s="24">
        <v>0.28000000000000003</v>
      </c>
      <c r="J2571" s="25"/>
      <c r="K2571" s="24">
        <v>7.28</v>
      </c>
      <c r="L2571" s="25"/>
    </row>
    <row r="2572" spans="1:12" ht="15" customHeight="1" x14ac:dyDescent="0.25">
      <c r="A2572" s="21" t="s">
        <v>65</v>
      </c>
      <c r="B2572" s="22"/>
      <c r="C2572" s="23"/>
      <c r="D2572" s="19" t="str">
        <f>"010124"</f>
        <v>010124</v>
      </c>
      <c r="E2572" s="19" t="s">
        <v>36</v>
      </c>
      <c r="F2572" s="20">
        <v>10.119999999999999</v>
      </c>
      <c r="G2572" s="20">
        <v>157.27000000000001</v>
      </c>
      <c r="H2572" s="20">
        <v>26.03</v>
      </c>
      <c r="I2572" s="24">
        <v>5.42</v>
      </c>
      <c r="J2572" s="25"/>
      <c r="K2572" s="24">
        <v>141.08000000000001</v>
      </c>
      <c r="L2572" s="25"/>
    </row>
    <row r="2573" spans="1:12" ht="15" customHeight="1" x14ac:dyDescent="0.25">
      <c r="A2573" s="21" t="s">
        <v>69</v>
      </c>
      <c r="B2573" s="22"/>
      <c r="C2573" s="23"/>
      <c r="D2573" s="19" t="str">
        <f>"010139"</f>
        <v>010139</v>
      </c>
      <c r="E2573" s="19" t="s">
        <v>36</v>
      </c>
      <c r="F2573" s="20">
        <v>10.119999999999999</v>
      </c>
      <c r="G2573" s="20">
        <v>157.27000000000001</v>
      </c>
      <c r="H2573" s="20">
        <v>26.03</v>
      </c>
      <c r="I2573" s="24">
        <v>4.6994999999999996</v>
      </c>
      <c r="J2573" s="25"/>
      <c r="K2573" s="24">
        <v>122.32</v>
      </c>
      <c r="L2573" s="25"/>
    </row>
    <row r="2574" spans="1:12" ht="15" customHeight="1" x14ac:dyDescent="0.25">
      <c r="A2574" s="21" t="s">
        <v>37</v>
      </c>
      <c r="B2574" s="22"/>
      <c r="C2574" s="23"/>
      <c r="D2574" s="19" t="str">
        <f>"010146"</f>
        <v>010146</v>
      </c>
      <c r="E2574" s="19" t="s">
        <v>36</v>
      </c>
      <c r="F2574" s="20">
        <v>7.65</v>
      </c>
      <c r="G2574" s="20">
        <v>157.27000000000001</v>
      </c>
      <c r="H2574" s="20">
        <v>19.68</v>
      </c>
      <c r="I2574" s="24">
        <v>10.17634</v>
      </c>
      <c r="J2574" s="25"/>
      <c r="K2574" s="24">
        <v>200.27</v>
      </c>
      <c r="L2574" s="25"/>
    </row>
    <row r="2575" spans="1:12" ht="15" customHeight="1" x14ac:dyDescent="0.25">
      <c r="A2575" s="15" t="s">
        <v>38</v>
      </c>
      <c r="B2575" s="16"/>
      <c r="C2575" s="16"/>
      <c r="D2575" s="16"/>
      <c r="E2575" s="16"/>
      <c r="F2575" s="16"/>
      <c r="G2575" s="16"/>
      <c r="H2575" s="16"/>
      <c r="I2575" s="16"/>
      <c r="J2575" s="17"/>
      <c r="K2575" s="15">
        <v>721.79</v>
      </c>
      <c r="L2575" s="17"/>
    </row>
    <row r="2576" spans="1:12" x14ac:dyDescent="0.25">
      <c r="A2576" s="18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</row>
    <row r="2577" spans="1:12" ht="15" customHeight="1" x14ac:dyDescent="0.25">
      <c r="A2577" s="10" t="s">
        <v>39</v>
      </c>
      <c r="B2577" s="11"/>
      <c r="C2577" s="12"/>
      <c r="D2577" s="8" t="s">
        <v>21</v>
      </c>
      <c r="E2577" s="13" t="s">
        <v>40</v>
      </c>
      <c r="F2577" s="14"/>
      <c r="G2577" s="8" t="s">
        <v>41</v>
      </c>
      <c r="H2577" s="8" t="s">
        <v>42</v>
      </c>
      <c r="I2577" s="8" t="s">
        <v>43</v>
      </c>
      <c r="J2577" s="13" t="s">
        <v>44</v>
      </c>
      <c r="K2577" s="26"/>
      <c r="L2577" s="14"/>
    </row>
    <row r="2578" spans="1:12" ht="15" customHeight="1" x14ac:dyDescent="0.25">
      <c r="A2578" s="15" t="s">
        <v>45</v>
      </c>
      <c r="B2578" s="16"/>
      <c r="C2578" s="16"/>
      <c r="D2578" s="16"/>
      <c r="E2578" s="16"/>
      <c r="F2578" s="16"/>
      <c r="G2578" s="16"/>
      <c r="H2578" s="16"/>
      <c r="I2578" s="16"/>
      <c r="J2578" s="17"/>
      <c r="K2578" s="15">
        <v>0</v>
      </c>
      <c r="L2578" s="17"/>
    </row>
    <row r="2579" spans="1:12" x14ac:dyDescent="0.25">
      <c r="A2579" s="18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</row>
    <row r="2580" spans="1:12" ht="15" customHeight="1" x14ac:dyDescent="0.25">
      <c r="A2580" s="27" t="s">
        <v>46</v>
      </c>
      <c r="B2580" s="27"/>
      <c r="C2580" s="27"/>
      <c r="D2580" s="27"/>
      <c r="E2580" s="27"/>
      <c r="F2580" s="27"/>
      <c r="G2580" s="27"/>
      <c r="H2580" s="27"/>
      <c r="I2580" s="27"/>
      <c r="J2580" s="27"/>
      <c r="K2580" s="27">
        <v>721.79</v>
      </c>
      <c r="L2580" s="27"/>
    </row>
    <row r="2581" spans="1:12" ht="15" customHeight="1" x14ac:dyDescent="0.25">
      <c r="A2581" s="27" t="s">
        <v>47</v>
      </c>
      <c r="B2581" s="27"/>
      <c r="C2581" s="27"/>
      <c r="D2581" s="27"/>
      <c r="E2581" s="27"/>
      <c r="F2581" s="27"/>
      <c r="G2581" s="27"/>
      <c r="H2581" s="27"/>
      <c r="I2581" s="27"/>
      <c r="J2581" s="27"/>
      <c r="K2581" s="27">
        <v>1</v>
      </c>
      <c r="L2581" s="27"/>
    </row>
    <row r="2582" spans="1:12" ht="15" customHeight="1" x14ac:dyDescent="0.25">
      <c r="A2582" s="27" t="s">
        <v>48</v>
      </c>
      <c r="B2582" s="27"/>
      <c r="C2582" s="27"/>
      <c r="D2582" s="27"/>
      <c r="E2582" s="27"/>
      <c r="F2582" s="27"/>
      <c r="G2582" s="27"/>
      <c r="H2582" s="27"/>
      <c r="I2582" s="27"/>
      <c r="J2582" s="27"/>
      <c r="K2582" s="27">
        <v>721.79</v>
      </c>
      <c r="L2582" s="27"/>
    </row>
    <row r="2583" spans="1:12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</row>
    <row r="2584" spans="1:12" ht="15" customHeight="1" x14ac:dyDescent="0.25">
      <c r="A2584" s="10" t="s">
        <v>49</v>
      </c>
      <c r="B2584" s="11"/>
      <c r="C2584" s="11"/>
      <c r="D2584" s="11"/>
      <c r="E2584" s="12"/>
      <c r="F2584" s="8" t="s">
        <v>21</v>
      </c>
      <c r="G2584" s="8" t="s">
        <v>22</v>
      </c>
      <c r="H2584" s="9" t="s">
        <v>44</v>
      </c>
      <c r="I2584" s="13" t="s">
        <v>34</v>
      </c>
      <c r="J2584" s="14"/>
      <c r="K2584" s="13" t="s">
        <v>50</v>
      </c>
      <c r="L2584" s="14"/>
    </row>
    <row r="2585" spans="1:12" ht="15" customHeight="1" x14ac:dyDescent="0.25">
      <c r="A2585" s="21" t="s">
        <v>122</v>
      </c>
      <c r="B2585" s="22"/>
      <c r="C2585" s="22"/>
      <c r="D2585" s="22"/>
      <c r="E2585" s="23"/>
      <c r="F2585" s="19" t="str">
        <f>"020503"</f>
        <v>020503</v>
      </c>
      <c r="G2585" s="19" t="s">
        <v>105</v>
      </c>
      <c r="H2585" s="20">
        <v>152</v>
      </c>
      <c r="I2585" s="24">
        <v>0.12737299999999999</v>
      </c>
      <c r="J2585" s="25"/>
      <c r="K2585" s="24">
        <v>19.36</v>
      </c>
      <c r="L2585" s="25"/>
    </row>
    <row r="2586" spans="1:12" ht="15" customHeight="1" x14ac:dyDescent="0.25">
      <c r="A2586" s="21" t="s">
        <v>123</v>
      </c>
      <c r="B2586" s="22"/>
      <c r="C2586" s="22"/>
      <c r="D2586" s="22"/>
      <c r="E2586" s="23"/>
      <c r="F2586" s="19" t="str">
        <f>"020505"</f>
        <v>020505</v>
      </c>
      <c r="G2586" s="19" t="s">
        <v>124</v>
      </c>
      <c r="H2586" s="20">
        <v>1.07</v>
      </c>
      <c r="I2586" s="24">
        <v>2.7439200000000001</v>
      </c>
      <c r="J2586" s="25"/>
      <c r="K2586" s="24">
        <v>2.93</v>
      </c>
      <c r="L2586" s="25"/>
    </row>
    <row r="2587" spans="1:12" ht="15" customHeight="1" x14ac:dyDescent="0.25">
      <c r="A2587" s="21" t="s">
        <v>125</v>
      </c>
      <c r="B2587" s="22"/>
      <c r="C2587" s="22"/>
      <c r="D2587" s="22"/>
      <c r="E2587" s="23"/>
      <c r="F2587" s="19" t="str">
        <f>"020508"</f>
        <v>020508</v>
      </c>
      <c r="G2587" s="19" t="s">
        <v>124</v>
      </c>
      <c r="H2587" s="20">
        <v>0.59</v>
      </c>
      <c r="I2587" s="24">
        <v>34.003500000000003</v>
      </c>
      <c r="J2587" s="25"/>
      <c r="K2587" s="24">
        <v>20.059999999999999</v>
      </c>
      <c r="L2587" s="25"/>
    </row>
    <row r="2588" spans="1:12" ht="15" customHeight="1" x14ac:dyDescent="0.25">
      <c r="A2588" s="21" t="s">
        <v>184</v>
      </c>
      <c r="B2588" s="22"/>
      <c r="C2588" s="22"/>
      <c r="D2588" s="22"/>
      <c r="E2588" s="23"/>
      <c r="F2588" s="19" t="str">
        <f>"020509"</f>
        <v>020509</v>
      </c>
      <c r="G2588" s="19" t="s">
        <v>124</v>
      </c>
      <c r="H2588" s="20">
        <v>4.22</v>
      </c>
      <c r="I2588" s="24">
        <v>0.43525000000000003</v>
      </c>
      <c r="J2588" s="25"/>
      <c r="K2588" s="24">
        <v>1.83</v>
      </c>
      <c r="L2588" s="25"/>
    </row>
    <row r="2589" spans="1:12" ht="15" customHeight="1" x14ac:dyDescent="0.25">
      <c r="A2589" s="21" t="s">
        <v>178</v>
      </c>
      <c r="B2589" s="22"/>
      <c r="C2589" s="22"/>
      <c r="D2589" s="22"/>
      <c r="E2589" s="23"/>
      <c r="F2589" s="19" t="str">
        <f>"020510"</f>
        <v>020510</v>
      </c>
      <c r="G2589" s="19" t="s">
        <v>124</v>
      </c>
      <c r="H2589" s="20">
        <v>0.84</v>
      </c>
      <c r="I2589" s="24">
        <v>20.029499999999999</v>
      </c>
      <c r="J2589" s="25"/>
      <c r="K2589" s="24">
        <v>16.82</v>
      </c>
      <c r="L2589" s="25"/>
    </row>
    <row r="2590" spans="1:12" ht="15" customHeight="1" x14ac:dyDescent="0.25">
      <c r="A2590" s="21" t="s">
        <v>257</v>
      </c>
      <c r="B2590" s="22"/>
      <c r="C2590" s="22"/>
      <c r="D2590" s="22"/>
      <c r="E2590" s="23"/>
      <c r="F2590" s="19" t="str">
        <f>"020517"</f>
        <v>020517</v>
      </c>
      <c r="G2590" s="19" t="s">
        <v>105</v>
      </c>
      <c r="H2590" s="20">
        <v>172.35</v>
      </c>
      <c r="I2590" s="24">
        <v>2.0003E-2</v>
      </c>
      <c r="J2590" s="25"/>
      <c r="K2590" s="24">
        <v>3.44</v>
      </c>
      <c r="L2590" s="25"/>
    </row>
    <row r="2591" spans="1:12" ht="15" customHeight="1" x14ac:dyDescent="0.25">
      <c r="A2591" s="21" t="s">
        <v>258</v>
      </c>
      <c r="B2591" s="22"/>
      <c r="C2591" s="22"/>
      <c r="D2591" s="22"/>
      <c r="E2591" s="23"/>
      <c r="F2591" s="19" t="str">
        <f>"020518"</f>
        <v>020518</v>
      </c>
      <c r="G2591" s="19" t="s">
        <v>105</v>
      </c>
      <c r="H2591" s="20">
        <v>172.35</v>
      </c>
      <c r="I2591" s="24">
        <v>2.0003E-2</v>
      </c>
      <c r="J2591" s="25"/>
      <c r="K2591" s="24">
        <v>3.44</v>
      </c>
      <c r="L2591" s="25"/>
    </row>
    <row r="2592" spans="1:12" ht="15" customHeight="1" x14ac:dyDescent="0.25">
      <c r="A2592" s="21" t="s">
        <v>259</v>
      </c>
      <c r="B2592" s="22"/>
      <c r="C2592" s="22"/>
      <c r="D2592" s="22"/>
      <c r="E2592" s="23"/>
      <c r="F2592" s="19" t="str">
        <f>"020985"</f>
        <v>020985</v>
      </c>
      <c r="G2592" s="19" t="s">
        <v>99</v>
      </c>
      <c r="H2592" s="20">
        <v>5.18</v>
      </c>
      <c r="I2592" s="24">
        <v>0.8</v>
      </c>
      <c r="J2592" s="25"/>
      <c r="K2592" s="24">
        <v>4.1399999999999997</v>
      </c>
      <c r="L2592" s="25"/>
    </row>
    <row r="2593" spans="1:12" ht="15" customHeight="1" x14ac:dyDescent="0.25">
      <c r="A2593" s="21" t="s">
        <v>260</v>
      </c>
      <c r="B2593" s="22"/>
      <c r="C2593" s="22"/>
      <c r="D2593" s="22"/>
      <c r="E2593" s="23"/>
      <c r="F2593" s="19" t="str">
        <f>"020988"</f>
        <v>020988</v>
      </c>
      <c r="G2593" s="19" t="s">
        <v>99</v>
      </c>
      <c r="H2593" s="20">
        <v>13.58</v>
      </c>
      <c r="I2593" s="24">
        <v>2.4</v>
      </c>
      <c r="J2593" s="25"/>
      <c r="K2593" s="24">
        <v>32.590000000000003</v>
      </c>
      <c r="L2593" s="25"/>
    </row>
    <row r="2594" spans="1:12" ht="15" customHeight="1" x14ac:dyDescent="0.25">
      <c r="A2594" s="21" t="s">
        <v>357</v>
      </c>
      <c r="B2594" s="22"/>
      <c r="C2594" s="22"/>
      <c r="D2594" s="22"/>
      <c r="E2594" s="23"/>
      <c r="F2594" s="19" t="str">
        <f>"021009"</f>
        <v>021009</v>
      </c>
      <c r="G2594" s="19" t="s">
        <v>99</v>
      </c>
      <c r="H2594" s="20">
        <v>9.98</v>
      </c>
      <c r="I2594" s="24">
        <v>1</v>
      </c>
      <c r="J2594" s="25"/>
      <c r="K2594" s="24">
        <v>9.98</v>
      </c>
      <c r="L2594" s="25"/>
    </row>
    <row r="2595" spans="1:12" ht="15" customHeight="1" x14ac:dyDescent="0.25">
      <c r="A2595" s="21" t="s">
        <v>358</v>
      </c>
      <c r="B2595" s="22"/>
      <c r="C2595" s="22"/>
      <c r="D2595" s="22"/>
      <c r="E2595" s="23"/>
      <c r="F2595" s="19" t="str">
        <f>"021032"</f>
        <v>021032</v>
      </c>
      <c r="G2595" s="19" t="s">
        <v>157</v>
      </c>
      <c r="H2595" s="20">
        <v>37.130000000000003</v>
      </c>
      <c r="I2595" s="24">
        <v>0.64500000000000002</v>
      </c>
      <c r="J2595" s="25"/>
      <c r="K2595" s="24">
        <v>23.94</v>
      </c>
      <c r="L2595" s="25"/>
    </row>
    <row r="2596" spans="1:12" ht="15" customHeight="1" x14ac:dyDescent="0.25">
      <c r="A2596" s="21" t="s">
        <v>261</v>
      </c>
      <c r="B2596" s="22"/>
      <c r="C2596" s="22"/>
      <c r="D2596" s="22"/>
      <c r="E2596" s="23"/>
      <c r="F2596" s="19" t="str">
        <f>"021517"</f>
        <v>021517</v>
      </c>
      <c r="G2596" s="19" t="s">
        <v>124</v>
      </c>
      <c r="H2596" s="20">
        <v>5.89</v>
      </c>
      <c r="I2596" s="24">
        <v>3.85</v>
      </c>
      <c r="J2596" s="25"/>
      <c r="K2596" s="24">
        <v>22.67</v>
      </c>
      <c r="L2596" s="25"/>
    </row>
    <row r="2597" spans="1:12" ht="15" customHeight="1" x14ac:dyDescent="0.25">
      <c r="A2597" s="21" t="s">
        <v>118</v>
      </c>
      <c r="B2597" s="22"/>
      <c r="C2597" s="22"/>
      <c r="D2597" s="22"/>
      <c r="E2597" s="23"/>
      <c r="F2597" s="19" t="str">
        <f>"022586"</f>
        <v>022586</v>
      </c>
      <c r="G2597" s="19" t="s">
        <v>81</v>
      </c>
      <c r="H2597" s="20">
        <v>0.78</v>
      </c>
      <c r="I2597" s="24">
        <v>36</v>
      </c>
      <c r="J2597" s="25"/>
      <c r="K2597" s="24">
        <v>28.08</v>
      </c>
      <c r="L2597" s="25"/>
    </row>
    <row r="2598" spans="1:12" ht="15" customHeight="1" x14ac:dyDescent="0.25">
      <c r="A2598" s="21" t="s">
        <v>263</v>
      </c>
      <c r="B2598" s="22"/>
      <c r="C2598" s="22"/>
      <c r="D2598" s="22"/>
      <c r="E2598" s="23"/>
      <c r="F2598" s="19" t="str">
        <f>"026569"</f>
        <v>026569</v>
      </c>
      <c r="G2598" s="19" t="s">
        <v>124</v>
      </c>
      <c r="H2598" s="20">
        <v>12.45</v>
      </c>
      <c r="I2598" s="24">
        <v>0.375</v>
      </c>
      <c r="J2598" s="25"/>
      <c r="K2598" s="24">
        <v>4.66</v>
      </c>
      <c r="L2598" s="25"/>
    </row>
    <row r="2599" spans="1:12" ht="15" customHeight="1" x14ac:dyDescent="0.25">
      <c r="A2599" s="21" t="s">
        <v>264</v>
      </c>
      <c r="B2599" s="22"/>
      <c r="C2599" s="22"/>
      <c r="D2599" s="22"/>
      <c r="E2599" s="23"/>
      <c r="F2599" s="19" t="str">
        <f>"027010"</f>
        <v>027010</v>
      </c>
      <c r="G2599" s="19" t="s">
        <v>124</v>
      </c>
      <c r="H2599" s="20">
        <v>13.3</v>
      </c>
      <c r="I2599" s="24">
        <v>7.0000000000000007E-2</v>
      </c>
      <c r="J2599" s="25"/>
      <c r="K2599" s="24">
        <v>0.93</v>
      </c>
      <c r="L2599" s="25"/>
    </row>
    <row r="2600" spans="1:12" ht="15" customHeight="1" x14ac:dyDescent="0.25">
      <c r="A2600" s="21" t="s">
        <v>108</v>
      </c>
      <c r="B2600" s="22"/>
      <c r="C2600" s="22"/>
      <c r="D2600" s="22"/>
      <c r="E2600" s="23"/>
      <c r="F2600" s="19" t="str">
        <f>"028008"</f>
        <v>028008</v>
      </c>
      <c r="G2600" s="19" t="s">
        <v>109</v>
      </c>
      <c r="H2600" s="20">
        <v>15.8</v>
      </c>
      <c r="I2600" s="24">
        <v>0.15</v>
      </c>
      <c r="J2600" s="25"/>
      <c r="K2600" s="24">
        <v>2.37</v>
      </c>
      <c r="L2600" s="25"/>
    </row>
    <row r="2601" spans="1:12" ht="15" customHeight="1" x14ac:dyDescent="0.25">
      <c r="A2601" s="21" t="s">
        <v>359</v>
      </c>
      <c r="B2601" s="22"/>
      <c r="C2601" s="22"/>
      <c r="D2601" s="22"/>
      <c r="E2601" s="23"/>
      <c r="F2601" s="19" t="str">
        <f>"032001"</f>
        <v>032001</v>
      </c>
      <c r="G2601" s="19" t="s">
        <v>157</v>
      </c>
      <c r="H2601" s="20">
        <v>65.67</v>
      </c>
      <c r="I2601" s="24">
        <v>1.82805</v>
      </c>
      <c r="J2601" s="25"/>
      <c r="K2601" s="24">
        <v>120.04</v>
      </c>
      <c r="L2601" s="25"/>
    </row>
    <row r="2602" spans="1:12" ht="15" customHeight="1" x14ac:dyDescent="0.25">
      <c r="A2602" s="21" t="s">
        <v>360</v>
      </c>
      <c r="B2602" s="22"/>
      <c r="C2602" s="22"/>
      <c r="D2602" s="22"/>
      <c r="E2602" s="23"/>
      <c r="F2602" s="19" t="str">
        <f>"032505"</f>
        <v>032505</v>
      </c>
      <c r="G2602" s="19" t="s">
        <v>157</v>
      </c>
      <c r="H2602" s="20">
        <v>326.23</v>
      </c>
      <c r="I2602" s="24">
        <v>2.71</v>
      </c>
      <c r="J2602" s="25"/>
      <c r="K2602" s="24">
        <v>884.08</v>
      </c>
      <c r="L2602" s="25"/>
    </row>
    <row r="2603" spans="1:12" ht="15" customHeight="1" x14ac:dyDescent="0.25">
      <c r="A2603" s="21" t="s">
        <v>361</v>
      </c>
      <c r="B2603" s="22"/>
      <c r="C2603" s="22"/>
      <c r="D2603" s="22"/>
      <c r="E2603" s="23"/>
      <c r="F2603" s="19" t="str">
        <f>"033503"</f>
        <v>033503</v>
      </c>
      <c r="G2603" s="19" t="s">
        <v>99</v>
      </c>
      <c r="H2603" s="20">
        <v>7.61</v>
      </c>
      <c r="I2603" s="24">
        <v>3.6</v>
      </c>
      <c r="J2603" s="25"/>
      <c r="K2603" s="24">
        <v>27.39</v>
      </c>
      <c r="L2603" s="25"/>
    </row>
    <row r="2604" spans="1:12" ht="15" customHeight="1" x14ac:dyDescent="0.25">
      <c r="A2604" s="21" t="s">
        <v>362</v>
      </c>
      <c r="B2604" s="22"/>
      <c r="C2604" s="22"/>
      <c r="D2604" s="22"/>
      <c r="E2604" s="23"/>
      <c r="F2604" s="19" t="str">
        <f>"064003"</f>
        <v>064003</v>
      </c>
      <c r="G2604" s="19" t="s">
        <v>81</v>
      </c>
      <c r="H2604" s="20">
        <v>89.91</v>
      </c>
      <c r="I2604" s="24">
        <v>1</v>
      </c>
      <c r="J2604" s="25"/>
      <c r="K2604" s="24">
        <v>89.91</v>
      </c>
      <c r="L2604" s="25"/>
    </row>
    <row r="2605" spans="1:12" ht="15" customHeight="1" x14ac:dyDescent="0.25">
      <c r="A2605" s="21" t="s">
        <v>363</v>
      </c>
      <c r="B2605" s="22"/>
      <c r="C2605" s="22"/>
      <c r="D2605" s="22"/>
      <c r="E2605" s="23"/>
      <c r="F2605" s="19" t="str">
        <f>"064506"</f>
        <v>064506</v>
      </c>
      <c r="G2605" s="19" t="s">
        <v>81</v>
      </c>
      <c r="H2605" s="20">
        <v>149.94</v>
      </c>
      <c r="I2605" s="24">
        <v>1</v>
      </c>
      <c r="J2605" s="25"/>
      <c r="K2605" s="24">
        <v>149.94</v>
      </c>
      <c r="L2605" s="25"/>
    </row>
    <row r="2606" spans="1:12" ht="15" customHeight="1" x14ac:dyDescent="0.25">
      <c r="A2606" s="21" t="s">
        <v>270</v>
      </c>
      <c r="B2606" s="22"/>
      <c r="C2606" s="22"/>
      <c r="D2606" s="22"/>
      <c r="E2606" s="23"/>
      <c r="F2606" s="19" t="str">
        <f>"069512"</f>
        <v>069512</v>
      </c>
      <c r="G2606" s="19" t="s">
        <v>99</v>
      </c>
      <c r="H2606" s="20">
        <v>0.24</v>
      </c>
      <c r="I2606" s="24">
        <v>1.5</v>
      </c>
      <c r="J2606" s="25"/>
      <c r="K2606" s="24">
        <v>0.36</v>
      </c>
      <c r="L2606" s="25"/>
    </row>
    <row r="2607" spans="1:12" ht="15" customHeight="1" x14ac:dyDescent="0.25">
      <c r="A2607" s="15" t="s">
        <v>51</v>
      </c>
      <c r="B2607" s="16"/>
      <c r="C2607" s="16"/>
      <c r="D2607" s="16"/>
      <c r="E2607" s="16"/>
      <c r="F2607" s="16"/>
      <c r="G2607" s="16"/>
      <c r="H2607" s="16"/>
      <c r="I2607" s="16"/>
      <c r="J2607" s="17"/>
      <c r="K2607" s="31">
        <v>1468.96</v>
      </c>
      <c r="L2607" s="32"/>
    </row>
    <row r="2608" spans="1:12" x14ac:dyDescent="0.25">
      <c r="A2608" s="18"/>
      <c r="B2608" s="18"/>
      <c r="C2608" s="18"/>
      <c r="D2608" s="18"/>
      <c r="E2608" s="18"/>
      <c r="F2608" s="18"/>
      <c r="G2608" s="18"/>
      <c r="H2608" s="18"/>
      <c r="I2608" s="18"/>
      <c r="J2608" s="18"/>
      <c r="K2608" s="18"/>
      <c r="L2608" s="18"/>
    </row>
    <row r="2609" spans="1:12" ht="15" customHeight="1" x14ac:dyDescent="0.25">
      <c r="A2609" s="10" t="s">
        <v>52</v>
      </c>
      <c r="B2609" s="11"/>
      <c r="C2609" s="11"/>
      <c r="D2609" s="11"/>
      <c r="E2609" s="12"/>
      <c r="F2609" s="8" t="s">
        <v>21</v>
      </c>
      <c r="G2609" s="8" t="s">
        <v>22</v>
      </c>
      <c r="H2609" s="9" t="s">
        <v>44</v>
      </c>
      <c r="I2609" s="13" t="s">
        <v>34</v>
      </c>
      <c r="J2609" s="14"/>
      <c r="K2609" s="13" t="s">
        <v>50</v>
      </c>
      <c r="L2609" s="14"/>
    </row>
    <row r="2610" spans="1:12" ht="30" customHeight="1" x14ac:dyDescent="0.25">
      <c r="A2610" s="21" t="s">
        <v>265</v>
      </c>
      <c r="B2610" s="22"/>
      <c r="C2610" s="22"/>
      <c r="D2610" s="22"/>
      <c r="E2610" s="23"/>
      <c r="F2610" s="19" t="s">
        <v>266</v>
      </c>
      <c r="G2610" s="19" t="s">
        <v>267</v>
      </c>
      <c r="H2610" s="20">
        <v>3.7484999999999997E-2</v>
      </c>
      <c r="I2610" s="24">
        <v>1.82</v>
      </c>
      <c r="J2610" s="25"/>
      <c r="K2610" s="24">
        <v>0.06</v>
      </c>
      <c r="L2610" s="25"/>
    </row>
    <row r="2611" spans="1:12" ht="15" customHeight="1" x14ac:dyDescent="0.25">
      <c r="A2611" s="15" t="s">
        <v>53</v>
      </c>
      <c r="B2611" s="16"/>
      <c r="C2611" s="16"/>
      <c r="D2611" s="16"/>
      <c r="E2611" s="16"/>
      <c r="F2611" s="16"/>
      <c r="G2611" s="16"/>
      <c r="H2611" s="16"/>
      <c r="I2611" s="16"/>
      <c r="J2611" s="17"/>
      <c r="K2611" s="15">
        <v>0.06</v>
      </c>
      <c r="L2611" s="17"/>
    </row>
    <row r="2612" spans="1:12" x14ac:dyDescent="0.25">
      <c r="A2612" s="18"/>
      <c r="B2612" s="18"/>
      <c r="C2612" s="18"/>
      <c r="D2612" s="18"/>
      <c r="E2612" s="18"/>
      <c r="F2612" s="18"/>
      <c r="G2612" s="18"/>
      <c r="H2612" s="18"/>
      <c r="I2612" s="18"/>
      <c r="J2612" s="18"/>
      <c r="K2612" s="18"/>
      <c r="L2612" s="18"/>
    </row>
    <row r="2613" spans="1:12" ht="15" customHeight="1" x14ac:dyDescent="0.25">
      <c r="A2613" s="10" t="s">
        <v>54</v>
      </c>
      <c r="B2613" s="11"/>
      <c r="C2613" s="12"/>
      <c r="D2613" s="8" t="s">
        <v>21</v>
      </c>
      <c r="E2613" s="8" t="s">
        <v>22</v>
      </c>
      <c r="F2613" s="9" t="s">
        <v>55</v>
      </c>
      <c r="G2613" s="8" t="s">
        <v>56</v>
      </c>
      <c r="H2613" s="8" t="s">
        <v>57</v>
      </c>
      <c r="I2613" s="8" t="s">
        <v>58</v>
      </c>
      <c r="J2613" s="9" t="s">
        <v>59</v>
      </c>
      <c r="K2613" s="9" t="s">
        <v>34</v>
      </c>
      <c r="L2613" s="9" t="s">
        <v>50</v>
      </c>
    </row>
    <row r="2614" spans="1:12" ht="15" customHeight="1" x14ac:dyDescent="0.25">
      <c r="A2614" s="15" t="s">
        <v>60</v>
      </c>
      <c r="B2614" s="16"/>
      <c r="C2614" s="16"/>
      <c r="D2614" s="16"/>
      <c r="E2614" s="16"/>
      <c r="F2614" s="16"/>
      <c r="G2614" s="16"/>
      <c r="H2614" s="16"/>
      <c r="I2614" s="16"/>
      <c r="J2614" s="17"/>
      <c r="K2614" s="15">
        <v>0</v>
      </c>
      <c r="L2614" s="17"/>
    </row>
    <row r="2615" spans="1:12" x14ac:dyDescent="0.25">
      <c r="A2615" s="18"/>
      <c r="B2615" s="18"/>
      <c r="C2615" s="18"/>
      <c r="D2615" s="18"/>
      <c r="E2615" s="18"/>
      <c r="F2615" s="18"/>
      <c r="G2615" s="18"/>
      <c r="H2615" s="18"/>
      <c r="I2615" s="18"/>
      <c r="J2615" s="18"/>
      <c r="K2615" s="18"/>
      <c r="L2615" s="18"/>
    </row>
    <row r="2616" spans="1:12" ht="15" customHeight="1" x14ac:dyDescent="0.25">
      <c r="A2616" s="27" t="s">
        <v>61</v>
      </c>
      <c r="B2616" s="27"/>
      <c r="C2616" s="27"/>
      <c r="D2616" s="27"/>
      <c r="E2616" s="27"/>
      <c r="F2616" s="27"/>
      <c r="G2616" s="27"/>
      <c r="H2616" s="27"/>
      <c r="I2616" s="27"/>
      <c r="J2616" s="27"/>
      <c r="K2616" s="28">
        <v>2190.81</v>
      </c>
      <c r="L2616" s="28"/>
    </row>
    <row r="2617" spans="1:12" ht="15" customHeight="1" x14ac:dyDescent="0.25">
      <c r="A2617" s="27" t="s">
        <v>62</v>
      </c>
      <c r="B2617" s="27"/>
      <c r="C2617" s="27"/>
      <c r="D2617" s="27"/>
      <c r="E2617" s="27"/>
      <c r="F2617" s="27"/>
      <c r="G2617" s="27"/>
      <c r="H2617" s="27"/>
      <c r="I2617" s="27"/>
      <c r="J2617" s="27"/>
      <c r="K2617" s="27">
        <v>728.44</v>
      </c>
      <c r="L2617" s="27"/>
    </row>
    <row r="2618" spans="1:12" ht="15" customHeight="1" x14ac:dyDescent="0.25">
      <c r="A2618" s="27" t="s">
        <v>63</v>
      </c>
      <c r="B2618" s="27"/>
      <c r="C2618" s="27"/>
      <c r="D2618" s="27"/>
      <c r="E2618" s="27"/>
      <c r="F2618" s="27"/>
      <c r="G2618" s="27"/>
      <c r="H2618" s="27"/>
      <c r="I2618" s="27"/>
      <c r="J2618" s="27"/>
      <c r="K2618" s="28">
        <v>2919.25</v>
      </c>
      <c r="L2618" s="28"/>
    </row>
    <row r="2619" spans="1:12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</row>
    <row r="2620" spans="1:12" ht="15" customHeight="1" x14ac:dyDescent="0.25">
      <c r="A2620" s="3" t="s">
        <v>8</v>
      </c>
      <c r="B2620" s="6" t="s">
        <v>9</v>
      </c>
      <c r="C2620" s="6"/>
      <c r="D2620" s="6"/>
      <c r="E2620" s="6"/>
      <c r="F2620" s="6"/>
      <c r="G2620" s="6"/>
      <c r="H2620" s="6"/>
      <c r="I2620" s="6"/>
      <c r="J2620" s="6"/>
      <c r="K2620" s="6"/>
      <c r="L2620" s="6"/>
    </row>
    <row r="2621" spans="1:12" ht="15" customHeight="1" x14ac:dyDescent="0.25">
      <c r="A2621" s="3" t="s">
        <v>10</v>
      </c>
      <c r="B2621" s="6" t="s">
        <v>364</v>
      </c>
      <c r="C2621" s="6"/>
      <c r="D2621" s="6"/>
      <c r="E2621" s="6"/>
      <c r="F2621" s="6"/>
      <c r="G2621" s="6"/>
      <c r="H2621" s="6"/>
      <c r="I2621" s="6"/>
      <c r="J2621" s="6"/>
      <c r="K2621" s="3" t="s">
        <v>12</v>
      </c>
      <c r="L2621" s="4" t="s">
        <v>84</v>
      </c>
    </row>
    <row r="2622" spans="1:12" ht="15" customHeight="1" x14ac:dyDescent="0.25">
      <c r="A2622" s="3" t="s">
        <v>14</v>
      </c>
      <c r="B2622" s="6" t="s">
        <v>88</v>
      </c>
      <c r="C2622" s="6"/>
      <c r="D2622" s="7" t="s">
        <v>16</v>
      </c>
      <c r="E2622" s="7"/>
      <c r="F2622" s="6" t="str">
        <f>"3AA8.000017"</f>
        <v>3AA8.000017</v>
      </c>
      <c r="G2622" s="6"/>
      <c r="H2622" s="3" t="s">
        <v>17</v>
      </c>
      <c r="I2622" s="6" t="s">
        <v>89</v>
      </c>
      <c r="J2622" s="6"/>
      <c r="K2622" s="3" t="s">
        <v>19</v>
      </c>
      <c r="L2622" s="5">
        <v>1</v>
      </c>
    </row>
    <row r="2623" spans="1:12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</row>
    <row r="2624" spans="1:12" ht="15" customHeight="1" x14ac:dyDescent="0.25">
      <c r="A2624" s="10" t="s">
        <v>20</v>
      </c>
      <c r="B2624" s="11"/>
      <c r="C2624" s="12"/>
      <c r="D2624" s="8" t="s">
        <v>21</v>
      </c>
      <c r="E2624" s="8" t="s">
        <v>22</v>
      </c>
      <c r="F2624" s="9" t="s">
        <v>23</v>
      </c>
      <c r="G2624" s="9" t="s">
        <v>24</v>
      </c>
      <c r="H2624" s="9" t="s">
        <v>25</v>
      </c>
      <c r="I2624" s="9" t="s">
        <v>26</v>
      </c>
      <c r="J2624" s="9" t="s">
        <v>27</v>
      </c>
      <c r="K2624" s="13" t="s">
        <v>28</v>
      </c>
      <c r="L2624" s="14"/>
    </row>
    <row r="2625" spans="1:12" ht="15" customHeight="1" x14ac:dyDescent="0.25">
      <c r="A2625" s="15" t="s">
        <v>29</v>
      </c>
      <c r="B2625" s="16"/>
      <c r="C2625" s="16"/>
      <c r="D2625" s="16"/>
      <c r="E2625" s="16"/>
      <c r="F2625" s="16"/>
      <c r="G2625" s="16"/>
      <c r="H2625" s="16"/>
      <c r="I2625" s="16"/>
      <c r="J2625" s="17"/>
      <c r="K2625" s="15">
        <v>0</v>
      </c>
      <c r="L2625" s="17"/>
    </row>
    <row r="2626" spans="1:12" x14ac:dyDescent="0.25">
      <c r="A2626" s="18"/>
      <c r="B2626" s="18"/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</row>
    <row r="2627" spans="1:12" ht="15" customHeight="1" x14ac:dyDescent="0.25">
      <c r="A2627" s="10" t="s">
        <v>30</v>
      </c>
      <c r="B2627" s="11"/>
      <c r="C2627" s="12"/>
      <c r="D2627" s="8" t="s">
        <v>21</v>
      </c>
      <c r="E2627" s="8" t="s">
        <v>22</v>
      </c>
      <c r="F2627" s="9" t="s">
        <v>31</v>
      </c>
      <c r="G2627" s="9" t="s">
        <v>32</v>
      </c>
      <c r="H2627" s="9" t="s">
        <v>33</v>
      </c>
      <c r="I2627" s="13" t="s">
        <v>34</v>
      </c>
      <c r="J2627" s="14"/>
      <c r="K2627" s="13" t="s">
        <v>28</v>
      </c>
      <c r="L2627" s="14"/>
    </row>
    <row r="2628" spans="1:12" ht="15" customHeight="1" x14ac:dyDescent="0.25">
      <c r="A2628" s="15" t="s">
        <v>38</v>
      </c>
      <c r="B2628" s="16"/>
      <c r="C2628" s="16"/>
      <c r="D2628" s="16"/>
      <c r="E2628" s="16"/>
      <c r="F2628" s="16"/>
      <c r="G2628" s="16"/>
      <c r="H2628" s="16"/>
      <c r="I2628" s="16"/>
      <c r="J2628" s="17"/>
      <c r="K2628" s="15">
        <v>0</v>
      </c>
      <c r="L2628" s="17"/>
    </row>
    <row r="2629" spans="1:12" x14ac:dyDescent="0.25">
      <c r="A2629" s="18"/>
      <c r="B2629" s="18"/>
      <c r="C2629" s="18"/>
      <c r="D2629" s="18"/>
      <c r="E2629" s="18"/>
      <c r="F2629" s="18"/>
      <c r="G2629" s="18"/>
      <c r="H2629" s="18"/>
      <c r="I2629" s="18"/>
      <c r="J2629" s="18"/>
      <c r="K2629" s="18"/>
      <c r="L2629" s="18"/>
    </row>
    <row r="2630" spans="1:12" ht="15" customHeight="1" x14ac:dyDescent="0.25">
      <c r="A2630" s="10" t="s">
        <v>39</v>
      </c>
      <c r="B2630" s="11"/>
      <c r="C2630" s="12"/>
      <c r="D2630" s="8" t="s">
        <v>21</v>
      </c>
      <c r="E2630" s="13" t="s">
        <v>40</v>
      </c>
      <c r="F2630" s="14"/>
      <c r="G2630" s="8" t="s">
        <v>41</v>
      </c>
      <c r="H2630" s="8" t="s">
        <v>42</v>
      </c>
      <c r="I2630" s="8" t="s">
        <v>43</v>
      </c>
      <c r="J2630" s="13" t="s">
        <v>44</v>
      </c>
      <c r="K2630" s="26"/>
      <c r="L2630" s="14"/>
    </row>
    <row r="2631" spans="1:12" ht="15" customHeight="1" x14ac:dyDescent="0.25">
      <c r="A2631" s="15" t="s">
        <v>45</v>
      </c>
      <c r="B2631" s="16"/>
      <c r="C2631" s="16"/>
      <c r="D2631" s="16"/>
      <c r="E2631" s="16"/>
      <c r="F2631" s="16"/>
      <c r="G2631" s="16"/>
      <c r="H2631" s="16"/>
      <c r="I2631" s="16"/>
      <c r="J2631" s="17"/>
      <c r="K2631" s="15">
        <v>0</v>
      </c>
      <c r="L2631" s="17"/>
    </row>
    <row r="2632" spans="1:12" x14ac:dyDescent="0.25">
      <c r="A2632" s="18"/>
      <c r="B2632" s="18"/>
      <c r="C2632" s="18"/>
      <c r="D2632" s="18"/>
      <c r="E2632" s="18"/>
      <c r="F2632" s="18"/>
      <c r="G2632" s="18"/>
      <c r="H2632" s="18"/>
      <c r="I2632" s="18"/>
      <c r="J2632" s="18"/>
      <c r="K2632" s="18"/>
      <c r="L2632" s="18"/>
    </row>
    <row r="2633" spans="1:12" ht="15" customHeight="1" x14ac:dyDescent="0.25">
      <c r="A2633" s="27" t="s">
        <v>46</v>
      </c>
      <c r="B2633" s="27"/>
      <c r="C2633" s="27"/>
      <c r="D2633" s="27"/>
      <c r="E2633" s="27"/>
      <c r="F2633" s="27"/>
      <c r="G2633" s="27"/>
      <c r="H2633" s="27"/>
      <c r="I2633" s="27"/>
      <c r="J2633" s="27"/>
      <c r="K2633" s="27">
        <v>0</v>
      </c>
      <c r="L2633" s="27"/>
    </row>
    <row r="2634" spans="1:12" ht="15" customHeight="1" x14ac:dyDescent="0.25">
      <c r="A2634" s="27" t="s">
        <v>47</v>
      </c>
      <c r="B2634" s="27"/>
      <c r="C2634" s="27"/>
      <c r="D2634" s="27"/>
      <c r="E2634" s="27"/>
      <c r="F2634" s="27"/>
      <c r="G2634" s="27"/>
      <c r="H2634" s="27"/>
      <c r="I2634" s="27"/>
      <c r="J2634" s="27"/>
      <c r="K2634" s="27">
        <v>1</v>
      </c>
      <c r="L2634" s="27"/>
    </row>
    <row r="2635" spans="1:12" ht="15" customHeight="1" x14ac:dyDescent="0.25">
      <c r="A2635" s="27" t="s">
        <v>48</v>
      </c>
      <c r="B2635" s="27"/>
      <c r="C2635" s="27"/>
      <c r="D2635" s="27"/>
      <c r="E2635" s="27"/>
      <c r="F2635" s="27"/>
      <c r="G2635" s="27"/>
      <c r="H2635" s="27"/>
      <c r="I2635" s="27"/>
      <c r="J2635" s="27"/>
      <c r="K2635" s="27">
        <v>0</v>
      </c>
      <c r="L2635" s="27"/>
    </row>
    <row r="2636" spans="1:12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</row>
    <row r="2637" spans="1:12" ht="15" customHeight="1" x14ac:dyDescent="0.25">
      <c r="A2637" s="10" t="s">
        <v>49</v>
      </c>
      <c r="B2637" s="11"/>
      <c r="C2637" s="11"/>
      <c r="D2637" s="11"/>
      <c r="E2637" s="12"/>
      <c r="F2637" s="8" t="s">
        <v>21</v>
      </c>
      <c r="G2637" s="8" t="s">
        <v>22</v>
      </c>
      <c r="H2637" s="9" t="s">
        <v>44</v>
      </c>
      <c r="I2637" s="13" t="s">
        <v>34</v>
      </c>
      <c r="J2637" s="14"/>
      <c r="K2637" s="13" t="s">
        <v>50</v>
      </c>
      <c r="L2637" s="14"/>
    </row>
    <row r="2638" spans="1:12" ht="30" customHeight="1" x14ac:dyDescent="0.25">
      <c r="A2638" s="21" t="s">
        <v>346</v>
      </c>
      <c r="B2638" s="22"/>
      <c r="C2638" s="22"/>
      <c r="D2638" s="22"/>
      <c r="E2638" s="23"/>
      <c r="F2638" s="19" t="str">
        <f>"00020231"</f>
        <v>00020231</v>
      </c>
      <c r="G2638" s="19" t="s">
        <v>99</v>
      </c>
      <c r="H2638" s="20">
        <v>35.35</v>
      </c>
      <c r="I2638" s="24">
        <v>2.1</v>
      </c>
      <c r="J2638" s="25"/>
      <c r="K2638" s="24">
        <v>74.23</v>
      </c>
      <c r="L2638" s="25"/>
    </row>
    <row r="2639" spans="1:12" ht="15" customHeight="1" x14ac:dyDescent="0.25">
      <c r="A2639" s="21" t="s">
        <v>365</v>
      </c>
      <c r="B2639" s="22"/>
      <c r="C2639" s="22"/>
      <c r="D2639" s="22"/>
      <c r="E2639" s="23"/>
      <c r="F2639" s="19" t="str">
        <f>"032584"</f>
        <v>032584</v>
      </c>
      <c r="G2639" s="19" t="s">
        <v>99</v>
      </c>
      <c r="H2639" s="20">
        <v>32.71</v>
      </c>
      <c r="I2639" s="24">
        <v>3.3</v>
      </c>
      <c r="J2639" s="25"/>
      <c r="K2639" s="24">
        <v>107.94</v>
      </c>
      <c r="L2639" s="25"/>
    </row>
    <row r="2640" spans="1:12" ht="15" customHeight="1" x14ac:dyDescent="0.25">
      <c r="A2640" s="21" t="s">
        <v>366</v>
      </c>
      <c r="B2640" s="22"/>
      <c r="C2640" s="22"/>
      <c r="D2640" s="22"/>
      <c r="E2640" s="23"/>
      <c r="F2640" s="19" t="str">
        <f>"034919"</f>
        <v>034919</v>
      </c>
      <c r="G2640" s="19" t="s">
        <v>99</v>
      </c>
      <c r="H2640" s="20">
        <v>25.1</v>
      </c>
      <c r="I2640" s="24">
        <v>3.3</v>
      </c>
      <c r="J2640" s="25"/>
      <c r="K2640" s="24">
        <v>82.83</v>
      </c>
      <c r="L2640" s="25"/>
    </row>
    <row r="2641" spans="1:12" ht="15" customHeight="1" x14ac:dyDescent="0.25">
      <c r="A2641" s="15" t="s">
        <v>51</v>
      </c>
      <c r="B2641" s="16"/>
      <c r="C2641" s="16"/>
      <c r="D2641" s="16"/>
      <c r="E2641" s="16"/>
      <c r="F2641" s="16"/>
      <c r="G2641" s="16"/>
      <c r="H2641" s="16"/>
      <c r="I2641" s="16"/>
      <c r="J2641" s="17"/>
      <c r="K2641" s="15">
        <v>265</v>
      </c>
      <c r="L2641" s="17"/>
    </row>
    <row r="2642" spans="1:12" x14ac:dyDescent="0.25">
      <c r="A2642" s="18"/>
      <c r="B2642" s="18"/>
      <c r="C2642" s="18"/>
      <c r="D2642" s="18"/>
      <c r="E2642" s="18"/>
      <c r="F2642" s="18"/>
      <c r="G2642" s="18"/>
      <c r="H2642" s="18"/>
      <c r="I2642" s="18"/>
      <c r="J2642" s="18"/>
      <c r="K2642" s="18"/>
      <c r="L2642" s="18"/>
    </row>
    <row r="2643" spans="1:12" ht="15" customHeight="1" x14ac:dyDescent="0.25">
      <c r="A2643" s="10" t="s">
        <v>52</v>
      </c>
      <c r="B2643" s="11"/>
      <c r="C2643" s="11"/>
      <c r="D2643" s="11"/>
      <c r="E2643" s="12"/>
      <c r="F2643" s="8" t="s">
        <v>21</v>
      </c>
      <c r="G2643" s="8" t="s">
        <v>22</v>
      </c>
      <c r="H2643" s="9" t="s">
        <v>44</v>
      </c>
      <c r="I2643" s="13" t="s">
        <v>34</v>
      </c>
      <c r="J2643" s="14"/>
      <c r="K2643" s="13" t="s">
        <v>50</v>
      </c>
      <c r="L2643" s="14"/>
    </row>
    <row r="2644" spans="1:12" ht="45" customHeight="1" x14ac:dyDescent="0.25">
      <c r="A2644" s="21" t="s">
        <v>350</v>
      </c>
      <c r="B2644" s="22"/>
      <c r="C2644" s="22"/>
      <c r="D2644" s="22"/>
      <c r="E2644" s="23"/>
      <c r="F2644" s="19" t="s">
        <v>351</v>
      </c>
      <c r="G2644" s="19" t="s">
        <v>87</v>
      </c>
      <c r="H2644" s="20">
        <v>2.1</v>
      </c>
      <c r="I2644" s="24">
        <v>45.38</v>
      </c>
      <c r="J2644" s="25"/>
      <c r="K2644" s="24">
        <v>95.29</v>
      </c>
      <c r="L2644" s="25"/>
    </row>
    <row r="2645" spans="1:12" ht="15" customHeight="1" x14ac:dyDescent="0.25">
      <c r="A2645" s="21" t="s">
        <v>367</v>
      </c>
      <c r="B2645" s="22"/>
      <c r="C2645" s="22"/>
      <c r="D2645" s="22"/>
      <c r="E2645" s="23"/>
      <c r="F2645" s="19" t="s">
        <v>368</v>
      </c>
      <c r="G2645" s="19" t="s">
        <v>13</v>
      </c>
      <c r="H2645" s="20">
        <v>1.26</v>
      </c>
      <c r="I2645" s="24">
        <v>482.12</v>
      </c>
      <c r="J2645" s="25"/>
      <c r="K2645" s="24">
        <v>607.47</v>
      </c>
      <c r="L2645" s="25"/>
    </row>
    <row r="2646" spans="1:12" ht="30" customHeight="1" x14ac:dyDescent="0.25">
      <c r="A2646" s="21" t="s">
        <v>369</v>
      </c>
      <c r="B2646" s="22"/>
      <c r="C2646" s="22"/>
      <c r="D2646" s="22"/>
      <c r="E2646" s="23"/>
      <c r="F2646" s="19" t="s">
        <v>370</v>
      </c>
      <c r="G2646" s="19" t="s">
        <v>13</v>
      </c>
      <c r="H2646" s="20">
        <v>0.51815999999999995</v>
      </c>
      <c r="I2646" s="24">
        <v>50.58</v>
      </c>
      <c r="J2646" s="25"/>
      <c r="K2646" s="24">
        <v>26.2</v>
      </c>
      <c r="L2646" s="25"/>
    </row>
    <row r="2647" spans="1:12" ht="15" customHeight="1" x14ac:dyDescent="0.25">
      <c r="A2647" s="21" t="s">
        <v>354</v>
      </c>
      <c r="B2647" s="22"/>
      <c r="C2647" s="22"/>
      <c r="D2647" s="22"/>
      <c r="E2647" s="23"/>
      <c r="F2647" s="19" t="s">
        <v>371</v>
      </c>
      <c r="G2647" s="19" t="s">
        <v>87</v>
      </c>
      <c r="H2647" s="20">
        <v>3.2</v>
      </c>
      <c r="I2647" s="24" t="s">
        <v>164</v>
      </c>
      <c r="J2647" s="25"/>
      <c r="K2647" s="24" t="s">
        <v>164</v>
      </c>
      <c r="L2647" s="25"/>
    </row>
    <row r="2648" spans="1:12" ht="15" customHeight="1" x14ac:dyDescent="0.25">
      <c r="A2648" s="15" t="s">
        <v>53</v>
      </c>
      <c r="B2648" s="16"/>
      <c r="C2648" s="16"/>
      <c r="D2648" s="16"/>
      <c r="E2648" s="16"/>
      <c r="F2648" s="16"/>
      <c r="G2648" s="16"/>
      <c r="H2648" s="16"/>
      <c r="I2648" s="16"/>
      <c r="J2648" s="17"/>
      <c r="K2648" s="31">
        <v>1104.0899999999999</v>
      </c>
      <c r="L2648" s="32"/>
    </row>
    <row r="2649" spans="1:12" x14ac:dyDescent="0.25">
      <c r="A2649" s="18"/>
      <c r="B2649" s="18"/>
      <c r="C2649" s="18"/>
      <c r="D2649" s="18"/>
      <c r="E2649" s="18"/>
      <c r="F2649" s="18"/>
      <c r="G2649" s="18"/>
      <c r="H2649" s="18"/>
      <c r="I2649" s="18"/>
      <c r="J2649" s="18"/>
      <c r="K2649" s="18"/>
      <c r="L2649" s="18"/>
    </row>
    <row r="2650" spans="1:12" ht="15" customHeight="1" x14ac:dyDescent="0.25">
      <c r="A2650" s="10" t="s">
        <v>54</v>
      </c>
      <c r="B2650" s="11"/>
      <c r="C2650" s="12"/>
      <c r="D2650" s="8" t="s">
        <v>21</v>
      </c>
      <c r="E2650" s="8" t="s">
        <v>22</v>
      </c>
      <c r="F2650" s="9" t="s">
        <v>55</v>
      </c>
      <c r="G2650" s="8" t="s">
        <v>56</v>
      </c>
      <c r="H2650" s="8" t="s">
        <v>57</v>
      </c>
      <c r="I2650" s="8" t="s">
        <v>58</v>
      </c>
      <c r="J2650" s="9" t="s">
        <v>59</v>
      </c>
      <c r="K2650" s="9" t="s">
        <v>34</v>
      </c>
      <c r="L2650" s="9" t="s">
        <v>50</v>
      </c>
    </row>
    <row r="2651" spans="1:12" ht="15" customHeight="1" x14ac:dyDescent="0.25">
      <c r="A2651" s="15" t="s">
        <v>60</v>
      </c>
      <c r="B2651" s="16"/>
      <c r="C2651" s="16"/>
      <c r="D2651" s="16"/>
      <c r="E2651" s="16"/>
      <c r="F2651" s="16"/>
      <c r="G2651" s="16"/>
      <c r="H2651" s="16"/>
      <c r="I2651" s="16"/>
      <c r="J2651" s="17"/>
      <c r="K2651" s="15">
        <v>0</v>
      </c>
      <c r="L2651" s="17"/>
    </row>
    <row r="2652" spans="1:12" x14ac:dyDescent="0.25">
      <c r="A2652" s="18"/>
      <c r="B2652" s="18"/>
      <c r="C2652" s="18"/>
      <c r="D2652" s="18"/>
      <c r="E2652" s="18"/>
      <c r="F2652" s="18"/>
      <c r="G2652" s="18"/>
      <c r="H2652" s="18"/>
      <c r="I2652" s="18"/>
      <c r="J2652" s="18"/>
      <c r="K2652" s="18"/>
      <c r="L2652" s="18"/>
    </row>
    <row r="2653" spans="1:12" ht="15" customHeight="1" x14ac:dyDescent="0.25">
      <c r="A2653" s="27" t="s">
        <v>61</v>
      </c>
      <c r="B2653" s="27"/>
      <c r="C2653" s="27"/>
      <c r="D2653" s="27"/>
      <c r="E2653" s="27"/>
      <c r="F2653" s="27"/>
      <c r="G2653" s="27"/>
      <c r="H2653" s="27"/>
      <c r="I2653" s="27"/>
      <c r="J2653" s="27"/>
      <c r="K2653" s="28">
        <v>1369.09</v>
      </c>
      <c r="L2653" s="28"/>
    </row>
    <row r="2654" spans="1:12" ht="15" customHeight="1" x14ac:dyDescent="0.25">
      <c r="A2654" s="27" t="s">
        <v>62</v>
      </c>
      <c r="B2654" s="27"/>
      <c r="C2654" s="27"/>
      <c r="D2654" s="27"/>
      <c r="E2654" s="27"/>
      <c r="F2654" s="27"/>
      <c r="G2654" s="27"/>
      <c r="H2654" s="27"/>
      <c r="I2654" s="27"/>
      <c r="J2654" s="27"/>
      <c r="K2654" s="27">
        <v>455.22</v>
      </c>
      <c r="L2654" s="27"/>
    </row>
    <row r="2655" spans="1:12" ht="15" customHeight="1" x14ac:dyDescent="0.25">
      <c r="A2655" s="27" t="s">
        <v>63</v>
      </c>
      <c r="B2655" s="27"/>
      <c r="C2655" s="27"/>
      <c r="D2655" s="27"/>
      <c r="E2655" s="27"/>
      <c r="F2655" s="27"/>
      <c r="G2655" s="27"/>
      <c r="H2655" s="27"/>
      <c r="I2655" s="27"/>
      <c r="J2655" s="27"/>
      <c r="K2655" s="28">
        <v>1824.31</v>
      </c>
      <c r="L2655" s="28"/>
    </row>
    <row r="2656" spans="1:12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</row>
    <row r="2657" spans="1:12" ht="15" customHeight="1" x14ac:dyDescent="0.25">
      <c r="A2657" s="3" t="s">
        <v>8</v>
      </c>
      <c r="B2657" s="6" t="s">
        <v>9</v>
      </c>
      <c r="C2657" s="6"/>
      <c r="D2657" s="6"/>
      <c r="E2657" s="6"/>
      <c r="F2657" s="6"/>
      <c r="G2657" s="6"/>
      <c r="H2657" s="6"/>
      <c r="I2657" s="6"/>
      <c r="J2657" s="6"/>
      <c r="K2657" s="6"/>
      <c r="L2657" s="6"/>
    </row>
    <row r="2658" spans="1:12" ht="15" customHeight="1" x14ac:dyDescent="0.25">
      <c r="A2658" s="3" t="s">
        <v>10</v>
      </c>
      <c r="B2658" s="6" t="s">
        <v>372</v>
      </c>
      <c r="C2658" s="6"/>
      <c r="D2658" s="6"/>
      <c r="E2658" s="6"/>
      <c r="F2658" s="6"/>
      <c r="G2658" s="6"/>
      <c r="H2658" s="6"/>
      <c r="I2658" s="6"/>
      <c r="J2658" s="6"/>
      <c r="K2658" s="3" t="s">
        <v>12</v>
      </c>
      <c r="L2658" s="4" t="s">
        <v>84</v>
      </c>
    </row>
    <row r="2659" spans="1:12" ht="15" customHeight="1" x14ac:dyDescent="0.25">
      <c r="A2659" s="3" t="s">
        <v>14</v>
      </c>
      <c r="B2659" s="6" t="s">
        <v>88</v>
      </c>
      <c r="C2659" s="6"/>
      <c r="D2659" s="7" t="s">
        <v>16</v>
      </c>
      <c r="E2659" s="7"/>
      <c r="F2659" s="6" t="str">
        <f>"3DD3.000162"</f>
        <v>3DD3.000162</v>
      </c>
      <c r="G2659" s="6"/>
      <c r="H2659" s="3" t="s">
        <v>17</v>
      </c>
      <c r="I2659" s="6" t="s">
        <v>89</v>
      </c>
      <c r="J2659" s="6"/>
      <c r="K2659" s="3" t="s">
        <v>19</v>
      </c>
      <c r="L2659" s="5">
        <v>1</v>
      </c>
    </row>
    <row r="2660" spans="1:12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</row>
    <row r="2661" spans="1:12" ht="15" customHeight="1" x14ac:dyDescent="0.25">
      <c r="A2661" s="10" t="s">
        <v>20</v>
      </c>
      <c r="B2661" s="11"/>
      <c r="C2661" s="12"/>
      <c r="D2661" s="8" t="s">
        <v>21</v>
      </c>
      <c r="E2661" s="8" t="s">
        <v>22</v>
      </c>
      <c r="F2661" s="9" t="s">
        <v>23</v>
      </c>
      <c r="G2661" s="9" t="s">
        <v>24</v>
      </c>
      <c r="H2661" s="9" t="s">
        <v>25</v>
      </c>
      <c r="I2661" s="9" t="s">
        <v>26</v>
      </c>
      <c r="J2661" s="9" t="s">
        <v>27</v>
      </c>
      <c r="K2661" s="13" t="s">
        <v>28</v>
      </c>
      <c r="L2661" s="14"/>
    </row>
    <row r="2662" spans="1:12" ht="15" customHeight="1" x14ac:dyDescent="0.25">
      <c r="A2662" s="15" t="s">
        <v>29</v>
      </c>
      <c r="B2662" s="16"/>
      <c r="C2662" s="16"/>
      <c r="D2662" s="16"/>
      <c r="E2662" s="16"/>
      <c r="F2662" s="16"/>
      <c r="G2662" s="16"/>
      <c r="H2662" s="16"/>
      <c r="I2662" s="16"/>
      <c r="J2662" s="17"/>
      <c r="K2662" s="15">
        <v>0</v>
      </c>
      <c r="L2662" s="17"/>
    </row>
    <row r="2663" spans="1:12" x14ac:dyDescent="0.25">
      <c r="A2663" s="18"/>
      <c r="B2663" s="18"/>
      <c r="C2663" s="18"/>
      <c r="D2663" s="18"/>
      <c r="E2663" s="18"/>
      <c r="F2663" s="18"/>
      <c r="G2663" s="18"/>
      <c r="H2663" s="18"/>
      <c r="I2663" s="18"/>
      <c r="J2663" s="18"/>
      <c r="K2663" s="18"/>
      <c r="L2663" s="18"/>
    </row>
    <row r="2664" spans="1:12" ht="15" customHeight="1" x14ac:dyDescent="0.25">
      <c r="A2664" s="10" t="s">
        <v>30</v>
      </c>
      <c r="B2664" s="11"/>
      <c r="C2664" s="12"/>
      <c r="D2664" s="8" t="s">
        <v>21</v>
      </c>
      <c r="E2664" s="8" t="s">
        <v>22</v>
      </c>
      <c r="F2664" s="9" t="s">
        <v>31</v>
      </c>
      <c r="G2664" s="9" t="s">
        <v>32</v>
      </c>
      <c r="H2664" s="9" t="s">
        <v>33</v>
      </c>
      <c r="I2664" s="13" t="s">
        <v>34</v>
      </c>
      <c r="J2664" s="14"/>
      <c r="K2664" s="13" t="s">
        <v>28</v>
      </c>
      <c r="L2664" s="14"/>
    </row>
    <row r="2665" spans="1:12" ht="15" customHeight="1" x14ac:dyDescent="0.25">
      <c r="A2665" s="15" t="s">
        <v>38</v>
      </c>
      <c r="B2665" s="16"/>
      <c r="C2665" s="16"/>
      <c r="D2665" s="16"/>
      <c r="E2665" s="16"/>
      <c r="F2665" s="16"/>
      <c r="G2665" s="16"/>
      <c r="H2665" s="16"/>
      <c r="I2665" s="16"/>
      <c r="J2665" s="17"/>
      <c r="K2665" s="15">
        <v>0</v>
      </c>
      <c r="L2665" s="17"/>
    </row>
    <row r="2666" spans="1:12" x14ac:dyDescent="0.25">
      <c r="A2666" s="18"/>
      <c r="B2666" s="18"/>
      <c r="C2666" s="18"/>
      <c r="D2666" s="18"/>
      <c r="E2666" s="18"/>
      <c r="F2666" s="18"/>
      <c r="G2666" s="18"/>
      <c r="H2666" s="18"/>
      <c r="I2666" s="18"/>
      <c r="J2666" s="18"/>
      <c r="K2666" s="18"/>
      <c r="L2666" s="18"/>
    </row>
    <row r="2667" spans="1:12" ht="15" customHeight="1" x14ac:dyDescent="0.25">
      <c r="A2667" s="10" t="s">
        <v>39</v>
      </c>
      <c r="B2667" s="11"/>
      <c r="C2667" s="12"/>
      <c r="D2667" s="8" t="s">
        <v>21</v>
      </c>
      <c r="E2667" s="13" t="s">
        <v>40</v>
      </c>
      <c r="F2667" s="14"/>
      <c r="G2667" s="8" t="s">
        <v>41</v>
      </c>
      <c r="H2667" s="8" t="s">
        <v>42</v>
      </c>
      <c r="I2667" s="8" t="s">
        <v>43</v>
      </c>
      <c r="J2667" s="13" t="s">
        <v>44</v>
      </c>
      <c r="K2667" s="26"/>
      <c r="L2667" s="14"/>
    </row>
    <row r="2668" spans="1:12" ht="15" customHeight="1" x14ac:dyDescent="0.25">
      <c r="A2668" s="15" t="s">
        <v>45</v>
      </c>
      <c r="B2668" s="16"/>
      <c r="C2668" s="16"/>
      <c r="D2668" s="16"/>
      <c r="E2668" s="16"/>
      <c r="F2668" s="16"/>
      <c r="G2668" s="16"/>
      <c r="H2668" s="16"/>
      <c r="I2668" s="16"/>
      <c r="J2668" s="17"/>
      <c r="K2668" s="15">
        <v>0</v>
      </c>
      <c r="L2668" s="17"/>
    </row>
    <row r="2669" spans="1:12" x14ac:dyDescent="0.25">
      <c r="A2669" s="18"/>
      <c r="B2669" s="18"/>
      <c r="C2669" s="18"/>
      <c r="D2669" s="18"/>
      <c r="E2669" s="18"/>
      <c r="F2669" s="18"/>
      <c r="G2669" s="18"/>
      <c r="H2669" s="18"/>
      <c r="I2669" s="18"/>
      <c r="J2669" s="18"/>
      <c r="K2669" s="18"/>
      <c r="L2669" s="18"/>
    </row>
    <row r="2670" spans="1:12" ht="15" customHeight="1" x14ac:dyDescent="0.25">
      <c r="A2670" s="27" t="s">
        <v>46</v>
      </c>
      <c r="B2670" s="27"/>
      <c r="C2670" s="27"/>
      <c r="D2670" s="27"/>
      <c r="E2670" s="27"/>
      <c r="F2670" s="27"/>
      <c r="G2670" s="27"/>
      <c r="H2670" s="27"/>
      <c r="I2670" s="27"/>
      <c r="J2670" s="27"/>
      <c r="K2670" s="27">
        <v>0</v>
      </c>
      <c r="L2670" s="27"/>
    </row>
    <row r="2671" spans="1:12" ht="15" customHeight="1" x14ac:dyDescent="0.25">
      <c r="A2671" s="27" t="s">
        <v>47</v>
      </c>
      <c r="B2671" s="27"/>
      <c r="C2671" s="27"/>
      <c r="D2671" s="27"/>
      <c r="E2671" s="27"/>
      <c r="F2671" s="27"/>
      <c r="G2671" s="27"/>
      <c r="H2671" s="27"/>
      <c r="I2671" s="27"/>
      <c r="J2671" s="27"/>
      <c r="K2671" s="27">
        <v>1</v>
      </c>
      <c r="L2671" s="27"/>
    </row>
    <row r="2672" spans="1:12" ht="15" customHeight="1" x14ac:dyDescent="0.25">
      <c r="A2672" s="27" t="s">
        <v>48</v>
      </c>
      <c r="B2672" s="27"/>
      <c r="C2672" s="27"/>
      <c r="D2672" s="27"/>
      <c r="E2672" s="27"/>
      <c r="F2672" s="27"/>
      <c r="G2672" s="27"/>
      <c r="H2672" s="27"/>
      <c r="I2672" s="27"/>
      <c r="J2672" s="27"/>
      <c r="K2672" s="27">
        <v>0</v>
      </c>
      <c r="L2672" s="27"/>
    </row>
    <row r="2673" spans="1:12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</row>
    <row r="2674" spans="1:12" ht="15" customHeight="1" x14ac:dyDescent="0.25">
      <c r="A2674" s="10" t="s">
        <v>49</v>
      </c>
      <c r="B2674" s="11"/>
      <c r="C2674" s="11"/>
      <c r="D2674" s="11"/>
      <c r="E2674" s="12"/>
      <c r="F2674" s="8" t="s">
        <v>21</v>
      </c>
      <c r="G2674" s="8" t="s">
        <v>22</v>
      </c>
      <c r="H2674" s="9" t="s">
        <v>44</v>
      </c>
      <c r="I2674" s="13" t="s">
        <v>34</v>
      </c>
      <c r="J2674" s="14"/>
      <c r="K2674" s="13" t="s">
        <v>50</v>
      </c>
      <c r="L2674" s="14"/>
    </row>
    <row r="2675" spans="1:12" ht="15" customHeight="1" x14ac:dyDescent="0.25">
      <c r="A2675" s="21" t="s">
        <v>349</v>
      </c>
      <c r="B2675" s="22"/>
      <c r="C2675" s="22"/>
      <c r="D2675" s="22"/>
      <c r="E2675" s="23"/>
      <c r="F2675" s="19" t="str">
        <f>"032587"</f>
        <v>032587</v>
      </c>
      <c r="G2675" s="19" t="s">
        <v>99</v>
      </c>
      <c r="H2675" s="20">
        <v>49.75</v>
      </c>
      <c r="I2675" s="24">
        <v>5</v>
      </c>
      <c r="J2675" s="25"/>
      <c r="K2675" s="24">
        <v>248.75</v>
      </c>
      <c r="L2675" s="25"/>
    </row>
    <row r="2676" spans="1:12" ht="15" customHeight="1" x14ac:dyDescent="0.25">
      <c r="A2676" s="15" t="s">
        <v>51</v>
      </c>
      <c r="B2676" s="16"/>
      <c r="C2676" s="16"/>
      <c r="D2676" s="16"/>
      <c r="E2676" s="16"/>
      <c r="F2676" s="16"/>
      <c r="G2676" s="16"/>
      <c r="H2676" s="16"/>
      <c r="I2676" s="16"/>
      <c r="J2676" s="17"/>
      <c r="K2676" s="15">
        <v>248.75</v>
      </c>
      <c r="L2676" s="17"/>
    </row>
    <row r="2677" spans="1:12" x14ac:dyDescent="0.25">
      <c r="A2677" s="18"/>
      <c r="B2677" s="18"/>
      <c r="C2677" s="18"/>
      <c r="D2677" s="18"/>
      <c r="E2677" s="18"/>
      <c r="F2677" s="18"/>
      <c r="G2677" s="18"/>
      <c r="H2677" s="18"/>
      <c r="I2677" s="18"/>
      <c r="J2677" s="18"/>
      <c r="K2677" s="18"/>
      <c r="L2677" s="18"/>
    </row>
    <row r="2678" spans="1:12" ht="15" customHeight="1" x14ac:dyDescent="0.25">
      <c r="A2678" s="10" t="s">
        <v>52</v>
      </c>
      <c r="B2678" s="11"/>
      <c r="C2678" s="11"/>
      <c r="D2678" s="11"/>
      <c r="E2678" s="12"/>
      <c r="F2678" s="8" t="s">
        <v>21</v>
      </c>
      <c r="G2678" s="8" t="s">
        <v>22</v>
      </c>
      <c r="H2678" s="9" t="s">
        <v>44</v>
      </c>
      <c r="I2678" s="13" t="s">
        <v>34</v>
      </c>
      <c r="J2678" s="14"/>
      <c r="K2678" s="13" t="s">
        <v>50</v>
      </c>
      <c r="L2678" s="14"/>
    </row>
    <row r="2679" spans="1:12" ht="15" customHeight="1" x14ac:dyDescent="0.25">
      <c r="A2679" s="21" t="s">
        <v>367</v>
      </c>
      <c r="B2679" s="22"/>
      <c r="C2679" s="22"/>
      <c r="D2679" s="22"/>
      <c r="E2679" s="23"/>
      <c r="F2679" s="19" t="s">
        <v>368</v>
      </c>
      <c r="G2679" s="19" t="s">
        <v>13</v>
      </c>
      <c r="H2679" s="20">
        <v>0.84</v>
      </c>
      <c r="I2679" s="24">
        <v>482.12</v>
      </c>
      <c r="J2679" s="25"/>
      <c r="K2679" s="24">
        <v>404.98</v>
      </c>
      <c r="L2679" s="25"/>
    </row>
    <row r="2680" spans="1:12" ht="15" customHeight="1" x14ac:dyDescent="0.25">
      <c r="A2680" s="15" t="s">
        <v>53</v>
      </c>
      <c r="B2680" s="16"/>
      <c r="C2680" s="16"/>
      <c r="D2680" s="16"/>
      <c r="E2680" s="16"/>
      <c r="F2680" s="16"/>
      <c r="G2680" s="16"/>
      <c r="H2680" s="16"/>
      <c r="I2680" s="16"/>
      <c r="J2680" s="17"/>
      <c r="K2680" s="15">
        <v>404.98</v>
      </c>
      <c r="L2680" s="17"/>
    </row>
    <row r="2681" spans="1:12" x14ac:dyDescent="0.25">
      <c r="A2681" s="18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</row>
    <row r="2682" spans="1:12" ht="15" customHeight="1" x14ac:dyDescent="0.25">
      <c r="A2682" s="10" t="s">
        <v>54</v>
      </c>
      <c r="B2682" s="11"/>
      <c r="C2682" s="12"/>
      <c r="D2682" s="8" t="s">
        <v>21</v>
      </c>
      <c r="E2682" s="8" t="s">
        <v>22</v>
      </c>
      <c r="F2682" s="9" t="s">
        <v>55</v>
      </c>
      <c r="G2682" s="8" t="s">
        <v>56</v>
      </c>
      <c r="H2682" s="8" t="s">
        <v>57</v>
      </c>
      <c r="I2682" s="8" t="s">
        <v>58</v>
      </c>
      <c r="J2682" s="9" t="s">
        <v>59</v>
      </c>
      <c r="K2682" s="9" t="s">
        <v>34</v>
      </c>
      <c r="L2682" s="9" t="s">
        <v>50</v>
      </c>
    </row>
    <row r="2683" spans="1:12" ht="15" customHeight="1" x14ac:dyDescent="0.25">
      <c r="A2683" s="15" t="s">
        <v>60</v>
      </c>
      <c r="B2683" s="16"/>
      <c r="C2683" s="16"/>
      <c r="D2683" s="16"/>
      <c r="E2683" s="16"/>
      <c r="F2683" s="16"/>
      <c r="G2683" s="16"/>
      <c r="H2683" s="16"/>
      <c r="I2683" s="16"/>
      <c r="J2683" s="17"/>
      <c r="K2683" s="15">
        <v>0</v>
      </c>
      <c r="L2683" s="17"/>
    </row>
    <row r="2684" spans="1:12" x14ac:dyDescent="0.25">
      <c r="A2684" s="18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</row>
    <row r="2685" spans="1:12" ht="15" customHeight="1" x14ac:dyDescent="0.25">
      <c r="A2685" s="27" t="s">
        <v>61</v>
      </c>
      <c r="B2685" s="27"/>
      <c r="C2685" s="27"/>
      <c r="D2685" s="27"/>
      <c r="E2685" s="27"/>
      <c r="F2685" s="27"/>
      <c r="G2685" s="27"/>
      <c r="H2685" s="27"/>
      <c r="I2685" s="27"/>
      <c r="J2685" s="27"/>
      <c r="K2685" s="27">
        <v>653.73</v>
      </c>
      <c r="L2685" s="27"/>
    </row>
    <row r="2686" spans="1:12" ht="15" customHeight="1" x14ac:dyDescent="0.25">
      <c r="A2686" s="27" t="s">
        <v>62</v>
      </c>
      <c r="B2686" s="27"/>
      <c r="C2686" s="27"/>
      <c r="D2686" s="27"/>
      <c r="E2686" s="27"/>
      <c r="F2686" s="27"/>
      <c r="G2686" s="27"/>
      <c r="H2686" s="27"/>
      <c r="I2686" s="27"/>
      <c r="J2686" s="27"/>
      <c r="K2686" s="27">
        <v>217.37</v>
      </c>
      <c r="L2686" s="27"/>
    </row>
    <row r="2687" spans="1:12" ht="15" customHeight="1" x14ac:dyDescent="0.25">
      <c r="A2687" s="27" t="s">
        <v>63</v>
      </c>
      <c r="B2687" s="27"/>
      <c r="C2687" s="27"/>
      <c r="D2687" s="27"/>
      <c r="E2687" s="27"/>
      <c r="F2687" s="27"/>
      <c r="G2687" s="27"/>
      <c r="H2687" s="27"/>
      <c r="I2687" s="27"/>
      <c r="J2687" s="27"/>
      <c r="K2687" s="27">
        <v>871.1</v>
      </c>
      <c r="L2687" s="27"/>
    </row>
    <row r="2688" spans="1:12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</row>
    <row r="2689" spans="1:12" ht="15" customHeight="1" x14ac:dyDescent="0.25">
      <c r="A2689" s="3" t="s">
        <v>8</v>
      </c>
      <c r="B2689" s="6" t="s">
        <v>9</v>
      </c>
      <c r="C2689" s="6"/>
      <c r="D2689" s="6"/>
      <c r="E2689" s="6"/>
      <c r="F2689" s="6"/>
      <c r="G2689" s="6"/>
      <c r="H2689" s="6"/>
      <c r="I2689" s="6"/>
      <c r="J2689" s="6"/>
      <c r="K2689" s="6"/>
      <c r="L2689" s="6"/>
    </row>
    <row r="2690" spans="1:12" ht="15" customHeight="1" x14ac:dyDescent="0.25">
      <c r="A2690" s="3" t="s">
        <v>10</v>
      </c>
      <c r="B2690" s="6" t="s">
        <v>373</v>
      </c>
      <c r="C2690" s="6"/>
      <c r="D2690" s="6"/>
      <c r="E2690" s="6"/>
      <c r="F2690" s="6"/>
      <c r="G2690" s="6"/>
      <c r="H2690" s="6"/>
      <c r="I2690" s="6"/>
      <c r="J2690" s="6"/>
      <c r="K2690" s="3" t="s">
        <v>12</v>
      </c>
      <c r="L2690" s="4" t="s">
        <v>84</v>
      </c>
    </row>
    <row r="2691" spans="1:12" ht="15" customHeight="1" x14ac:dyDescent="0.25">
      <c r="A2691" s="3" t="s">
        <v>14</v>
      </c>
      <c r="B2691" s="6" t="s">
        <v>88</v>
      </c>
      <c r="C2691" s="6"/>
      <c r="D2691" s="7" t="s">
        <v>16</v>
      </c>
      <c r="E2691" s="7"/>
      <c r="F2691" s="6" t="str">
        <f>"37DC.000122"</f>
        <v>37DC.000122</v>
      </c>
      <c r="G2691" s="6"/>
      <c r="H2691" s="3" t="s">
        <v>17</v>
      </c>
      <c r="I2691" s="6" t="s">
        <v>89</v>
      </c>
      <c r="J2691" s="6"/>
      <c r="K2691" s="3" t="s">
        <v>19</v>
      </c>
      <c r="L2691" s="5">
        <v>1</v>
      </c>
    </row>
    <row r="2692" spans="1:12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</row>
    <row r="2693" spans="1:12" ht="15" customHeight="1" x14ac:dyDescent="0.25">
      <c r="A2693" s="10" t="s">
        <v>20</v>
      </c>
      <c r="B2693" s="11"/>
      <c r="C2693" s="12"/>
      <c r="D2693" s="8" t="s">
        <v>21</v>
      </c>
      <c r="E2693" s="8" t="s">
        <v>22</v>
      </c>
      <c r="F2693" s="9" t="s">
        <v>23</v>
      </c>
      <c r="G2693" s="9" t="s">
        <v>24</v>
      </c>
      <c r="H2693" s="9" t="s">
        <v>25</v>
      </c>
      <c r="I2693" s="9" t="s">
        <v>26</v>
      </c>
      <c r="J2693" s="9" t="s">
        <v>27</v>
      </c>
      <c r="K2693" s="13" t="s">
        <v>28</v>
      </c>
      <c r="L2693" s="14"/>
    </row>
    <row r="2694" spans="1:12" ht="15" customHeight="1" x14ac:dyDescent="0.25">
      <c r="A2694" s="15" t="s">
        <v>29</v>
      </c>
      <c r="B2694" s="16"/>
      <c r="C2694" s="16"/>
      <c r="D2694" s="16"/>
      <c r="E2694" s="16"/>
      <c r="F2694" s="16"/>
      <c r="G2694" s="16"/>
      <c r="H2694" s="16"/>
      <c r="I2694" s="16"/>
      <c r="J2694" s="17"/>
      <c r="K2694" s="15">
        <v>0</v>
      </c>
      <c r="L2694" s="17"/>
    </row>
    <row r="2695" spans="1:12" x14ac:dyDescent="0.25">
      <c r="A2695" s="18"/>
      <c r="B2695" s="18"/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</row>
    <row r="2696" spans="1:12" ht="15" customHeight="1" x14ac:dyDescent="0.25">
      <c r="A2696" s="10" t="s">
        <v>30</v>
      </c>
      <c r="B2696" s="11"/>
      <c r="C2696" s="12"/>
      <c r="D2696" s="8" t="s">
        <v>21</v>
      </c>
      <c r="E2696" s="8" t="s">
        <v>22</v>
      </c>
      <c r="F2696" s="9" t="s">
        <v>31</v>
      </c>
      <c r="G2696" s="9" t="s">
        <v>32</v>
      </c>
      <c r="H2696" s="9" t="s">
        <v>33</v>
      </c>
      <c r="I2696" s="13" t="s">
        <v>34</v>
      </c>
      <c r="J2696" s="14"/>
      <c r="K2696" s="13" t="s">
        <v>28</v>
      </c>
      <c r="L2696" s="14"/>
    </row>
    <row r="2697" spans="1:12" ht="15" customHeight="1" x14ac:dyDescent="0.25">
      <c r="A2697" s="15" t="s">
        <v>38</v>
      </c>
      <c r="B2697" s="16"/>
      <c r="C2697" s="16"/>
      <c r="D2697" s="16"/>
      <c r="E2697" s="16"/>
      <c r="F2697" s="16"/>
      <c r="G2697" s="16"/>
      <c r="H2697" s="16"/>
      <c r="I2697" s="16"/>
      <c r="J2697" s="17"/>
      <c r="K2697" s="15">
        <v>0</v>
      </c>
      <c r="L2697" s="17"/>
    </row>
    <row r="2698" spans="1:12" x14ac:dyDescent="0.25">
      <c r="A2698" s="18"/>
      <c r="B2698" s="18"/>
      <c r="C2698" s="18"/>
      <c r="D2698" s="18"/>
      <c r="E2698" s="18"/>
      <c r="F2698" s="18"/>
      <c r="G2698" s="18"/>
      <c r="H2698" s="18"/>
      <c r="I2698" s="18"/>
      <c r="J2698" s="18"/>
      <c r="K2698" s="18"/>
      <c r="L2698" s="18"/>
    </row>
    <row r="2699" spans="1:12" ht="15" customHeight="1" x14ac:dyDescent="0.25">
      <c r="A2699" s="10" t="s">
        <v>39</v>
      </c>
      <c r="B2699" s="11"/>
      <c r="C2699" s="12"/>
      <c r="D2699" s="8" t="s">
        <v>21</v>
      </c>
      <c r="E2699" s="13" t="s">
        <v>40</v>
      </c>
      <c r="F2699" s="14"/>
      <c r="G2699" s="8" t="s">
        <v>41</v>
      </c>
      <c r="H2699" s="8" t="s">
        <v>42</v>
      </c>
      <c r="I2699" s="8" t="s">
        <v>43</v>
      </c>
      <c r="J2699" s="13" t="s">
        <v>44</v>
      </c>
      <c r="K2699" s="26"/>
      <c r="L2699" s="14"/>
    </row>
    <row r="2700" spans="1:12" ht="15" customHeight="1" x14ac:dyDescent="0.25">
      <c r="A2700" s="15" t="s">
        <v>45</v>
      </c>
      <c r="B2700" s="16"/>
      <c r="C2700" s="16"/>
      <c r="D2700" s="16"/>
      <c r="E2700" s="16"/>
      <c r="F2700" s="16"/>
      <c r="G2700" s="16"/>
      <c r="H2700" s="16"/>
      <c r="I2700" s="16"/>
      <c r="J2700" s="17"/>
      <c r="K2700" s="15">
        <v>0</v>
      </c>
      <c r="L2700" s="17"/>
    </row>
    <row r="2701" spans="1:12" x14ac:dyDescent="0.25">
      <c r="A2701" s="18"/>
      <c r="B2701" s="18"/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</row>
    <row r="2702" spans="1:12" ht="15" customHeight="1" x14ac:dyDescent="0.25">
      <c r="A2702" s="27" t="s">
        <v>46</v>
      </c>
      <c r="B2702" s="27"/>
      <c r="C2702" s="27"/>
      <c r="D2702" s="27"/>
      <c r="E2702" s="27"/>
      <c r="F2702" s="27"/>
      <c r="G2702" s="27"/>
      <c r="H2702" s="27"/>
      <c r="I2702" s="27"/>
      <c r="J2702" s="27"/>
      <c r="K2702" s="27">
        <v>0</v>
      </c>
      <c r="L2702" s="27"/>
    </row>
    <row r="2703" spans="1:12" ht="15" customHeight="1" x14ac:dyDescent="0.25">
      <c r="A2703" s="27" t="s">
        <v>47</v>
      </c>
      <c r="B2703" s="27"/>
      <c r="C2703" s="27"/>
      <c r="D2703" s="27"/>
      <c r="E2703" s="27"/>
      <c r="F2703" s="27"/>
      <c r="G2703" s="27"/>
      <c r="H2703" s="27"/>
      <c r="I2703" s="27"/>
      <c r="J2703" s="27"/>
      <c r="K2703" s="27">
        <v>1</v>
      </c>
      <c r="L2703" s="27"/>
    </row>
    <row r="2704" spans="1:12" ht="15" customHeight="1" x14ac:dyDescent="0.25">
      <c r="A2704" s="27" t="s">
        <v>48</v>
      </c>
      <c r="B2704" s="27"/>
      <c r="C2704" s="27"/>
      <c r="D2704" s="27"/>
      <c r="E2704" s="27"/>
      <c r="F2704" s="27"/>
      <c r="G2704" s="27"/>
      <c r="H2704" s="27"/>
      <c r="I2704" s="27"/>
      <c r="J2704" s="27"/>
      <c r="K2704" s="27">
        <v>0</v>
      </c>
      <c r="L2704" s="27"/>
    </row>
    <row r="2705" spans="1:12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</row>
    <row r="2706" spans="1:12" ht="15" customHeight="1" x14ac:dyDescent="0.25">
      <c r="A2706" s="10" t="s">
        <v>49</v>
      </c>
      <c r="B2706" s="11"/>
      <c r="C2706" s="11"/>
      <c r="D2706" s="11"/>
      <c r="E2706" s="12"/>
      <c r="F2706" s="8" t="s">
        <v>21</v>
      </c>
      <c r="G2706" s="8" t="s">
        <v>22</v>
      </c>
      <c r="H2706" s="9" t="s">
        <v>44</v>
      </c>
      <c r="I2706" s="13" t="s">
        <v>34</v>
      </c>
      <c r="J2706" s="14"/>
      <c r="K2706" s="13" t="s">
        <v>50</v>
      </c>
      <c r="L2706" s="14"/>
    </row>
    <row r="2707" spans="1:12" ht="30" customHeight="1" x14ac:dyDescent="0.25">
      <c r="A2707" s="21" t="s">
        <v>374</v>
      </c>
      <c r="B2707" s="22"/>
      <c r="C2707" s="22"/>
      <c r="D2707" s="22"/>
      <c r="E2707" s="23"/>
      <c r="F2707" s="19" t="str">
        <f>"066379"</f>
        <v>066379</v>
      </c>
      <c r="G2707" s="19" t="s">
        <v>81</v>
      </c>
      <c r="H2707" s="20">
        <v>501.09</v>
      </c>
      <c r="I2707" s="24">
        <v>1</v>
      </c>
      <c r="J2707" s="25"/>
      <c r="K2707" s="24">
        <v>501.09</v>
      </c>
      <c r="L2707" s="25"/>
    </row>
    <row r="2708" spans="1:12" ht="15" customHeight="1" x14ac:dyDescent="0.25">
      <c r="A2708" s="15" t="s">
        <v>51</v>
      </c>
      <c r="B2708" s="16"/>
      <c r="C2708" s="16"/>
      <c r="D2708" s="16"/>
      <c r="E2708" s="16"/>
      <c r="F2708" s="16"/>
      <c r="G2708" s="16"/>
      <c r="H2708" s="16"/>
      <c r="I2708" s="16"/>
      <c r="J2708" s="17"/>
      <c r="K2708" s="15">
        <v>501.09</v>
      </c>
      <c r="L2708" s="17"/>
    </row>
    <row r="2709" spans="1:12" x14ac:dyDescent="0.25">
      <c r="A2709" s="18"/>
      <c r="B2709" s="18"/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</row>
    <row r="2710" spans="1:12" ht="15" customHeight="1" x14ac:dyDescent="0.25">
      <c r="A2710" s="10" t="s">
        <v>52</v>
      </c>
      <c r="B2710" s="11"/>
      <c r="C2710" s="11"/>
      <c r="D2710" s="11"/>
      <c r="E2710" s="12"/>
      <c r="F2710" s="8" t="s">
        <v>21</v>
      </c>
      <c r="G2710" s="8" t="s">
        <v>22</v>
      </c>
      <c r="H2710" s="9" t="s">
        <v>44</v>
      </c>
      <c r="I2710" s="13" t="s">
        <v>34</v>
      </c>
      <c r="J2710" s="14"/>
      <c r="K2710" s="13" t="s">
        <v>50</v>
      </c>
      <c r="L2710" s="14"/>
    </row>
    <row r="2711" spans="1:12" ht="30" customHeight="1" x14ac:dyDescent="0.25">
      <c r="A2711" s="21" t="s">
        <v>375</v>
      </c>
      <c r="B2711" s="22"/>
      <c r="C2711" s="22"/>
      <c r="D2711" s="22"/>
      <c r="E2711" s="23"/>
      <c r="F2711" s="19" t="s">
        <v>376</v>
      </c>
      <c r="G2711" s="19" t="s">
        <v>84</v>
      </c>
      <c r="H2711" s="20">
        <v>1</v>
      </c>
      <c r="I2711" s="24" t="s">
        <v>164</v>
      </c>
      <c r="J2711" s="25"/>
      <c r="K2711" s="24" t="s">
        <v>164</v>
      </c>
      <c r="L2711" s="25"/>
    </row>
    <row r="2712" spans="1:12" ht="15" customHeight="1" x14ac:dyDescent="0.25">
      <c r="A2712" s="15" t="s">
        <v>53</v>
      </c>
      <c r="B2712" s="16"/>
      <c r="C2712" s="16"/>
      <c r="D2712" s="16"/>
      <c r="E2712" s="16"/>
      <c r="F2712" s="16"/>
      <c r="G2712" s="16"/>
      <c r="H2712" s="16"/>
      <c r="I2712" s="16"/>
      <c r="J2712" s="17"/>
      <c r="K2712" s="15">
        <v>31.23</v>
      </c>
      <c r="L2712" s="17"/>
    </row>
    <row r="2713" spans="1:12" x14ac:dyDescent="0.25">
      <c r="A2713" s="18"/>
      <c r="B2713" s="18"/>
      <c r="C2713" s="18"/>
      <c r="D2713" s="18"/>
      <c r="E2713" s="18"/>
      <c r="F2713" s="18"/>
      <c r="G2713" s="18"/>
      <c r="H2713" s="18"/>
      <c r="I2713" s="18"/>
      <c r="J2713" s="18"/>
      <c r="K2713" s="18"/>
      <c r="L2713" s="18"/>
    </row>
    <row r="2714" spans="1:12" ht="15" customHeight="1" x14ac:dyDescent="0.25">
      <c r="A2714" s="10" t="s">
        <v>54</v>
      </c>
      <c r="B2714" s="11"/>
      <c r="C2714" s="12"/>
      <c r="D2714" s="8" t="s">
        <v>21</v>
      </c>
      <c r="E2714" s="8" t="s">
        <v>22</v>
      </c>
      <c r="F2714" s="9" t="s">
        <v>55</v>
      </c>
      <c r="G2714" s="8" t="s">
        <v>56</v>
      </c>
      <c r="H2714" s="8" t="s">
        <v>57</v>
      </c>
      <c r="I2714" s="8" t="s">
        <v>58</v>
      </c>
      <c r="J2714" s="9" t="s">
        <v>59</v>
      </c>
      <c r="K2714" s="9" t="s">
        <v>34</v>
      </c>
      <c r="L2714" s="9" t="s">
        <v>50</v>
      </c>
    </row>
    <row r="2715" spans="1:12" ht="15" customHeight="1" x14ac:dyDescent="0.25">
      <c r="A2715" s="15" t="s">
        <v>60</v>
      </c>
      <c r="B2715" s="16"/>
      <c r="C2715" s="16"/>
      <c r="D2715" s="16"/>
      <c r="E2715" s="16"/>
      <c r="F2715" s="16"/>
      <c r="G2715" s="16"/>
      <c r="H2715" s="16"/>
      <c r="I2715" s="16"/>
      <c r="J2715" s="17"/>
      <c r="K2715" s="15">
        <v>0</v>
      </c>
      <c r="L2715" s="17"/>
    </row>
    <row r="2716" spans="1:12" x14ac:dyDescent="0.25">
      <c r="A2716" s="18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</row>
    <row r="2717" spans="1:12" ht="15" customHeight="1" x14ac:dyDescent="0.25">
      <c r="A2717" s="27" t="s">
        <v>61</v>
      </c>
      <c r="B2717" s="27"/>
      <c r="C2717" s="27"/>
      <c r="D2717" s="27"/>
      <c r="E2717" s="27"/>
      <c r="F2717" s="27"/>
      <c r="G2717" s="27"/>
      <c r="H2717" s="27"/>
      <c r="I2717" s="27"/>
      <c r="J2717" s="27"/>
      <c r="K2717" s="27">
        <v>532.32000000000005</v>
      </c>
      <c r="L2717" s="27"/>
    </row>
    <row r="2718" spans="1:12" ht="15" customHeight="1" x14ac:dyDescent="0.25">
      <c r="A2718" s="27" t="s">
        <v>62</v>
      </c>
      <c r="B2718" s="27"/>
      <c r="C2718" s="27"/>
      <c r="D2718" s="27"/>
      <c r="E2718" s="27"/>
      <c r="F2718" s="27"/>
      <c r="G2718" s="27"/>
      <c r="H2718" s="27"/>
      <c r="I2718" s="27"/>
      <c r="J2718" s="27"/>
      <c r="K2718" s="27">
        <v>177</v>
      </c>
      <c r="L2718" s="27"/>
    </row>
    <row r="2719" spans="1:12" ht="15" customHeight="1" x14ac:dyDescent="0.25">
      <c r="A2719" s="27" t="s">
        <v>63</v>
      </c>
      <c r="B2719" s="27"/>
      <c r="C2719" s="27"/>
      <c r="D2719" s="27"/>
      <c r="E2719" s="27"/>
      <c r="F2719" s="27"/>
      <c r="G2719" s="27"/>
      <c r="H2719" s="27"/>
      <c r="I2719" s="27"/>
      <c r="J2719" s="27"/>
      <c r="K2719" s="27">
        <v>709.32</v>
      </c>
      <c r="L2719" s="27"/>
    </row>
    <row r="2720" spans="1:12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</row>
    <row r="2721" spans="1:12" ht="15" customHeight="1" x14ac:dyDescent="0.25">
      <c r="A2721" s="3" t="s">
        <v>8</v>
      </c>
      <c r="B2721" s="6" t="s">
        <v>9</v>
      </c>
      <c r="C2721" s="6"/>
      <c r="D2721" s="6"/>
      <c r="E2721" s="6"/>
      <c r="F2721" s="6"/>
      <c r="G2721" s="6"/>
      <c r="H2721" s="6"/>
      <c r="I2721" s="6"/>
      <c r="J2721" s="6"/>
      <c r="K2721" s="6"/>
      <c r="L2721" s="6"/>
    </row>
    <row r="2722" spans="1:12" ht="15" customHeight="1" x14ac:dyDescent="0.25">
      <c r="A2722" s="3" t="s">
        <v>10</v>
      </c>
      <c r="B2722" s="6" t="s">
        <v>377</v>
      </c>
      <c r="C2722" s="6"/>
      <c r="D2722" s="6"/>
      <c r="E2722" s="6"/>
      <c r="F2722" s="6"/>
      <c r="G2722" s="6"/>
      <c r="H2722" s="6"/>
      <c r="I2722" s="6"/>
      <c r="J2722" s="6"/>
      <c r="K2722" s="3" t="s">
        <v>12</v>
      </c>
      <c r="L2722" s="4" t="s">
        <v>84</v>
      </c>
    </row>
    <row r="2723" spans="1:12" ht="15" customHeight="1" x14ac:dyDescent="0.25">
      <c r="A2723" s="3" t="s">
        <v>14</v>
      </c>
      <c r="B2723" s="6" t="s">
        <v>88</v>
      </c>
      <c r="C2723" s="6"/>
      <c r="D2723" s="7" t="s">
        <v>16</v>
      </c>
      <c r="E2723" s="7"/>
      <c r="F2723" s="6" t="str">
        <f>"3AA8.000018"</f>
        <v>3AA8.000018</v>
      </c>
      <c r="G2723" s="6"/>
      <c r="H2723" s="3" t="s">
        <v>17</v>
      </c>
      <c r="I2723" s="6" t="s">
        <v>89</v>
      </c>
      <c r="J2723" s="6"/>
      <c r="K2723" s="3" t="s">
        <v>19</v>
      </c>
      <c r="L2723" s="5">
        <v>1</v>
      </c>
    </row>
    <row r="2724" spans="1:12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</row>
    <row r="2725" spans="1:12" ht="15" customHeight="1" x14ac:dyDescent="0.25">
      <c r="A2725" s="10" t="s">
        <v>20</v>
      </c>
      <c r="B2725" s="11"/>
      <c r="C2725" s="12"/>
      <c r="D2725" s="8" t="s">
        <v>21</v>
      </c>
      <c r="E2725" s="8" t="s">
        <v>22</v>
      </c>
      <c r="F2725" s="9" t="s">
        <v>23</v>
      </c>
      <c r="G2725" s="9" t="s">
        <v>24</v>
      </c>
      <c r="H2725" s="9" t="s">
        <v>25</v>
      </c>
      <c r="I2725" s="9" t="s">
        <v>26</v>
      </c>
      <c r="J2725" s="9" t="s">
        <v>27</v>
      </c>
      <c r="K2725" s="13" t="s">
        <v>28</v>
      </c>
      <c r="L2725" s="14"/>
    </row>
    <row r="2726" spans="1:12" ht="15" customHeight="1" x14ac:dyDescent="0.25">
      <c r="A2726" s="15" t="s">
        <v>29</v>
      </c>
      <c r="B2726" s="16"/>
      <c r="C2726" s="16"/>
      <c r="D2726" s="16"/>
      <c r="E2726" s="16"/>
      <c r="F2726" s="16"/>
      <c r="G2726" s="16"/>
      <c r="H2726" s="16"/>
      <c r="I2726" s="16"/>
      <c r="J2726" s="17"/>
      <c r="K2726" s="15">
        <v>0</v>
      </c>
      <c r="L2726" s="17"/>
    </row>
    <row r="2727" spans="1:12" x14ac:dyDescent="0.25">
      <c r="A2727" s="18"/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</row>
    <row r="2728" spans="1:12" ht="15" customHeight="1" x14ac:dyDescent="0.25">
      <c r="A2728" s="10" t="s">
        <v>30</v>
      </c>
      <c r="B2728" s="11"/>
      <c r="C2728" s="12"/>
      <c r="D2728" s="8" t="s">
        <v>21</v>
      </c>
      <c r="E2728" s="8" t="s">
        <v>22</v>
      </c>
      <c r="F2728" s="9" t="s">
        <v>31</v>
      </c>
      <c r="G2728" s="9" t="s">
        <v>32</v>
      </c>
      <c r="H2728" s="9" t="s">
        <v>33</v>
      </c>
      <c r="I2728" s="13" t="s">
        <v>34</v>
      </c>
      <c r="J2728" s="14"/>
      <c r="K2728" s="13" t="s">
        <v>28</v>
      </c>
      <c r="L2728" s="14"/>
    </row>
    <row r="2729" spans="1:12" ht="15" customHeight="1" x14ac:dyDescent="0.25">
      <c r="A2729" s="15" t="s">
        <v>38</v>
      </c>
      <c r="B2729" s="16"/>
      <c r="C2729" s="16"/>
      <c r="D2729" s="16"/>
      <c r="E2729" s="16"/>
      <c r="F2729" s="16"/>
      <c r="G2729" s="16"/>
      <c r="H2729" s="16"/>
      <c r="I2729" s="16"/>
      <c r="J2729" s="17"/>
      <c r="K2729" s="15">
        <v>0</v>
      </c>
      <c r="L2729" s="17"/>
    </row>
    <row r="2730" spans="1:12" x14ac:dyDescent="0.25">
      <c r="A2730" s="18"/>
      <c r="B2730" s="18"/>
      <c r="C2730" s="18"/>
      <c r="D2730" s="18"/>
      <c r="E2730" s="18"/>
      <c r="F2730" s="18"/>
      <c r="G2730" s="18"/>
      <c r="H2730" s="18"/>
      <c r="I2730" s="18"/>
      <c r="J2730" s="18"/>
      <c r="K2730" s="18"/>
      <c r="L2730" s="18"/>
    </row>
    <row r="2731" spans="1:12" ht="15" customHeight="1" x14ac:dyDescent="0.25">
      <c r="A2731" s="10" t="s">
        <v>39</v>
      </c>
      <c r="B2731" s="11"/>
      <c r="C2731" s="12"/>
      <c r="D2731" s="8" t="s">
        <v>21</v>
      </c>
      <c r="E2731" s="13" t="s">
        <v>40</v>
      </c>
      <c r="F2731" s="14"/>
      <c r="G2731" s="8" t="s">
        <v>41</v>
      </c>
      <c r="H2731" s="8" t="s">
        <v>42</v>
      </c>
      <c r="I2731" s="8" t="s">
        <v>43</v>
      </c>
      <c r="J2731" s="13" t="s">
        <v>44</v>
      </c>
      <c r="K2731" s="26"/>
      <c r="L2731" s="14"/>
    </row>
    <row r="2732" spans="1:12" ht="15" customHeight="1" x14ac:dyDescent="0.25">
      <c r="A2732" s="15" t="s">
        <v>45</v>
      </c>
      <c r="B2732" s="16"/>
      <c r="C2732" s="16"/>
      <c r="D2732" s="16"/>
      <c r="E2732" s="16"/>
      <c r="F2732" s="16"/>
      <c r="G2732" s="16"/>
      <c r="H2732" s="16"/>
      <c r="I2732" s="16"/>
      <c r="J2732" s="17"/>
      <c r="K2732" s="15">
        <v>0</v>
      </c>
      <c r="L2732" s="17"/>
    </row>
    <row r="2733" spans="1:12" x14ac:dyDescent="0.25">
      <c r="A2733" s="18"/>
      <c r="B2733" s="18"/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</row>
    <row r="2734" spans="1:12" ht="15" customHeight="1" x14ac:dyDescent="0.25">
      <c r="A2734" s="27" t="s">
        <v>46</v>
      </c>
      <c r="B2734" s="27"/>
      <c r="C2734" s="27"/>
      <c r="D2734" s="27"/>
      <c r="E2734" s="27"/>
      <c r="F2734" s="27"/>
      <c r="G2734" s="27"/>
      <c r="H2734" s="27"/>
      <c r="I2734" s="27"/>
      <c r="J2734" s="27"/>
      <c r="K2734" s="27">
        <v>0</v>
      </c>
      <c r="L2734" s="27"/>
    </row>
    <row r="2735" spans="1:12" ht="15" customHeight="1" x14ac:dyDescent="0.25">
      <c r="A2735" s="27" t="s">
        <v>47</v>
      </c>
      <c r="B2735" s="27"/>
      <c r="C2735" s="27"/>
      <c r="D2735" s="27"/>
      <c r="E2735" s="27"/>
      <c r="F2735" s="27"/>
      <c r="G2735" s="27"/>
      <c r="H2735" s="27"/>
      <c r="I2735" s="27"/>
      <c r="J2735" s="27"/>
      <c r="K2735" s="27">
        <v>1</v>
      </c>
      <c r="L2735" s="27"/>
    </row>
    <row r="2736" spans="1:12" ht="15" customHeight="1" x14ac:dyDescent="0.25">
      <c r="A2736" s="27" t="s">
        <v>48</v>
      </c>
      <c r="B2736" s="27"/>
      <c r="C2736" s="27"/>
      <c r="D2736" s="27"/>
      <c r="E2736" s="27"/>
      <c r="F2736" s="27"/>
      <c r="G2736" s="27"/>
      <c r="H2736" s="27"/>
      <c r="I2736" s="27"/>
      <c r="J2736" s="27"/>
      <c r="K2736" s="27">
        <v>0</v>
      </c>
      <c r="L2736" s="27"/>
    </row>
    <row r="2737" spans="1:12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</row>
    <row r="2738" spans="1:12" ht="15" customHeight="1" x14ac:dyDescent="0.25">
      <c r="A2738" s="10" t="s">
        <v>49</v>
      </c>
      <c r="B2738" s="11"/>
      <c r="C2738" s="11"/>
      <c r="D2738" s="11"/>
      <c r="E2738" s="12"/>
      <c r="F2738" s="8" t="s">
        <v>21</v>
      </c>
      <c r="G2738" s="8" t="s">
        <v>22</v>
      </c>
      <c r="H2738" s="9" t="s">
        <v>44</v>
      </c>
      <c r="I2738" s="13" t="s">
        <v>34</v>
      </c>
      <c r="J2738" s="14"/>
      <c r="K2738" s="13" t="s">
        <v>50</v>
      </c>
      <c r="L2738" s="14"/>
    </row>
    <row r="2739" spans="1:12" ht="30" customHeight="1" x14ac:dyDescent="0.25">
      <c r="A2739" s="21" t="s">
        <v>378</v>
      </c>
      <c r="B2739" s="22"/>
      <c r="C2739" s="22"/>
      <c r="D2739" s="22"/>
      <c r="E2739" s="23"/>
      <c r="F2739" s="19" t="str">
        <f>"066142"</f>
        <v>066142</v>
      </c>
      <c r="G2739" s="19" t="s">
        <v>81</v>
      </c>
      <c r="H2739" s="20">
        <v>258.23</v>
      </c>
      <c r="I2739" s="24">
        <v>1</v>
      </c>
      <c r="J2739" s="25"/>
      <c r="K2739" s="24">
        <v>258.23</v>
      </c>
      <c r="L2739" s="25"/>
    </row>
    <row r="2740" spans="1:12" ht="15" customHeight="1" x14ac:dyDescent="0.25">
      <c r="A2740" s="15" t="s">
        <v>51</v>
      </c>
      <c r="B2740" s="16"/>
      <c r="C2740" s="16"/>
      <c r="D2740" s="16"/>
      <c r="E2740" s="16"/>
      <c r="F2740" s="16"/>
      <c r="G2740" s="16"/>
      <c r="H2740" s="16"/>
      <c r="I2740" s="16"/>
      <c r="J2740" s="17"/>
      <c r="K2740" s="15">
        <v>258.23</v>
      </c>
      <c r="L2740" s="17"/>
    </row>
    <row r="2741" spans="1:12" x14ac:dyDescent="0.25">
      <c r="A2741" s="18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</row>
    <row r="2742" spans="1:12" ht="15" customHeight="1" x14ac:dyDescent="0.25">
      <c r="A2742" s="10" t="s">
        <v>52</v>
      </c>
      <c r="B2742" s="11"/>
      <c r="C2742" s="11"/>
      <c r="D2742" s="11"/>
      <c r="E2742" s="12"/>
      <c r="F2742" s="8" t="s">
        <v>21</v>
      </c>
      <c r="G2742" s="8" t="s">
        <v>22</v>
      </c>
      <c r="H2742" s="9" t="s">
        <v>44</v>
      </c>
      <c r="I2742" s="13" t="s">
        <v>34</v>
      </c>
      <c r="J2742" s="14"/>
      <c r="K2742" s="13" t="s">
        <v>50</v>
      </c>
      <c r="L2742" s="14"/>
    </row>
    <row r="2743" spans="1:12" ht="30" customHeight="1" x14ac:dyDescent="0.25">
      <c r="A2743" s="21" t="s">
        <v>379</v>
      </c>
      <c r="B2743" s="22"/>
      <c r="C2743" s="22"/>
      <c r="D2743" s="22"/>
      <c r="E2743" s="23"/>
      <c r="F2743" s="19" t="s">
        <v>380</v>
      </c>
      <c r="G2743" s="19" t="s">
        <v>84</v>
      </c>
      <c r="H2743" s="20">
        <v>1</v>
      </c>
      <c r="I2743" s="24" t="s">
        <v>164</v>
      </c>
      <c r="J2743" s="25"/>
      <c r="K2743" s="24" t="s">
        <v>164</v>
      </c>
      <c r="L2743" s="25"/>
    </row>
    <row r="2744" spans="1:12" ht="15" customHeight="1" x14ac:dyDescent="0.25">
      <c r="A2744" s="15" t="s">
        <v>53</v>
      </c>
      <c r="B2744" s="16"/>
      <c r="C2744" s="16"/>
      <c r="D2744" s="16"/>
      <c r="E2744" s="16"/>
      <c r="F2744" s="16"/>
      <c r="G2744" s="16"/>
      <c r="H2744" s="16"/>
      <c r="I2744" s="16"/>
      <c r="J2744" s="17"/>
      <c r="K2744" s="15">
        <v>31.23</v>
      </c>
      <c r="L2744" s="17"/>
    </row>
    <row r="2745" spans="1:12" x14ac:dyDescent="0.25">
      <c r="A2745" s="18"/>
      <c r="B2745" s="18"/>
      <c r="C2745" s="18"/>
      <c r="D2745" s="18"/>
      <c r="E2745" s="18"/>
      <c r="F2745" s="18"/>
      <c r="G2745" s="18"/>
      <c r="H2745" s="18"/>
      <c r="I2745" s="18"/>
      <c r="J2745" s="18"/>
      <c r="K2745" s="18"/>
      <c r="L2745" s="18"/>
    </row>
    <row r="2746" spans="1:12" ht="15" customHeight="1" x14ac:dyDescent="0.25">
      <c r="A2746" s="10" t="s">
        <v>54</v>
      </c>
      <c r="B2746" s="11"/>
      <c r="C2746" s="12"/>
      <c r="D2746" s="8" t="s">
        <v>21</v>
      </c>
      <c r="E2746" s="8" t="s">
        <v>22</v>
      </c>
      <c r="F2746" s="9" t="s">
        <v>55</v>
      </c>
      <c r="G2746" s="8" t="s">
        <v>56</v>
      </c>
      <c r="H2746" s="8" t="s">
        <v>57</v>
      </c>
      <c r="I2746" s="8" t="s">
        <v>58</v>
      </c>
      <c r="J2746" s="9" t="s">
        <v>59</v>
      </c>
      <c r="K2746" s="9" t="s">
        <v>34</v>
      </c>
      <c r="L2746" s="9" t="s">
        <v>50</v>
      </c>
    </row>
    <row r="2747" spans="1:12" ht="15" customHeight="1" x14ac:dyDescent="0.25">
      <c r="A2747" s="15" t="s">
        <v>60</v>
      </c>
      <c r="B2747" s="16"/>
      <c r="C2747" s="16"/>
      <c r="D2747" s="16"/>
      <c r="E2747" s="16"/>
      <c r="F2747" s="16"/>
      <c r="G2747" s="16"/>
      <c r="H2747" s="16"/>
      <c r="I2747" s="16"/>
      <c r="J2747" s="17"/>
      <c r="K2747" s="15">
        <v>0</v>
      </c>
      <c r="L2747" s="17"/>
    </row>
    <row r="2748" spans="1:12" x14ac:dyDescent="0.25">
      <c r="A2748" s="18"/>
      <c r="B2748" s="18"/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</row>
    <row r="2749" spans="1:12" ht="15" customHeight="1" x14ac:dyDescent="0.25">
      <c r="A2749" s="27" t="s">
        <v>61</v>
      </c>
      <c r="B2749" s="27"/>
      <c r="C2749" s="27"/>
      <c r="D2749" s="27"/>
      <c r="E2749" s="27"/>
      <c r="F2749" s="27"/>
      <c r="G2749" s="27"/>
      <c r="H2749" s="27"/>
      <c r="I2749" s="27"/>
      <c r="J2749" s="27"/>
      <c r="K2749" s="27">
        <v>289.45999999999998</v>
      </c>
      <c r="L2749" s="27"/>
    </row>
    <row r="2750" spans="1:12" ht="15" customHeight="1" x14ac:dyDescent="0.25">
      <c r="A2750" s="27" t="s">
        <v>62</v>
      </c>
      <c r="B2750" s="27"/>
      <c r="C2750" s="27"/>
      <c r="D2750" s="27"/>
      <c r="E2750" s="27"/>
      <c r="F2750" s="27"/>
      <c r="G2750" s="27"/>
      <c r="H2750" s="27"/>
      <c r="I2750" s="27"/>
      <c r="J2750" s="27"/>
      <c r="K2750" s="27">
        <v>96.25</v>
      </c>
      <c r="L2750" s="27"/>
    </row>
    <row r="2751" spans="1:12" ht="15" customHeight="1" x14ac:dyDescent="0.25">
      <c r="A2751" s="27" t="s">
        <v>63</v>
      </c>
      <c r="B2751" s="27"/>
      <c r="C2751" s="27"/>
      <c r="D2751" s="27"/>
      <c r="E2751" s="27"/>
      <c r="F2751" s="27"/>
      <c r="G2751" s="27"/>
      <c r="H2751" s="27"/>
      <c r="I2751" s="27"/>
      <c r="J2751" s="27"/>
      <c r="K2751" s="27">
        <v>385.71</v>
      </c>
      <c r="L2751" s="27"/>
    </row>
    <row r="2752" spans="1:12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</row>
    <row r="2753" spans="1:12" ht="15" customHeight="1" x14ac:dyDescent="0.25">
      <c r="A2753" s="3" t="s">
        <v>8</v>
      </c>
      <c r="B2753" s="6" t="s">
        <v>9</v>
      </c>
      <c r="C2753" s="6"/>
      <c r="D2753" s="6"/>
      <c r="E2753" s="6"/>
      <c r="F2753" s="6"/>
      <c r="G2753" s="6"/>
      <c r="H2753" s="6"/>
      <c r="I2753" s="6"/>
      <c r="J2753" s="6"/>
      <c r="K2753" s="6"/>
      <c r="L2753" s="6"/>
    </row>
    <row r="2754" spans="1:12" ht="15" customHeight="1" x14ac:dyDescent="0.25">
      <c r="A2754" s="3" t="s">
        <v>10</v>
      </c>
      <c r="B2754" s="6" t="s">
        <v>381</v>
      </c>
      <c r="C2754" s="6"/>
      <c r="D2754" s="6"/>
      <c r="E2754" s="6"/>
      <c r="F2754" s="6"/>
      <c r="G2754" s="6"/>
      <c r="H2754" s="6"/>
      <c r="I2754" s="6"/>
      <c r="J2754" s="6"/>
      <c r="K2754" s="3" t="s">
        <v>12</v>
      </c>
      <c r="L2754" s="4" t="s">
        <v>84</v>
      </c>
    </row>
    <row r="2755" spans="1:12" ht="15" customHeight="1" x14ac:dyDescent="0.25">
      <c r="A2755" s="3" t="s">
        <v>14</v>
      </c>
      <c r="B2755" s="6" t="s">
        <v>15</v>
      </c>
      <c r="C2755" s="6"/>
      <c r="D2755" s="7" t="s">
        <v>16</v>
      </c>
      <c r="E2755" s="7"/>
      <c r="F2755" s="6" t="str">
        <f>"170306"</f>
        <v>170306</v>
      </c>
      <c r="G2755" s="6"/>
      <c r="H2755" s="3" t="s">
        <v>17</v>
      </c>
      <c r="I2755" s="6" t="s">
        <v>18</v>
      </c>
      <c r="J2755" s="6"/>
      <c r="K2755" s="3" t="s">
        <v>19</v>
      </c>
      <c r="L2755" s="5">
        <v>1</v>
      </c>
    </row>
    <row r="2756" spans="1:12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</row>
    <row r="2757" spans="1:12" ht="15" customHeight="1" x14ac:dyDescent="0.25">
      <c r="A2757" s="10" t="s">
        <v>20</v>
      </c>
      <c r="B2757" s="11"/>
      <c r="C2757" s="12"/>
      <c r="D2757" s="8" t="s">
        <v>21</v>
      </c>
      <c r="E2757" s="8" t="s">
        <v>22</v>
      </c>
      <c r="F2757" s="9" t="s">
        <v>23</v>
      </c>
      <c r="G2757" s="9" t="s">
        <v>24</v>
      </c>
      <c r="H2757" s="9" t="s">
        <v>25</v>
      </c>
      <c r="I2757" s="9" t="s">
        <v>26</v>
      </c>
      <c r="J2757" s="9" t="s">
        <v>27</v>
      </c>
      <c r="K2757" s="13" t="s">
        <v>28</v>
      </c>
      <c r="L2757" s="14"/>
    </row>
    <row r="2758" spans="1:12" ht="15" customHeight="1" x14ac:dyDescent="0.25">
      <c r="A2758" s="15" t="s">
        <v>29</v>
      </c>
      <c r="B2758" s="16"/>
      <c r="C2758" s="16"/>
      <c r="D2758" s="16"/>
      <c r="E2758" s="16"/>
      <c r="F2758" s="16"/>
      <c r="G2758" s="16"/>
      <c r="H2758" s="16"/>
      <c r="I2758" s="16"/>
      <c r="J2758" s="17"/>
      <c r="K2758" s="15">
        <v>0</v>
      </c>
      <c r="L2758" s="17"/>
    </row>
    <row r="2759" spans="1:12" x14ac:dyDescent="0.25">
      <c r="A2759" s="18"/>
      <c r="B2759" s="18"/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</row>
    <row r="2760" spans="1:12" ht="15" customHeight="1" x14ac:dyDescent="0.25">
      <c r="A2760" s="10" t="s">
        <v>30</v>
      </c>
      <c r="B2760" s="11"/>
      <c r="C2760" s="12"/>
      <c r="D2760" s="8" t="s">
        <v>21</v>
      </c>
      <c r="E2760" s="8" t="s">
        <v>22</v>
      </c>
      <c r="F2760" s="9" t="s">
        <v>31</v>
      </c>
      <c r="G2760" s="9" t="s">
        <v>32</v>
      </c>
      <c r="H2760" s="9" t="s">
        <v>33</v>
      </c>
      <c r="I2760" s="13" t="s">
        <v>34</v>
      </c>
      <c r="J2760" s="14"/>
      <c r="K2760" s="13" t="s">
        <v>28</v>
      </c>
      <c r="L2760" s="14"/>
    </row>
    <row r="2761" spans="1:12" ht="15" customHeight="1" x14ac:dyDescent="0.25">
      <c r="A2761" s="21" t="s">
        <v>76</v>
      </c>
      <c r="B2761" s="22"/>
      <c r="C2761" s="23"/>
      <c r="D2761" s="19" t="str">
        <f>"010101"</f>
        <v>010101</v>
      </c>
      <c r="E2761" s="19" t="s">
        <v>36</v>
      </c>
      <c r="F2761" s="20">
        <v>8.5299999999999994</v>
      </c>
      <c r="G2761" s="20">
        <v>157.27000000000001</v>
      </c>
      <c r="H2761" s="20">
        <v>21.94</v>
      </c>
      <c r="I2761" s="24">
        <v>0.65</v>
      </c>
      <c r="J2761" s="25"/>
      <c r="K2761" s="24">
        <v>14.26</v>
      </c>
      <c r="L2761" s="25"/>
    </row>
    <row r="2762" spans="1:12" ht="15" customHeight="1" x14ac:dyDescent="0.25">
      <c r="A2762" s="21" t="s">
        <v>85</v>
      </c>
      <c r="B2762" s="22"/>
      <c r="C2762" s="23"/>
      <c r="D2762" s="19" t="str">
        <f>"010118"</f>
        <v>010118</v>
      </c>
      <c r="E2762" s="19" t="s">
        <v>36</v>
      </c>
      <c r="F2762" s="20">
        <v>10.119999999999999</v>
      </c>
      <c r="G2762" s="20">
        <v>157.27000000000001</v>
      </c>
      <c r="H2762" s="20">
        <v>26.03</v>
      </c>
      <c r="I2762" s="24">
        <v>0.65</v>
      </c>
      <c r="J2762" s="25"/>
      <c r="K2762" s="24">
        <v>16.91</v>
      </c>
      <c r="L2762" s="25"/>
    </row>
    <row r="2763" spans="1:12" ht="15" customHeight="1" x14ac:dyDescent="0.25">
      <c r="A2763" s="15" t="s">
        <v>38</v>
      </c>
      <c r="B2763" s="16"/>
      <c r="C2763" s="16"/>
      <c r="D2763" s="16"/>
      <c r="E2763" s="16"/>
      <c r="F2763" s="16"/>
      <c r="G2763" s="16"/>
      <c r="H2763" s="16"/>
      <c r="I2763" s="16"/>
      <c r="J2763" s="17"/>
      <c r="K2763" s="15">
        <v>31.17</v>
      </c>
      <c r="L2763" s="17"/>
    </row>
    <row r="2764" spans="1:12" x14ac:dyDescent="0.25">
      <c r="A2764" s="18"/>
      <c r="B2764" s="18"/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</row>
    <row r="2765" spans="1:12" ht="15" customHeight="1" x14ac:dyDescent="0.25">
      <c r="A2765" s="10" t="s">
        <v>39</v>
      </c>
      <c r="B2765" s="11"/>
      <c r="C2765" s="12"/>
      <c r="D2765" s="8" t="s">
        <v>21</v>
      </c>
      <c r="E2765" s="13" t="s">
        <v>40</v>
      </c>
      <c r="F2765" s="14"/>
      <c r="G2765" s="8" t="s">
        <v>41</v>
      </c>
      <c r="H2765" s="8" t="s">
        <v>42</v>
      </c>
      <c r="I2765" s="8" t="s">
        <v>43</v>
      </c>
      <c r="J2765" s="13" t="s">
        <v>44</v>
      </c>
      <c r="K2765" s="26"/>
      <c r="L2765" s="14"/>
    </row>
    <row r="2766" spans="1:12" ht="15" customHeight="1" x14ac:dyDescent="0.25">
      <c r="A2766" s="15" t="s">
        <v>45</v>
      </c>
      <c r="B2766" s="16"/>
      <c r="C2766" s="16"/>
      <c r="D2766" s="16"/>
      <c r="E2766" s="16"/>
      <c r="F2766" s="16"/>
      <c r="G2766" s="16"/>
      <c r="H2766" s="16"/>
      <c r="I2766" s="16"/>
      <c r="J2766" s="17"/>
      <c r="K2766" s="15">
        <v>0</v>
      </c>
      <c r="L2766" s="17"/>
    </row>
    <row r="2767" spans="1:12" x14ac:dyDescent="0.25">
      <c r="A2767" s="18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</row>
    <row r="2768" spans="1:12" ht="15" customHeight="1" x14ac:dyDescent="0.25">
      <c r="A2768" s="27" t="s">
        <v>46</v>
      </c>
      <c r="B2768" s="27"/>
      <c r="C2768" s="27"/>
      <c r="D2768" s="27"/>
      <c r="E2768" s="27"/>
      <c r="F2768" s="27"/>
      <c r="G2768" s="27"/>
      <c r="H2768" s="27"/>
      <c r="I2768" s="27"/>
      <c r="J2768" s="27"/>
      <c r="K2768" s="27">
        <v>31.17</v>
      </c>
      <c r="L2768" s="27"/>
    </row>
    <row r="2769" spans="1:12" ht="15" customHeight="1" x14ac:dyDescent="0.25">
      <c r="A2769" s="27" t="s">
        <v>47</v>
      </c>
      <c r="B2769" s="27"/>
      <c r="C2769" s="27"/>
      <c r="D2769" s="27"/>
      <c r="E2769" s="27"/>
      <c r="F2769" s="27"/>
      <c r="G2769" s="27"/>
      <c r="H2769" s="27"/>
      <c r="I2769" s="27"/>
      <c r="J2769" s="27"/>
      <c r="K2769" s="27">
        <v>1</v>
      </c>
      <c r="L2769" s="27"/>
    </row>
    <row r="2770" spans="1:12" ht="15" customHeight="1" x14ac:dyDescent="0.25">
      <c r="A2770" s="27" t="s">
        <v>48</v>
      </c>
      <c r="B2770" s="27"/>
      <c r="C2770" s="27"/>
      <c r="D2770" s="27"/>
      <c r="E2770" s="27"/>
      <c r="F2770" s="27"/>
      <c r="G2770" s="27"/>
      <c r="H2770" s="27"/>
      <c r="I2770" s="27"/>
      <c r="J2770" s="27"/>
      <c r="K2770" s="27">
        <v>31.17</v>
      </c>
      <c r="L2770" s="27"/>
    </row>
    <row r="2771" spans="1:12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</row>
    <row r="2772" spans="1:12" ht="15" customHeight="1" x14ac:dyDescent="0.25">
      <c r="A2772" s="10" t="s">
        <v>49</v>
      </c>
      <c r="B2772" s="11"/>
      <c r="C2772" s="11"/>
      <c r="D2772" s="11"/>
      <c r="E2772" s="12"/>
      <c r="F2772" s="8" t="s">
        <v>21</v>
      </c>
      <c r="G2772" s="8" t="s">
        <v>22</v>
      </c>
      <c r="H2772" s="9" t="s">
        <v>44</v>
      </c>
      <c r="I2772" s="13" t="s">
        <v>34</v>
      </c>
      <c r="J2772" s="14"/>
      <c r="K2772" s="13" t="s">
        <v>50</v>
      </c>
      <c r="L2772" s="14"/>
    </row>
    <row r="2773" spans="1:12" ht="15" customHeight="1" x14ac:dyDescent="0.25">
      <c r="A2773" s="21" t="s">
        <v>382</v>
      </c>
      <c r="B2773" s="22"/>
      <c r="C2773" s="22"/>
      <c r="D2773" s="22"/>
      <c r="E2773" s="23"/>
      <c r="F2773" s="19" t="str">
        <f>"066008"</f>
        <v>066008</v>
      </c>
      <c r="G2773" s="19" t="s">
        <v>81</v>
      </c>
      <c r="H2773" s="20">
        <v>168.77</v>
      </c>
      <c r="I2773" s="24">
        <v>1</v>
      </c>
      <c r="J2773" s="25"/>
      <c r="K2773" s="24">
        <v>168.77</v>
      </c>
      <c r="L2773" s="25"/>
    </row>
    <row r="2774" spans="1:12" ht="15" customHeight="1" x14ac:dyDescent="0.25">
      <c r="A2774" s="21" t="s">
        <v>270</v>
      </c>
      <c r="B2774" s="22"/>
      <c r="C2774" s="22"/>
      <c r="D2774" s="22"/>
      <c r="E2774" s="23"/>
      <c r="F2774" s="19" t="str">
        <f>"069512"</f>
        <v>069512</v>
      </c>
      <c r="G2774" s="19" t="s">
        <v>99</v>
      </c>
      <c r="H2774" s="20">
        <v>0.24</v>
      </c>
      <c r="I2774" s="24">
        <v>0.28000000000000003</v>
      </c>
      <c r="J2774" s="25"/>
      <c r="K2774" s="24">
        <v>0.06</v>
      </c>
      <c r="L2774" s="25"/>
    </row>
    <row r="2775" spans="1:12" ht="15" customHeight="1" x14ac:dyDescent="0.25">
      <c r="A2775" s="15" t="s">
        <v>51</v>
      </c>
      <c r="B2775" s="16"/>
      <c r="C2775" s="16"/>
      <c r="D2775" s="16"/>
      <c r="E2775" s="16"/>
      <c r="F2775" s="16"/>
      <c r="G2775" s="16"/>
      <c r="H2775" s="16"/>
      <c r="I2775" s="16"/>
      <c r="J2775" s="17"/>
      <c r="K2775" s="15">
        <v>168.83</v>
      </c>
      <c r="L2775" s="17"/>
    </row>
    <row r="2776" spans="1:12" x14ac:dyDescent="0.25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</row>
    <row r="2777" spans="1:12" ht="15" customHeight="1" x14ac:dyDescent="0.25">
      <c r="A2777" s="10" t="s">
        <v>52</v>
      </c>
      <c r="B2777" s="11"/>
      <c r="C2777" s="11"/>
      <c r="D2777" s="11"/>
      <c r="E2777" s="12"/>
      <c r="F2777" s="8" t="s">
        <v>21</v>
      </c>
      <c r="G2777" s="8" t="s">
        <v>22</v>
      </c>
      <c r="H2777" s="9" t="s">
        <v>44</v>
      </c>
      <c r="I2777" s="13" t="s">
        <v>34</v>
      </c>
      <c r="J2777" s="14"/>
      <c r="K2777" s="13" t="s">
        <v>50</v>
      </c>
      <c r="L2777" s="14"/>
    </row>
    <row r="2778" spans="1:12" ht="15" customHeight="1" x14ac:dyDescent="0.25">
      <c r="A2778" s="15" t="s">
        <v>53</v>
      </c>
      <c r="B2778" s="16"/>
      <c r="C2778" s="16"/>
      <c r="D2778" s="16"/>
      <c r="E2778" s="16"/>
      <c r="F2778" s="16"/>
      <c r="G2778" s="16"/>
      <c r="H2778" s="16"/>
      <c r="I2778" s="16"/>
      <c r="J2778" s="17"/>
      <c r="K2778" s="15">
        <v>0</v>
      </c>
      <c r="L2778" s="17"/>
    </row>
    <row r="2779" spans="1:12" x14ac:dyDescent="0.25">
      <c r="A2779" s="18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</row>
    <row r="2780" spans="1:12" ht="15" customHeight="1" x14ac:dyDescent="0.25">
      <c r="A2780" s="10" t="s">
        <v>54</v>
      </c>
      <c r="B2780" s="11"/>
      <c r="C2780" s="12"/>
      <c r="D2780" s="8" t="s">
        <v>21</v>
      </c>
      <c r="E2780" s="8" t="s">
        <v>22</v>
      </c>
      <c r="F2780" s="9" t="s">
        <v>55</v>
      </c>
      <c r="G2780" s="8" t="s">
        <v>56</v>
      </c>
      <c r="H2780" s="8" t="s">
        <v>57</v>
      </c>
      <c r="I2780" s="8" t="s">
        <v>58</v>
      </c>
      <c r="J2780" s="9" t="s">
        <v>59</v>
      </c>
      <c r="K2780" s="9" t="s">
        <v>34</v>
      </c>
      <c r="L2780" s="9" t="s">
        <v>50</v>
      </c>
    </row>
    <row r="2781" spans="1:12" ht="15" customHeight="1" x14ac:dyDescent="0.25">
      <c r="A2781" s="15" t="s">
        <v>60</v>
      </c>
      <c r="B2781" s="16"/>
      <c r="C2781" s="16"/>
      <c r="D2781" s="16"/>
      <c r="E2781" s="16"/>
      <c r="F2781" s="16"/>
      <c r="G2781" s="16"/>
      <c r="H2781" s="16"/>
      <c r="I2781" s="16"/>
      <c r="J2781" s="17"/>
      <c r="K2781" s="15">
        <v>0</v>
      </c>
      <c r="L2781" s="17"/>
    </row>
    <row r="2782" spans="1:12" x14ac:dyDescent="0.25">
      <c r="A2782" s="18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</row>
    <row r="2783" spans="1:12" ht="15" customHeight="1" x14ac:dyDescent="0.25">
      <c r="A2783" s="27" t="s">
        <v>61</v>
      </c>
      <c r="B2783" s="27"/>
      <c r="C2783" s="27"/>
      <c r="D2783" s="27"/>
      <c r="E2783" s="27"/>
      <c r="F2783" s="27"/>
      <c r="G2783" s="27"/>
      <c r="H2783" s="27"/>
      <c r="I2783" s="27"/>
      <c r="J2783" s="27"/>
      <c r="K2783" s="27">
        <v>200</v>
      </c>
      <c r="L2783" s="27"/>
    </row>
    <row r="2784" spans="1:12" ht="15" customHeight="1" x14ac:dyDescent="0.25">
      <c r="A2784" s="27" t="s">
        <v>62</v>
      </c>
      <c r="B2784" s="27"/>
      <c r="C2784" s="27"/>
      <c r="D2784" s="27"/>
      <c r="E2784" s="27"/>
      <c r="F2784" s="27"/>
      <c r="G2784" s="27"/>
      <c r="H2784" s="27"/>
      <c r="I2784" s="27"/>
      <c r="J2784" s="27"/>
      <c r="K2784" s="27">
        <v>66.5</v>
      </c>
      <c r="L2784" s="27"/>
    </row>
    <row r="2785" spans="1:12" ht="15" customHeight="1" x14ac:dyDescent="0.25">
      <c r="A2785" s="27" t="s">
        <v>63</v>
      </c>
      <c r="B2785" s="27"/>
      <c r="C2785" s="27"/>
      <c r="D2785" s="27"/>
      <c r="E2785" s="27"/>
      <c r="F2785" s="27"/>
      <c r="G2785" s="27"/>
      <c r="H2785" s="27"/>
      <c r="I2785" s="27"/>
      <c r="J2785" s="27"/>
      <c r="K2785" s="27">
        <v>266.5</v>
      </c>
      <c r="L2785" s="27"/>
    </row>
    <row r="2786" spans="1:12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</row>
    <row r="2787" spans="1:12" ht="15" customHeight="1" x14ac:dyDescent="0.25">
      <c r="A2787" s="3" t="s">
        <v>8</v>
      </c>
      <c r="B2787" s="6" t="s">
        <v>9</v>
      </c>
      <c r="C2787" s="6"/>
      <c r="D2787" s="6"/>
      <c r="E2787" s="6"/>
      <c r="F2787" s="6"/>
      <c r="G2787" s="6"/>
      <c r="H2787" s="6"/>
      <c r="I2787" s="6"/>
      <c r="J2787" s="6"/>
      <c r="K2787" s="6"/>
      <c r="L2787" s="6"/>
    </row>
    <row r="2788" spans="1:12" ht="15" customHeight="1" x14ac:dyDescent="0.25">
      <c r="A2788" s="3" t="s">
        <v>10</v>
      </c>
      <c r="B2788" s="6" t="s">
        <v>383</v>
      </c>
      <c r="C2788" s="6"/>
      <c r="D2788" s="6"/>
      <c r="E2788" s="6"/>
      <c r="F2788" s="6"/>
      <c r="G2788" s="6"/>
      <c r="H2788" s="6"/>
      <c r="I2788" s="6"/>
      <c r="J2788" s="6"/>
      <c r="K2788" s="3" t="s">
        <v>12</v>
      </c>
      <c r="L2788" s="4" t="s">
        <v>84</v>
      </c>
    </row>
    <row r="2789" spans="1:12" ht="15" customHeight="1" x14ac:dyDescent="0.25">
      <c r="A2789" s="3" t="s">
        <v>14</v>
      </c>
      <c r="B2789" s="6" t="s">
        <v>15</v>
      </c>
      <c r="C2789" s="6"/>
      <c r="D2789" s="7" t="s">
        <v>16</v>
      </c>
      <c r="E2789" s="7"/>
      <c r="F2789" s="6" t="str">
        <f>"170310"</f>
        <v>170310</v>
      </c>
      <c r="G2789" s="6"/>
      <c r="H2789" s="3" t="s">
        <v>17</v>
      </c>
      <c r="I2789" s="6" t="s">
        <v>18</v>
      </c>
      <c r="J2789" s="6"/>
      <c r="K2789" s="3" t="s">
        <v>19</v>
      </c>
      <c r="L2789" s="5">
        <v>1</v>
      </c>
    </row>
    <row r="2790" spans="1:12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</row>
    <row r="2791" spans="1:12" ht="15" customHeight="1" x14ac:dyDescent="0.25">
      <c r="A2791" s="10" t="s">
        <v>20</v>
      </c>
      <c r="B2791" s="11"/>
      <c r="C2791" s="12"/>
      <c r="D2791" s="8" t="s">
        <v>21</v>
      </c>
      <c r="E2791" s="8" t="s">
        <v>22</v>
      </c>
      <c r="F2791" s="9" t="s">
        <v>23</v>
      </c>
      <c r="G2791" s="9" t="s">
        <v>24</v>
      </c>
      <c r="H2791" s="9" t="s">
        <v>25</v>
      </c>
      <c r="I2791" s="9" t="s">
        <v>26</v>
      </c>
      <c r="J2791" s="9" t="s">
        <v>27</v>
      </c>
      <c r="K2791" s="13" t="s">
        <v>28</v>
      </c>
      <c r="L2791" s="14"/>
    </row>
    <row r="2792" spans="1:12" ht="15" customHeight="1" x14ac:dyDescent="0.25">
      <c r="A2792" s="15" t="s">
        <v>29</v>
      </c>
      <c r="B2792" s="16"/>
      <c r="C2792" s="16"/>
      <c r="D2792" s="16"/>
      <c r="E2792" s="16"/>
      <c r="F2792" s="16"/>
      <c r="G2792" s="16"/>
      <c r="H2792" s="16"/>
      <c r="I2792" s="16"/>
      <c r="J2792" s="17"/>
      <c r="K2792" s="15">
        <v>0</v>
      </c>
      <c r="L2792" s="17"/>
    </row>
    <row r="2793" spans="1:12" x14ac:dyDescent="0.25">
      <c r="A2793" s="18"/>
      <c r="B2793" s="18"/>
      <c r="C2793" s="18"/>
      <c r="D2793" s="18"/>
      <c r="E2793" s="18"/>
      <c r="F2793" s="18"/>
      <c r="G2793" s="18"/>
      <c r="H2793" s="18"/>
      <c r="I2793" s="18"/>
      <c r="J2793" s="18"/>
      <c r="K2793" s="18"/>
      <c r="L2793" s="18"/>
    </row>
    <row r="2794" spans="1:12" ht="15" customHeight="1" x14ac:dyDescent="0.25">
      <c r="A2794" s="10" t="s">
        <v>30</v>
      </c>
      <c r="B2794" s="11"/>
      <c r="C2794" s="12"/>
      <c r="D2794" s="8" t="s">
        <v>21</v>
      </c>
      <c r="E2794" s="8" t="s">
        <v>22</v>
      </c>
      <c r="F2794" s="9" t="s">
        <v>31</v>
      </c>
      <c r="G2794" s="9" t="s">
        <v>32</v>
      </c>
      <c r="H2794" s="9" t="s">
        <v>33</v>
      </c>
      <c r="I2794" s="13" t="s">
        <v>34</v>
      </c>
      <c r="J2794" s="14"/>
      <c r="K2794" s="13" t="s">
        <v>28</v>
      </c>
      <c r="L2794" s="14"/>
    </row>
    <row r="2795" spans="1:12" ht="15" customHeight="1" x14ac:dyDescent="0.25">
      <c r="A2795" s="21" t="s">
        <v>76</v>
      </c>
      <c r="B2795" s="22"/>
      <c r="C2795" s="23"/>
      <c r="D2795" s="19" t="str">
        <f>"010101"</f>
        <v>010101</v>
      </c>
      <c r="E2795" s="19" t="s">
        <v>36</v>
      </c>
      <c r="F2795" s="20">
        <v>8.5299999999999994</v>
      </c>
      <c r="G2795" s="20">
        <v>157.27000000000001</v>
      </c>
      <c r="H2795" s="20">
        <v>21.94</v>
      </c>
      <c r="I2795" s="24">
        <v>0.65</v>
      </c>
      <c r="J2795" s="25"/>
      <c r="K2795" s="24">
        <v>14.26</v>
      </c>
      <c r="L2795" s="25"/>
    </row>
    <row r="2796" spans="1:12" ht="15" customHeight="1" x14ac:dyDescent="0.25">
      <c r="A2796" s="21" t="s">
        <v>85</v>
      </c>
      <c r="B2796" s="22"/>
      <c r="C2796" s="23"/>
      <c r="D2796" s="19" t="str">
        <f>"010118"</f>
        <v>010118</v>
      </c>
      <c r="E2796" s="19" t="s">
        <v>36</v>
      </c>
      <c r="F2796" s="20">
        <v>10.119999999999999</v>
      </c>
      <c r="G2796" s="20">
        <v>157.27000000000001</v>
      </c>
      <c r="H2796" s="20">
        <v>26.03</v>
      </c>
      <c r="I2796" s="24">
        <v>0.65</v>
      </c>
      <c r="J2796" s="25"/>
      <c r="K2796" s="24">
        <v>16.91</v>
      </c>
      <c r="L2796" s="25"/>
    </row>
    <row r="2797" spans="1:12" ht="15" customHeight="1" x14ac:dyDescent="0.25">
      <c r="A2797" s="15" t="s">
        <v>38</v>
      </c>
      <c r="B2797" s="16"/>
      <c r="C2797" s="16"/>
      <c r="D2797" s="16"/>
      <c r="E2797" s="16"/>
      <c r="F2797" s="16"/>
      <c r="G2797" s="16"/>
      <c r="H2797" s="16"/>
      <c r="I2797" s="16"/>
      <c r="J2797" s="17"/>
      <c r="K2797" s="15">
        <v>31.17</v>
      </c>
      <c r="L2797" s="17"/>
    </row>
    <row r="2798" spans="1:12" x14ac:dyDescent="0.25">
      <c r="A2798" s="18"/>
      <c r="B2798" s="18"/>
      <c r="C2798" s="18"/>
      <c r="D2798" s="18"/>
      <c r="E2798" s="18"/>
      <c r="F2798" s="18"/>
      <c r="G2798" s="18"/>
      <c r="H2798" s="18"/>
      <c r="I2798" s="18"/>
      <c r="J2798" s="18"/>
      <c r="K2798" s="18"/>
      <c r="L2798" s="18"/>
    </row>
    <row r="2799" spans="1:12" ht="15" customHeight="1" x14ac:dyDescent="0.25">
      <c r="A2799" s="10" t="s">
        <v>39</v>
      </c>
      <c r="B2799" s="11"/>
      <c r="C2799" s="12"/>
      <c r="D2799" s="8" t="s">
        <v>21</v>
      </c>
      <c r="E2799" s="13" t="s">
        <v>40</v>
      </c>
      <c r="F2799" s="14"/>
      <c r="G2799" s="8" t="s">
        <v>41</v>
      </c>
      <c r="H2799" s="8" t="s">
        <v>42</v>
      </c>
      <c r="I2799" s="8" t="s">
        <v>43</v>
      </c>
      <c r="J2799" s="13" t="s">
        <v>44</v>
      </c>
      <c r="K2799" s="26"/>
      <c r="L2799" s="14"/>
    </row>
    <row r="2800" spans="1:12" ht="15" customHeight="1" x14ac:dyDescent="0.25">
      <c r="A2800" s="15" t="s">
        <v>45</v>
      </c>
      <c r="B2800" s="16"/>
      <c r="C2800" s="16"/>
      <c r="D2800" s="16"/>
      <c r="E2800" s="16"/>
      <c r="F2800" s="16"/>
      <c r="G2800" s="16"/>
      <c r="H2800" s="16"/>
      <c r="I2800" s="16"/>
      <c r="J2800" s="17"/>
      <c r="K2800" s="15">
        <v>0</v>
      </c>
      <c r="L2800" s="17"/>
    </row>
    <row r="2801" spans="1:12" x14ac:dyDescent="0.25">
      <c r="A2801" s="18"/>
      <c r="B2801" s="18"/>
      <c r="C2801" s="18"/>
      <c r="D2801" s="18"/>
      <c r="E2801" s="18"/>
      <c r="F2801" s="18"/>
      <c r="G2801" s="18"/>
      <c r="H2801" s="18"/>
      <c r="I2801" s="18"/>
      <c r="J2801" s="18"/>
      <c r="K2801" s="18"/>
      <c r="L2801" s="18"/>
    </row>
    <row r="2802" spans="1:12" ht="15" customHeight="1" x14ac:dyDescent="0.25">
      <c r="A2802" s="27" t="s">
        <v>46</v>
      </c>
      <c r="B2802" s="27"/>
      <c r="C2802" s="27"/>
      <c r="D2802" s="27"/>
      <c r="E2802" s="27"/>
      <c r="F2802" s="27"/>
      <c r="G2802" s="27"/>
      <c r="H2802" s="27"/>
      <c r="I2802" s="27"/>
      <c r="J2802" s="27"/>
      <c r="K2802" s="27">
        <v>31.17</v>
      </c>
      <c r="L2802" s="27"/>
    </row>
    <row r="2803" spans="1:12" ht="15" customHeight="1" x14ac:dyDescent="0.25">
      <c r="A2803" s="27" t="s">
        <v>47</v>
      </c>
      <c r="B2803" s="27"/>
      <c r="C2803" s="27"/>
      <c r="D2803" s="27"/>
      <c r="E2803" s="27"/>
      <c r="F2803" s="27"/>
      <c r="G2803" s="27"/>
      <c r="H2803" s="27"/>
      <c r="I2803" s="27"/>
      <c r="J2803" s="27"/>
      <c r="K2803" s="27">
        <v>1</v>
      </c>
      <c r="L2803" s="27"/>
    </row>
    <row r="2804" spans="1:12" ht="15" customHeight="1" x14ac:dyDescent="0.25">
      <c r="A2804" s="27" t="s">
        <v>48</v>
      </c>
      <c r="B2804" s="27"/>
      <c r="C2804" s="27"/>
      <c r="D2804" s="27"/>
      <c r="E2804" s="27"/>
      <c r="F2804" s="27"/>
      <c r="G2804" s="27"/>
      <c r="H2804" s="27"/>
      <c r="I2804" s="27"/>
      <c r="J2804" s="27"/>
      <c r="K2804" s="27">
        <v>31.17</v>
      </c>
      <c r="L2804" s="27"/>
    </row>
    <row r="2805" spans="1:12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</row>
    <row r="2806" spans="1:12" ht="15" customHeight="1" x14ac:dyDescent="0.25">
      <c r="A2806" s="10" t="s">
        <v>49</v>
      </c>
      <c r="B2806" s="11"/>
      <c r="C2806" s="11"/>
      <c r="D2806" s="11"/>
      <c r="E2806" s="12"/>
      <c r="F2806" s="8" t="s">
        <v>21</v>
      </c>
      <c r="G2806" s="8" t="s">
        <v>22</v>
      </c>
      <c r="H2806" s="9" t="s">
        <v>44</v>
      </c>
      <c r="I2806" s="13" t="s">
        <v>34</v>
      </c>
      <c r="J2806" s="14"/>
      <c r="K2806" s="13" t="s">
        <v>50</v>
      </c>
      <c r="L2806" s="14"/>
    </row>
    <row r="2807" spans="1:12" ht="15" customHeight="1" x14ac:dyDescent="0.25">
      <c r="A2807" s="21" t="s">
        <v>384</v>
      </c>
      <c r="B2807" s="22"/>
      <c r="C2807" s="22"/>
      <c r="D2807" s="22"/>
      <c r="E2807" s="23"/>
      <c r="F2807" s="19" t="str">
        <f>"066124"</f>
        <v>066124</v>
      </c>
      <c r="G2807" s="19" t="s">
        <v>81</v>
      </c>
      <c r="H2807" s="20">
        <v>203.48</v>
      </c>
      <c r="I2807" s="24">
        <v>1</v>
      </c>
      <c r="J2807" s="25"/>
      <c r="K2807" s="24">
        <v>203.48</v>
      </c>
      <c r="L2807" s="25"/>
    </row>
    <row r="2808" spans="1:12" ht="15" customHeight="1" x14ac:dyDescent="0.25">
      <c r="A2808" s="21" t="s">
        <v>270</v>
      </c>
      <c r="B2808" s="22"/>
      <c r="C2808" s="22"/>
      <c r="D2808" s="22"/>
      <c r="E2808" s="23"/>
      <c r="F2808" s="19" t="str">
        <f>"069512"</f>
        <v>069512</v>
      </c>
      <c r="G2808" s="19" t="s">
        <v>99</v>
      </c>
      <c r="H2808" s="20">
        <v>0.24</v>
      </c>
      <c r="I2808" s="24">
        <v>0.28000000000000003</v>
      </c>
      <c r="J2808" s="25"/>
      <c r="K2808" s="24">
        <v>0.06</v>
      </c>
      <c r="L2808" s="25"/>
    </row>
    <row r="2809" spans="1:12" ht="15" customHeight="1" x14ac:dyDescent="0.25">
      <c r="A2809" s="15" t="s">
        <v>51</v>
      </c>
      <c r="B2809" s="16"/>
      <c r="C2809" s="16"/>
      <c r="D2809" s="16"/>
      <c r="E2809" s="16"/>
      <c r="F2809" s="16"/>
      <c r="G2809" s="16"/>
      <c r="H2809" s="16"/>
      <c r="I2809" s="16"/>
      <c r="J2809" s="17"/>
      <c r="K2809" s="15">
        <v>203.54</v>
      </c>
      <c r="L2809" s="17"/>
    </row>
    <row r="2810" spans="1:12" x14ac:dyDescent="0.25">
      <c r="A2810" s="18"/>
      <c r="B2810" s="18"/>
      <c r="C2810" s="18"/>
      <c r="D2810" s="18"/>
      <c r="E2810" s="18"/>
      <c r="F2810" s="18"/>
      <c r="G2810" s="18"/>
      <c r="H2810" s="18"/>
      <c r="I2810" s="18"/>
      <c r="J2810" s="18"/>
      <c r="K2810" s="18"/>
      <c r="L2810" s="18"/>
    </row>
    <row r="2811" spans="1:12" ht="15" customHeight="1" x14ac:dyDescent="0.25">
      <c r="A2811" s="10" t="s">
        <v>52</v>
      </c>
      <c r="B2811" s="11"/>
      <c r="C2811" s="11"/>
      <c r="D2811" s="11"/>
      <c r="E2811" s="12"/>
      <c r="F2811" s="8" t="s">
        <v>21</v>
      </c>
      <c r="G2811" s="8" t="s">
        <v>22</v>
      </c>
      <c r="H2811" s="9" t="s">
        <v>44</v>
      </c>
      <c r="I2811" s="13" t="s">
        <v>34</v>
      </c>
      <c r="J2811" s="14"/>
      <c r="K2811" s="13" t="s">
        <v>50</v>
      </c>
      <c r="L2811" s="14"/>
    </row>
    <row r="2812" spans="1:12" ht="15" customHeight="1" x14ac:dyDescent="0.25">
      <c r="A2812" s="15" t="s">
        <v>53</v>
      </c>
      <c r="B2812" s="16"/>
      <c r="C2812" s="16"/>
      <c r="D2812" s="16"/>
      <c r="E2812" s="16"/>
      <c r="F2812" s="16"/>
      <c r="G2812" s="16"/>
      <c r="H2812" s="16"/>
      <c r="I2812" s="16"/>
      <c r="J2812" s="17"/>
      <c r="K2812" s="15">
        <v>0</v>
      </c>
      <c r="L2812" s="17"/>
    </row>
    <row r="2813" spans="1:12" x14ac:dyDescent="0.25">
      <c r="A2813" s="18"/>
      <c r="B2813" s="18"/>
      <c r="C2813" s="18"/>
      <c r="D2813" s="18"/>
      <c r="E2813" s="18"/>
      <c r="F2813" s="18"/>
      <c r="G2813" s="18"/>
      <c r="H2813" s="18"/>
      <c r="I2813" s="18"/>
      <c r="J2813" s="18"/>
      <c r="K2813" s="18"/>
      <c r="L2813" s="18"/>
    </row>
    <row r="2814" spans="1:12" ht="15" customHeight="1" x14ac:dyDescent="0.25">
      <c r="A2814" s="10" t="s">
        <v>54</v>
      </c>
      <c r="B2814" s="11"/>
      <c r="C2814" s="12"/>
      <c r="D2814" s="8" t="s">
        <v>21</v>
      </c>
      <c r="E2814" s="8" t="s">
        <v>22</v>
      </c>
      <c r="F2814" s="9" t="s">
        <v>55</v>
      </c>
      <c r="G2814" s="8" t="s">
        <v>56</v>
      </c>
      <c r="H2814" s="8" t="s">
        <v>57</v>
      </c>
      <c r="I2814" s="8" t="s">
        <v>58</v>
      </c>
      <c r="J2814" s="9" t="s">
        <v>59</v>
      </c>
      <c r="K2814" s="9" t="s">
        <v>34</v>
      </c>
      <c r="L2814" s="9" t="s">
        <v>50</v>
      </c>
    </row>
    <row r="2815" spans="1:12" ht="15" customHeight="1" x14ac:dyDescent="0.25">
      <c r="A2815" s="15" t="s">
        <v>60</v>
      </c>
      <c r="B2815" s="16"/>
      <c r="C2815" s="16"/>
      <c r="D2815" s="16"/>
      <c r="E2815" s="16"/>
      <c r="F2815" s="16"/>
      <c r="G2815" s="16"/>
      <c r="H2815" s="16"/>
      <c r="I2815" s="16"/>
      <c r="J2815" s="17"/>
      <c r="K2815" s="15">
        <v>0</v>
      </c>
      <c r="L2815" s="17"/>
    </row>
    <row r="2816" spans="1:12" x14ac:dyDescent="0.25">
      <c r="A2816" s="18"/>
      <c r="B2816" s="18"/>
      <c r="C2816" s="18"/>
      <c r="D2816" s="18"/>
      <c r="E2816" s="18"/>
      <c r="F2816" s="18"/>
      <c r="G2816" s="18"/>
      <c r="H2816" s="18"/>
      <c r="I2816" s="18"/>
      <c r="J2816" s="18"/>
      <c r="K2816" s="18"/>
      <c r="L2816" s="18"/>
    </row>
    <row r="2817" spans="1:12" ht="15" customHeight="1" x14ac:dyDescent="0.25">
      <c r="A2817" s="27" t="s">
        <v>61</v>
      </c>
      <c r="B2817" s="27"/>
      <c r="C2817" s="27"/>
      <c r="D2817" s="27"/>
      <c r="E2817" s="27"/>
      <c r="F2817" s="27"/>
      <c r="G2817" s="27"/>
      <c r="H2817" s="27"/>
      <c r="I2817" s="27"/>
      <c r="J2817" s="27"/>
      <c r="K2817" s="27">
        <v>234.71</v>
      </c>
      <c r="L2817" s="27"/>
    </row>
    <row r="2818" spans="1:12" ht="15" customHeight="1" x14ac:dyDescent="0.25">
      <c r="A2818" s="27" t="s">
        <v>62</v>
      </c>
      <c r="B2818" s="27"/>
      <c r="C2818" s="27"/>
      <c r="D2818" s="27"/>
      <c r="E2818" s="27"/>
      <c r="F2818" s="27"/>
      <c r="G2818" s="27"/>
      <c r="H2818" s="27"/>
      <c r="I2818" s="27"/>
      <c r="J2818" s="27"/>
      <c r="K2818" s="27">
        <v>78.040000000000006</v>
      </c>
      <c r="L2818" s="27"/>
    </row>
    <row r="2819" spans="1:12" ht="15" customHeight="1" x14ac:dyDescent="0.25">
      <c r="A2819" s="27" t="s">
        <v>63</v>
      </c>
      <c r="B2819" s="27"/>
      <c r="C2819" s="27"/>
      <c r="D2819" s="27"/>
      <c r="E2819" s="27"/>
      <c r="F2819" s="27"/>
      <c r="G2819" s="27"/>
      <c r="H2819" s="27"/>
      <c r="I2819" s="27"/>
      <c r="J2819" s="27"/>
      <c r="K2819" s="27">
        <v>312.75</v>
      </c>
      <c r="L2819" s="27"/>
    </row>
    <row r="2820" spans="1:12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</row>
    <row r="2821" spans="1:12" ht="15" customHeight="1" x14ac:dyDescent="0.25">
      <c r="A2821" s="3" t="s">
        <v>8</v>
      </c>
      <c r="B2821" s="6" t="s">
        <v>9</v>
      </c>
      <c r="C2821" s="6"/>
      <c r="D2821" s="6"/>
      <c r="E2821" s="6"/>
      <c r="F2821" s="6"/>
      <c r="G2821" s="6"/>
      <c r="H2821" s="6"/>
      <c r="I2821" s="6"/>
      <c r="J2821" s="6"/>
      <c r="K2821" s="6"/>
      <c r="L2821" s="6"/>
    </row>
    <row r="2822" spans="1:12" ht="15" customHeight="1" x14ac:dyDescent="0.25">
      <c r="A2822" s="3" t="s">
        <v>10</v>
      </c>
      <c r="B2822" s="6" t="s">
        <v>385</v>
      </c>
      <c r="C2822" s="6"/>
      <c r="D2822" s="6"/>
      <c r="E2822" s="6"/>
      <c r="F2822" s="6"/>
      <c r="G2822" s="6"/>
      <c r="H2822" s="6"/>
      <c r="I2822" s="6"/>
      <c r="J2822" s="6"/>
      <c r="K2822" s="3" t="s">
        <v>12</v>
      </c>
      <c r="L2822" s="4" t="s">
        <v>84</v>
      </c>
    </row>
    <row r="2823" spans="1:12" ht="15" customHeight="1" x14ac:dyDescent="0.25">
      <c r="A2823" s="3" t="s">
        <v>14</v>
      </c>
      <c r="B2823" s="6" t="s">
        <v>88</v>
      </c>
      <c r="C2823" s="6"/>
      <c r="D2823" s="7" t="s">
        <v>16</v>
      </c>
      <c r="E2823" s="7"/>
      <c r="F2823" s="6" t="str">
        <f>"37DC.000124"</f>
        <v>37DC.000124</v>
      </c>
      <c r="G2823" s="6"/>
      <c r="H2823" s="3" t="s">
        <v>17</v>
      </c>
      <c r="I2823" s="6" t="s">
        <v>89</v>
      </c>
      <c r="J2823" s="6"/>
      <c r="K2823" s="3" t="s">
        <v>19</v>
      </c>
      <c r="L2823" s="5">
        <v>1</v>
      </c>
    </row>
    <row r="2824" spans="1:12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</row>
    <row r="2825" spans="1:12" ht="15" customHeight="1" x14ac:dyDescent="0.25">
      <c r="A2825" s="10" t="s">
        <v>20</v>
      </c>
      <c r="B2825" s="11"/>
      <c r="C2825" s="12"/>
      <c r="D2825" s="8" t="s">
        <v>21</v>
      </c>
      <c r="E2825" s="8" t="s">
        <v>22</v>
      </c>
      <c r="F2825" s="9" t="s">
        <v>23</v>
      </c>
      <c r="G2825" s="9" t="s">
        <v>24</v>
      </c>
      <c r="H2825" s="9" t="s">
        <v>25</v>
      </c>
      <c r="I2825" s="9" t="s">
        <v>26</v>
      </c>
      <c r="J2825" s="9" t="s">
        <v>27</v>
      </c>
      <c r="K2825" s="13" t="s">
        <v>28</v>
      </c>
      <c r="L2825" s="14"/>
    </row>
    <row r="2826" spans="1:12" ht="15" customHeight="1" x14ac:dyDescent="0.25">
      <c r="A2826" s="15" t="s">
        <v>29</v>
      </c>
      <c r="B2826" s="16"/>
      <c r="C2826" s="16"/>
      <c r="D2826" s="16"/>
      <c r="E2826" s="16"/>
      <c r="F2826" s="16"/>
      <c r="G2826" s="16"/>
      <c r="H2826" s="16"/>
      <c r="I2826" s="16"/>
      <c r="J2826" s="17"/>
      <c r="K2826" s="15">
        <v>0</v>
      </c>
      <c r="L2826" s="17"/>
    </row>
    <row r="2827" spans="1:12" x14ac:dyDescent="0.25">
      <c r="A2827" s="18"/>
      <c r="B2827" s="18"/>
      <c r="C2827" s="18"/>
      <c r="D2827" s="18"/>
      <c r="E2827" s="18"/>
      <c r="F2827" s="18"/>
      <c r="G2827" s="18"/>
      <c r="H2827" s="18"/>
      <c r="I2827" s="18"/>
      <c r="J2827" s="18"/>
      <c r="K2827" s="18"/>
      <c r="L2827" s="18"/>
    </row>
    <row r="2828" spans="1:12" ht="15" customHeight="1" x14ac:dyDescent="0.25">
      <c r="A2828" s="10" t="s">
        <v>30</v>
      </c>
      <c r="B2828" s="11"/>
      <c r="C2828" s="12"/>
      <c r="D2828" s="8" t="s">
        <v>21</v>
      </c>
      <c r="E2828" s="8" t="s">
        <v>22</v>
      </c>
      <c r="F2828" s="9" t="s">
        <v>31</v>
      </c>
      <c r="G2828" s="9" t="s">
        <v>32</v>
      </c>
      <c r="H2828" s="9" t="s">
        <v>33</v>
      </c>
      <c r="I2828" s="13" t="s">
        <v>34</v>
      </c>
      <c r="J2828" s="14"/>
      <c r="K2828" s="13" t="s">
        <v>28</v>
      </c>
      <c r="L2828" s="14"/>
    </row>
    <row r="2829" spans="1:12" ht="15" customHeight="1" x14ac:dyDescent="0.25">
      <c r="A2829" s="15" t="s">
        <v>38</v>
      </c>
      <c r="B2829" s="16"/>
      <c r="C2829" s="16"/>
      <c r="D2829" s="16"/>
      <c r="E2829" s="16"/>
      <c r="F2829" s="16"/>
      <c r="G2829" s="16"/>
      <c r="H2829" s="16"/>
      <c r="I2829" s="16"/>
      <c r="J2829" s="17"/>
      <c r="K2829" s="15">
        <v>0</v>
      </c>
      <c r="L2829" s="17"/>
    </row>
    <row r="2830" spans="1:12" x14ac:dyDescent="0.25">
      <c r="A2830" s="18"/>
      <c r="B2830" s="18"/>
      <c r="C2830" s="18"/>
      <c r="D2830" s="18"/>
      <c r="E2830" s="18"/>
      <c r="F2830" s="18"/>
      <c r="G2830" s="18"/>
      <c r="H2830" s="18"/>
      <c r="I2830" s="18"/>
      <c r="J2830" s="18"/>
      <c r="K2830" s="18"/>
      <c r="L2830" s="18"/>
    </row>
    <row r="2831" spans="1:12" ht="15" customHeight="1" x14ac:dyDescent="0.25">
      <c r="A2831" s="10" t="s">
        <v>39</v>
      </c>
      <c r="B2831" s="11"/>
      <c r="C2831" s="12"/>
      <c r="D2831" s="8" t="s">
        <v>21</v>
      </c>
      <c r="E2831" s="13" t="s">
        <v>40</v>
      </c>
      <c r="F2831" s="14"/>
      <c r="G2831" s="8" t="s">
        <v>41</v>
      </c>
      <c r="H2831" s="8" t="s">
        <v>42</v>
      </c>
      <c r="I2831" s="8" t="s">
        <v>43</v>
      </c>
      <c r="J2831" s="13" t="s">
        <v>44</v>
      </c>
      <c r="K2831" s="26"/>
      <c r="L2831" s="14"/>
    </row>
    <row r="2832" spans="1:12" ht="15" customHeight="1" x14ac:dyDescent="0.25">
      <c r="A2832" s="15" t="s">
        <v>45</v>
      </c>
      <c r="B2832" s="16"/>
      <c r="C2832" s="16"/>
      <c r="D2832" s="16"/>
      <c r="E2832" s="16"/>
      <c r="F2832" s="16"/>
      <c r="G2832" s="16"/>
      <c r="H2832" s="16"/>
      <c r="I2832" s="16"/>
      <c r="J2832" s="17"/>
      <c r="K2832" s="15">
        <v>0</v>
      </c>
      <c r="L2832" s="17"/>
    </row>
    <row r="2833" spans="1:12" x14ac:dyDescent="0.25">
      <c r="A2833" s="18"/>
      <c r="B2833" s="18"/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</row>
    <row r="2834" spans="1:12" ht="15" customHeight="1" x14ac:dyDescent="0.25">
      <c r="A2834" s="27" t="s">
        <v>46</v>
      </c>
      <c r="B2834" s="27"/>
      <c r="C2834" s="27"/>
      <c r="D2834" s="27"/>
      <c r="E2834" s="27"/>
      <c r="F2834" s="27"/>
      <c r="G2834" s="27"/>
      <c r="H2834" s="27"/>
      <c r="I2834" s="27"/>
      <c r="J2834" s="27"/>
      <c r="K2834" s="27">
        <v>0</v>
      </c>
      <c r="L2834" s="27"/>
    </row>
    <row r="2835" spans="1:12" ht="15" customHeight="1" x14ac:dyDescent="0.25">
      <c r="A2835" s="27" t="s">
        <v>47</v>
      </c>
      <c r="B2835" s="27"/>
      <c r="C2835" s="27"/>
      <c r="D2835" s="27"/>
      <c r="E2835" s="27"/>
      <c r="F2835" s="27"/>
      <c r="G2835" s="27"/>
      <c r="H2835" s="27"/>
      <c r="I2835" s="27"/>
      <c r="J2835" s="27"/>
      <c r="K2835" s="27">
        <v>1</v>
      </c>
      <c r="L2835" s="27"/>
    </row>
    <row r="2836" spans="1:12" ht="15" customHeight="1" x14ac:dyDescent="0.25">
      <c r="A2836" s="27" t="s">
        <v>48</v>
      </c>
      <c r="B2836" s="27"/>
      <c r="C2836" s="27"/>
      <c r="D2836" s="27"/>
      <c r="E2836" s="27"/>
      <c r="F2836" s="27"/>
      <c r="G2836" s="27"/>
      <c r="H2836" s="27"/>
      <c r="I2836" s="27"/>
      <c r="J2836" s="27"/>
      <c r="K2836" s="27">
        <v>0</v>
      </c>
      <c r="L2836" s="27"/>
    </row>
    <row r="2837" spans="1:12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</row>
    <row r="2838" spans="1:12" ht="15" customHeight="1" x14ac:dyDescent="0.25">
      <c r="A2838" s="10" t="s">
        <v>49</v>
      </c>
      <c r="B2838" s="11"/>
      <c r="C2838" s="11"/>
      <c r="D2838" s="11"/>
      <c r="E2838" s="12"/>
      <c r="F2838" s="8" t="s">
        <v>21</v>
      </c>
      <c r="G2838" s="8" t="s">
        <v>22</v>
      </c>
      <c r="H2838" s="9" t="s">
        <v>44</v>
      </c>
      <c r="I2838" s="13" t="s">
        <v>34</v>
      </c>
      <c r="J2838" s="14"/>
      <c r="K2838" s="13" t="s">
        <v>50</v>
      </c>
      <c r="L2838" s="14"/>
    </row>
    <row r="2839" spans="1:12" ht="15" customHeight="1" x14ac:dyDescent="0.25">
      <c r="A2839" s="21" t="s">
        <v>386</v>
      </c>
      <c r="B2839" s="22"/>
      <c r="C2839" s="22"/>
      <c r="D2839" s="22"/>
      <c r="E2839" s="23"/>
      <c r="F2839" s="19" t="str">
        <f>"065880"</f>
        <v>065880</v>
      </c>
      <c r="G2839" s="19" t="s">
        <v>81</v>
      </c>
      <c r="H2839" s="20">
        <v>67.680000000000007</v>
      </c>
      <c r="I2839" s="24">
        <v>1</v>
      </c>
      <c r="J2839" s="25"/>
      <c r="K2839" s="24">
        <v>67.680000000000007</v>
      </c>
      <c r="L2839" s="25"/>
    </row>
    <row r="2840" spans="1:12" ht="15" customHeight="1" x14ac:dyDescent="0.25">
      <c r="A2840" s="15" t="s">
        <v>51</v>
      </c>
      <c r="B2840" s="16"/>
      <c r="C2840" s="16"/>
      <c r="D2840" s="16"/>
      <c r="E2840" s="16"/>
      <c r="F2840" s="16"/>
      <c r="G2840" s="16"/>
      <c r="H2840" s="16"/>
      <c r="I2840" s="16"/>
      <c r="J2840" s="17"/>
      <c r="K2840" s="15">
        <v>67.680000000000007</v>
      </c>
      <c r="L2840" s="17"/>
    </row>
    <row r="2841" spans="1:12" x14ac:dyDescent="0.25">
      <c r="A2841" s="18"/>
      <c r="B2841" s="18"/>
      <c r="C2841" s="18"/>
      <c r="D2841" s="18"/>
      <c r="E2841" s="18"/>
      <c r="F2841" s="18"/>
      <c r="G2841" s="18"/>
      <c r="H2841" s="18"/>
      <c r="I2841" s="18"/>
      <c r="J2841" s="18"/>
      <c r="K2841" s="18"/>
      <c r="L2841" s="18"/>
    </row>
    <row r="2842" spans="1:12" ht="15" customHeight="1" x14ac:dyDescent="0.25">
      <c r="A2842" s="10" t="s">
        <v>52</v>
      </c>
      <c r="B2842" s="11"/>
      <c r="C2842" s="11"/>
      <c r="D2842" s="11"/>
      <c r="E2842" s="12"/>
      <c r="F2842" s="8" t="s">
        <v>21</v>
      </c>
      <c r="G2842" s="8" t="s">
        <v>22</v>
      </c>
      <c r="H2842" s="9" t="s">
        <v>44</v>
      </c>
      <c r="I2842" s="13" t="s">
        <v>34</v>
      </c>
      <c r="J2842" s="14"/>
      <c r="K2842" s="13" t="s">
        <v>50</v>
      </c>
      <c r="L2842" s="14"/>
    </row>
    <row r="2843" spans="1:12" ht="30" customHeight="1" x14ac:dyDescent="0.25">
      <c r="A2843" s="21" t="s">
        <v>387</v>
      </c>
      <c r="B2843" s="22"/>
      <c r="C2843" s="22"/>
      <c r="D2843" s="22"/>
      <c r="E2843" s="23"/>
      <c r="F2843" s="19" t="s">
        <v>388</v>
      </c>
      <c r="G2843" s="19" t="s">
        <v>84</v>
      </c>
      <c r="H2843" s="20">
        <v>1</v>
      </c>
      <c r="I2843" s="24" t="s">
        <v>164</v>
      </c>
      <c r="J2843" s="25"/>
      <c r="K2843" s="24" t="s">
        <v>164</v>
      </c>
      <c r="L2843" s="25"/>
    </row>
    <row r="2844" spans="1:12" ht="15" customHeight="1" x14ac:dyDescent="0.25">
      <c r="A2844" s="15" t="s">
        <v>53</v>
      </c>
      <c r="B2844" s="16"/>
      <c r="C2844" s="16"/>
      <c r="D2844" s="16"/>
      <c r="E2844" s="16"/>
      <c r="F2844" s="16"/>
      <c r="G2844" s="16"/>
      <c r="H2844" s="16"/>
      <c r="I2844" s="16"/>
      <c r="J2844" s="17"/>
      <c r="K2844" s="15">
        <v>52.76</v>
      </c>
      <c r="L2844" s="17"/>
    </row>
    <row r="2845" spans="1:12" x14ac:dyDescent="0.25">
      <c r="A2845" s="18"/>
      <c r="B2845" s="18"/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</row>
    <row r="2846" spans="1:12" ht="15" customHeight="1" x14ac:dyDescent="0.25">
      <c r="A2846" s="10" t="s">
        <v>54</v>
      </c>
      <c r="B2846" s="11"/>
      <c r="C2846" s="12"/>
      <c r="D2846" s="8" t="s">
        <v>21</v>
      </c>
      <c r="E2846" s="8" t="s">
        <v>22</v>
      </c>
      <c r="F2846" s="9" t="s">
        <v>55</v>
      </c>
      <c r="G2846" s="8" t="s">
        <v>56</v>
      </c>
      <c r="H2846" s="8" t="s">
        <v>57</v>
      </c>
      <c r="I2846" s="8" t="s">
        <v>58</v>
      </c>
      <c r="J2846" s="9" t="s">
        <v>59</v>
      </c>
      <c r="K2846" s="9" t="s">
        <v>34</v>
      </c>
      <c r="L2846" s="9" t="s">
        <v>50</v>
      </c>
    </row>
    <row r="2847" spans="1:12" ht="15" customHeight="1" x14ac:dyDescent="0.25">
      <c r="A2847" s="15" t="s">
        <v>60</v>
      </c>
      <c r="B2847" s="16"/>
      <c r="C2847" s="16"/>
      <c r="D2847" s="16"/>
      <c r="E2847" s="16"/>
      <c r="F2847" s="16"/>
      <c r="G2847" s="16"/>
      <c r="H2847" s="16"/>
      <c r="I2847" s="16"/>
      <c r="J2847" s="17"/>
      <c r="K2847" s="15">
        <v>0</v>
      </c>
      <c r="L2847" s="17"/>
    </row>
    <row r="2848" spans="1:12" x14ac:dyDescent="0.25">
      <c r="A2848" s="18"/>
      <c r="B2848" s="18"/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</row>
    <row r="2849" spans="1:12" ht="15" customHeight="1" x14ac:dyDescent="0.25">
      <c r="A2849" s="27" t="s">
        <v>61</v>
      </c>
      <c r="B2849" s="27"/>
      <c r="C2849" s="27"/>
      <c r="D2849" s="27"/>
      <c r="E2849" s="27"/>
      <c r="F2849" s="27"/>
      <c r="G2849" s="27"/>
      <c r="H2849" s="27"/>
      <c r="I2849" s="27"/>
      <c r="J2849" s="27"/>
      <c r="K2849" s="27">
        <v>120.44</v>
      </c>
      <c r="L2849" s="27"/>
    </row>
    <row r="2850" spans="1:12" ht="15" customHeight="1" x14ac:dyDescent="0.25">
      <c r="A2850" s="27" t="s">
        <v>62</v>
      </c>
      <c r="B2850" s="27"/>
      <c r="C2850" s="27"/>
      <c r="D2850" s="27"/>
      <c r="E2850" s="27"/>
      <c r="F2850" s="27"/>
      <c r="G2850" s="27"/>
      <c r="H2850" s="27"/>
      <c r="I2850" s="27"/>
      <c r="J2850" s="27"/>
      <c r="K2850" s="27">
        <v>40.049999999999997</v>
      </c>
      <c r="L2850" s="27"/>
    </row>
    <row r="2851" spans="1:12" ht="15" customHeight="1" x14ac:dyDescent="0.25">
      <c r="A2851" s="27" t="s">
        <v>63</v>
      </c>
      <c r="B2851" s="27"/>
      <c r="C2851" s="27"/>
      <c r="D2851" s="27"/>
      <c r="E2851" s="27"/>
      <c r="F2851" s="27"/>
      <c r="G2851" s="27"/>
      <c r="H2851" s="27"/>
      <c r="I2851" s="27"/>
      <c r="J2851" s="27"/>
      <c r="K2851" s="27">
        <v>160.49</v>
      </c>
      <c r="L2851" s="27"/>
    </row>
    <row r="2852" spans="1:12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</row>
    <row r="2853" spans="1:12" ht="15" customHeight="1" x14ac:dyDescent="0.25">
      <c r="A2853" s="3" t="s">
        <v>8</v>
      </c>
      <c r="B2853" s="6" t="s">
        <v>9</v>
      </c>
      <c r="C2853" s="6"/>
      <c r="D2853" s="6"/>
      <c r="E2853" s="6"/>
      <c r="F2853" s="6"/>
      <c r="G2853" s="6"/>
      <c r="H2853" s="6"/>
      <c r="I2853" s="6"/>
      <c r="J2853" s="6"/>
      <c r="K2853" s="6"/>
      <c r="L2853" s="6"/>
    </row>
    <row r="2854" spans="1:12" ht="15" customHeight="1" x14ac:dyDescent="0.25">
      <c r="A2854" s="3" t="s">
        <v>10</v>
      </c>
      <c r="B2854" s="6" t="s">
        <v>389</v>
      </c>
      <c r="C2854" s="6"/>
      <c r="D2854" s="6"/>
      <c r="E2854" s="6"/>
      <c r="F2854" s="6"/>
      <c r="G2854" s="6"/>
      <c r="H2854" s="6"/>
      <c r="I2854" s="6"/>
      <c r="J2854" s="6"/>
      <c r="K2854" s="3" t="s">
        <v>12</v>
      </c>
      <c r="L2854" s="4" t="s">
        <v>84</v>
      </c>
    </row>
    <row r="2855" spans="1:12" ht="15" customHeight="1" x14ac:dyDescent="0.25">
      <c r="A2855" s="3" t="s">
        <v>14</v>
      </c>
      <c r="B2855" s="6" t="s">
        <v>88</v>
      </c>
      <c r="C2855" s="6"/>
      <c r="D2855" s="7" t="s">
        <v>16</v>
      </c>
      <c r="E2855" s="7"/>
      <c r="F2855" s="6" t="str">
        <f>"37DC.000125"</f>
        <v>37DC.000125</v>
      </c>
      <c r="G2855" s="6"/>
      <c r="H2855" s="3" t="s">
        <v>17</v>
      </c>
      <c r="I2855" s="6" t="s">
        <v>89</v>
      </c>
      <c r="J2855" s="6"/>
      <c r="K2855" s="3" t="s">
        <v>19</v>
      </c>
      <c r="L2855" s="5">
        <v>1</v>
      </c>
    </row>
    <row r="2856" spans="1:12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</row>
    <row r="2857" spans="1:12" ht="15" customHeight="1" x14ac:dyDescent="0.25">
      <c r="A2857" s="10" t="s">
        <v>20</v>
      </c>
      <c r="B2857" s="11"/>
      <c r="C2857" s="12"/>
      <c r="D2857" s="8" t="s">
        <v>21</v>
      </c>
      <c r="E2857" s="8" t="s">
        <v>22</v>
      </c>
      <c r="F2857" s="9" t="s">
        <v>23</v>
      </c>
      <c r="G2857" s="9" t="s">
        <v>24</v>
      </c>
      <c r="H2857" s="9" t="s">
        <v>25</v>
      </c>
      <c r="I2857" s="9" t="s">
        <v>26</v>
      </c>
      <c r="J2857" s="9" t="s">
        <v>27</v>
      </c>
      <c r="K2857" s="13" t="s">
        <v>28</v>
      </c>
      <c r="L2857" s="14"/>
    </row>
    <row r="2858" spans="1:12" ht="15" customHeight="1" x14ac:dyDescent="0.25">
      <c r="A2858" s="15" t="s">
        <v>29</v>
      </c>
      <c r="B2858" s="16"/>
      <c r="C2858" s="16"/>
      <c r="D2858" s="16"/>
      <c r="E2858" s="16"/>
      <c r="F2858" s="16"/>
      <c r="G2858" s="16"/>
      <c r="H2858" s="16"/>
      <c r="I2858" s="16"/>
      <c r="J2858" s="17"/>
      <c r="K2858" s="15">
        <v>0</v>
      </c>
      <c r="L2858" s="17"/>
    </row>
    <row r="2859" spans="1:12" x14ac:dyDescent="0.25">
      <c r="A2859" s="18"/>
      <c r="B2859" s="18"/>
      <c r="C2859" s="18"/>
      <c r="D2859" s="18"/>
      <c r="E2859" s="18"/>
      <c r="F2859" s="18"/>
      <c r="G2859" s="18"/>
      <c r="H2859" s="18"/>
      <c r="I2859" s="18"/>
      <c r="J2859" s="18"/>
      <c r="K2859" s="18"/>
      <c r="L2859" s="18"/>
    </row>
    <row r="2860" spans="1:12" ht="15" customHeight="1" x14ac:dyDescent="0.25">
      <c r="A2860" s="10" t="s">
        <v>30</v>
      </c>
      <c r="B2860" s="11"/>
      <c r="C2860" s="12"/>
      <c r="D2860" s="8" t="s">
        <v>21</v>
      </c>
      <c r="E2860" s="8" t="s">
        <v>22</v>
      </c>
      <c r="F2860" s="9" t="s">
        <v>31</v>
      </c>
      <c r="G2860" s="9" t="s">
        <v>32</v>
      </c>
      <c r="H2860" s="9" t="s">
        <v>33</v>
      </c>
      <c r="I2860" s="13" t="s">
        <v>34</v>
      </c>
      <c r="J2860" s="14"/>
      <c r="K2860" s="13" t="s">
        <v>28</v>
      </c>
      <c r="L2860" s="14"/>
    </row>
    <row r="2861" spans="1:12" ht="15" customHeight="1" x14ac:dyDescent="0.25">
      <c r="A2861" s="15" t="s">
        <v>38</v>
      </c>
      <c r="B2861" s="16"/>
      <c r="C2861" s="16"/>
      <c r="D2861" s="16"/>
      <c r="E2861" s="16"/>
      <c r="F2861" s="16"/>
      <c r="G2861" s="16"/>
      <c r="H2861" s="16"/>
      <c r="I2861" s="16"/>
      <c r="J2861" s="17"/>
      <c r="K2861" s="15">
        <v>0</v>
      </c>
      <c r="L2861" s="17"/>
    </row>
    <row r="2862" spans="1:12" x14ac:dyDescent="0.25">
      <c r="A2862" s="18"/>
      <c r="B2862" s="18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</row>
    <row r="2863" spans="1:12" ht="15" customHeight="1" x14ac:dyDescent="0.25">
      <c r="A2863" s="10" t="s">
        <v>39</v>
      </c>
      <c r="B2863" s="11"/>
      <c r="C2863" s="12"/>
      <c r="D2863" s="8" t="s">
        <v>21</v>
      </c>
      <c r="E2863" s="13" t="s">
        <v>40</v>
      </c>
      <c r="F2863" s="14"/>
      <c r="G2863" s="8" t="s">
        <v>41</v>
      </c>
      <c r="H2863" s="8" t="s">
        <v>42</v>
      </c>
      <c r="I2863" s="8" t="s">
        <v>43</v>
      </c>
      <c r="J2863" s="13" t="s">
        <v>44</v>
      </c>
      <c r="K2863" s="26"/>
      <c r="L2863" s="14"/>
    </row>
    <row r="2864" spans="1:12" ht="15" customHeight="1" x14ac:dyDescent="0.25">
      <c r="A2864" s="15" t="s">
        <v>45</v>
      </c>
      <c r="B2864" s="16"/>
      <c r="C2864" s="16"/>
      <c r="D2864" s="16"/>
      <c r="E2864" s="16"/>
      <c r="F2864" s="16"/>
      <c r="G2864" s="16"/>
      <c r="H2864" s="16"/>
      <c r="I2864" s="16"/>
      <c r="J2864" s="17"/>
      <c r="K2864" s="15">
        <v>0</v>
      </c>
      <c r="L2864" s="17"/>
    </row>
    <row r="2865" spans="1:12" x14ac:dyDescent="0.25">
      <c r="A2865" s="18"/>
      <c r="B2865" s="18"/>
      <c r="C2865" s="18"/>
      <c r="D2865" s="18"/>
      <c r="E2865" s="18"/>
      <c r="F2865" s="18"/>
      <c r="G2865" s="18"/>
      <c r="H2865" s="18"/>
      <c r="I2865" s="18"/>
      <c r="J2865" s="18"/>
      <c r="K2865" s="18"/>
      <c r="L2865" s="18"/>
    </row>
    <row r="2866" spans="1:12" ht="15" customHeight="1" x14ac:dyDescent="0.25">
      <c r="A2866" s="27" t="s">
        <v>46</v>
      </c>
      <c r="B2866" s="27"/>
      <c r="C2866" s="27"/>
      <c r="D2866" s="27"/>
      <c r="E2866" s="27"/>
      <c r="F2866" s="27"/>
      <c r="G2866" s="27"/>
      <c r="H2866" s="27"/>
      <c r="I2866" s="27"/>
      <c r="J2866" s="27"/>
      <c r="K2866" s="27">
        <v>0</v>
      </c>
      <c r="L2866" s="27"/>
    </row>
    <row r="2867" spans="1:12" ht="15" customHeight="1" x14ac:dyDescent="0.25">
      <c r="A2867" s="27" t="s">
        <v>47</v>
      </c>
      <c r="B2867" s="27"/>
      <c r="C2867" s="27"/>
      <c r="D2867" s="27"/>
      <c r="E2867" s="27"/>
      <c r="F2867" s="27"/>
      <c r="G2867" s="27"/>
      <c r="H2867" s="27"/>
      <c r="I2867" s="27"/>
      <c r="J2867" s="27"/>
      <c r="K2867" s="27">
        <v>1</v>
      </c>
      <c r="L2867" s="27"/>
    </row>
    <row r="2868" spans="1:12" ht="15" customHeight="1" x14ac:dyDescent="0.25">
      <c r="A2868" s="27" t="s">
        <v>48</v>
      </c>
      <c r="B2868" s="27"/>
      <c r="C2868" s="27"/>
      <c r="D2868" s="27"/>
      <c r="E2868" s="27"/>
      <c r="F2868" s="27"/>
      <c r="G2868" s="27"/>
      <c r="H2868" s="27"/>
      <c r="I2868" s="27"/>
      <c r="J2868" s="27"/>
      <c r="K2868" s="27">
        <v>0</v>
      </c>
      <c r="L2868" s="27"/>
    </row>
    <row r="2869" spans="1:12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</row>
    <row r="2870" spans="1:12" ht="15" customHeight="1" x14ac:dyDescent="0.25">
      <c r="A2870" s="10" t="s">
        <v>49</v>
      </c>
      <c r="B2870" s="11"/>
      <c r="C2870" s="11"/>
      <c r="D2870" s="11"/>
      <c r="E2870" s="12"/>
      <c r="F2870" s="8" t="s">
        <v>21</v>
      </c>
      <c r="G2870" s="8" t="s">
        <v>22</v>
      </c>
      <c r="H2870" s="9" t="s">
        <v>44</v>
      </c>
      <c r="I2870" s="13" t="s">
        <v>34</v>
      </c>
      <c r="J2870" s="14"/>
      <c r="K2870" s="13" t="s">
        <v>50</v>
      </c>
      <c r="L2870" s="14"/>
    </row>
    <row r="2871" spans="1:12" ht="15" customHeight="1" x14ac:dyDescent="0.25">
      <c r="A2871" s="21" t="s">
        <v>390</v>
      </c>
      <c r="B2871" s="22"/>
      <c r="C2871" s="22"/>
      <c r="D2871" s="22"/>
      <c r="E2871" s="23"/>
      <c r="F2871" s="19" t="str">
        <f>"066610"</f>
        <v>066610</v>
      </c>
      <c r="G2871" s="19" t="s">
        <v>81</v>
      </c>
      <c r="H2871" s="20">
        <v>63.27</v>
      </c>
      <c r="I2871" s="24">
        <v>1</v>
      </c>
      <c r="J2871" s="25"/>
      <c r="K2871" s="24">
        <v>63.27</v>
      </c>
      <c r="L2871" s="25"/>
    </row>
    <row r="2872" spans="1:12" ht="15" customHeight="1" x14ac:dyDescent="0.25">
      <c r="A2872" s="15" t="s">
        <v>51</v>
      </c>
      <c r="B2872" s="16"/>
      <c r="C2872" s="16"/>
      <c r="D2872" s="16"/>
      <c r="E2872" s="16"/>
      <c r="F2872" s="16"/>
      <c r="G2872" s="16"/>
      <c r="H2872" s="16"/>
      <c r="I2872" s="16"/>
      <c r="J2872" s="17"/>
      <c r="K2872" s="15">
        <v>63.27</v>
      </c>
      <c r="L2872" s="17"/>
    </row>
    <row r="2873" spans="1:12" x14ac:dyDescent="0.25">
      <c r="A2873" s="18"/>
      <c r="B2873" s="18"/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</row>
    <row r="2874" spans="1:12" ht="15" customHeight="1" x14ac:dyDescent="0.25">
      <c r="A2874" s="10" t="s">
        <v>52</v>
      </c>
      <c r="B2874" s="11"/>
      <c r="C2874" s="11"/>
      <c r="D2874" s="11"/>
      <c r="E2874" s="12"/>
      <c r="F2874" s="8" t="s">
        <v>21</v>
      </c>
      <c r="G2874" s="8" t="s">
        <v>22</v>
      </c>
      <c r="H2874" s="9" t="s">
        <v>44</v>
      </c>
      <c r="I2874" s="13" t="s">
        <v>34</v>
      </c>
      <c r="J2874" s="14"/>
      <c r="K2874" s="13" t="s">
        <v>50</v>
      </c>
      <c r="L2874" s="14"/>
    </row>
    <row r="2875" spans="1:12" ht="15" customHeight="1" x14ac:dyDescent="0.25">
      <c r="A2875" s="21" t="s">
        <v>391</v>
      </c>
      <c r="B2875" s="22"/>
      <c r="C2875" s="22"/>
      <c r="D2875" s="22"/>
      <c r="E2875" s="23"/>
      <c r="F2875" s="19" t="s">
        <v>392</v>
      </c>
      <c r="G2875" s="19" t="s">
        <v>84</v>
      </c>
      <c r="H2875" s="20">
        <v>1</v>
      </c>
      <c r="I2875" s="24" t="s">
        <v>164</v>
      </c>
      <c r="J2875" s="25"/>
      <c r="K2875" s="24" t="s">
        <v>164</v>
      </c>
      <c r="L2875" s="25"/>
    </row>
    <row r="2876" spans="1:12" ht="15" customHeight="1" x14ac:dyDescent="0.25">
      <c r="A2876" s="15" t="s">
        <v>53</v>
      </c>
      <c r="B2876" s="16"/>
      <c r="C2876" s="16"/>
      <c r="D2876" s="16"/>
      <c r="E2876" s="16"/>
      <c r="F2876" s="16"/>
      <c r="G2876" s="16"/>
      <c r="H2876" s="16"/>
      <c r="I2876" s="16"/>
      <c r="J2876" s="17"/>
      <c r="K2876" s="15">
        <v>52.76</v>
      </c>
      <c r="L2876" s="17"/>
    </row>
    <row r="2877" spans="1:12" x14ac:dyDescent="0.25">
      <c r="A2877" s="18"/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8"/>
    </row>
    <row r="2878" spans="1:12" ht="15" customHeight="1" x14ac:dyDescent="0.25">
      <c r="A2878" s="10" t="s">
        <v>54</v>
      </c>
      <c r="B2878" s="11"/>
      <c r="C2878" s="12"/>
      <c r="D2878" s="8" t="s">
        <v>21</v>
      </c>
      <c r="E2878" s="8" t="s">
        <v>22</v>
      </c>
      <c r="F2878" s="9" t="s">
        <v>55</v>
      </c>
      <c r="G2878" s="8" t="s">
        <v>56</v>
      </c>
      <c r="H2878" s="8" t="s">
        <v>57</v>
      </c>
      <c r="I2878" s="8" t="s">
        <v>58</v>
      </c>
      <c r="J2878" s="9" t="s">
        <v>59</v>
      </c>
      <c r="K2878" s="9" t="s">
        <v>34</v>
      </c>
      <c r="L2878" s="9" t="s">
        <v>50</v>
      </c>
    </row>
    <row r="2879" spans="1:12" ht="15" customHeight="1" x14ac:dyDescent="0.25">
      <c r="A2879" s="15" t="s">
        <v>60</v>
      </c>
      <c r="B2879" s="16"/>
      <c r="C2879" s="16"/>
      <c r="D2879" s="16"/>
      <c r="E2879" s="16"/>
      <c r="F2879" s="16"/>
      <c r="G2879" s="16"/>
      <c r="H2879" s="16"/>
      <c r="I2879" s="16"/>
      <c r="J2879" s="17"/>
      <c r="K2879" s="15">
        <v>0</v>
      </c>
      <c r="L2879" s="17"/>
    </row>
    <row r="2880" spans="1:12" x14ac:dyDescent="0.25">
      <c r="A2880" s="18"/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</row>
    <row r="2881" spans="1:12" ht="15" customHeight="1" x14ac:dyDescent="0.25">
      <c r="A2881" s="27" t="s">
        <v>61</v>
      </c>
      <c r="B2881" s="27"/>
      <c r="C2881" s="27"/>
      <c r="D2881" s="27"/>
      <c r="E2881" s="27"/>
      <c r="F2881" s="27"/>
      <c r="G2881" s="27"/>
      <c r="H2881" s="27"/>
      <c r="I2881" s="27"/>
      <c r="J2881" s="27"/>
      <c r="K2881" s="27">
        <v>116.03</v>
      </c>
      <c r="L2881" s="27"/>
    </row>
    <row r="2882" spans="1:12" ht="15" customHeight="1" x14ac:dyDescent="0.25">
      <c r="A2882" s="27" t="s">
        <v>62</v>
      </c>
      <c r="B2882" s="27"/>
      <c r="C2882" s="27"/>
      <c r="D2882" s="27"/>
      <c r="E2882" s="27"/>
      <c r="F2882" s="27"/>
      <c r="G2882" s="27"/>
      <c r="H2882" s="27"/>
      <c r="I2882" s="27"/>
      <c r="J2882" s="27"/>
      <c r="K2882" s="27">
        <v>38.58</v>
      </c>
      <c r="L2882" s="27"/>
    </row>
    <row r="2883" spans="1:12" ht="15" customHeight="1" x14ac:dyDescent="0.25">
      <c r="A2883" s="27" t="s">
        <v>63</v>
      </c>
      <c r="B2883" s="27"/>
      <c r="C2883" s="27"/>
      <c r="D2883" s="27"/>
      <c r="E2883" s="27"/>
      <c r="F2883" s="27"/>
      <c r="G2883" s="27"/>
      <c r="H2883" s="27"/>
      <c r="I2883" s="27"/>
      <c r="J2883" s="27"/>
      <c r="K2883" s="27">
        <v>154.61000000000001</v>
      </c>
      <c r="L2883" s="27"/>
    </row>
    <row r="2884" spans="1:12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</row>
    <row r="2885" spans="1:12" ht="15" customHeight="1" x14ac:dyDescent="0.25">
      <c r="A2885" s="3" t="s">
        <v>8</v>
      </c>
      <c r="B2885" s="6" t="s">
        <v>9</v>
      </c>
      <c r="C2885" s="6"/>
      <c r="D2885" s="6"/>
      <c r="E2885" s="6"/>
      <c r="F2885" s="6"/>
      <c r="G2885" s="6"/>
      <c r="H2885" s="6"/>
      <c r="I2885" s="6"/>
      <c r="J2885" s="6"/>
      <c r="K2885" s="6"/>
      <c r="L2885" s="6"/>
    </row>
    <row r="2886" spans="1:12" ht="15" customHeight="1" x14ac:dyDescent="0.25">
      <c r="A2886" s="3" t="s">
        <v>10</v>
      </c>
      <c r="B2886" s="6" t="s">
        <v>393</v>
      </c>
      <c r="C2886" s="6"/>
      <c r="D2886" s="6"/>
      <c r="E2886" s="6"/>
      <c r="F2886" s="6"/>
      <c r="G2886" s="6"/>
      <c r="H2886" s="6"/>
      <c r="I2886" s="6"/>
      <c r="J2886" s="6"/>
      <c r="K2886" s="3" t="s">
        <v>12</v>
      </c>
      <c r="L2886" s="4" t="s">
        <v>84</v>
      </c>
    </row>
    <row r="2887" spans="1:12" ht="15" customHeight="1" x14ac:dyDescent="0.25">
      <c r="A2887" s="3" t="s">
        <v>14</v>
      </c>
      <c r="B2887" s="6" t="s">
        <v>88</v>
      </c>
      <c r="C2887" s="6"/>
      <c r="D2887" s="7" t="s">
        <v>16</v>
      </c>
      <c r="E2887" s="7"/>
      <c r="F2887" s="6" t="str">
        <f>"2A87.000212"</f>
        <v>2A87.000212</v>
      </c>
      <c r="G2887" s="6"/>
      <c r="H2887" s="3" t="s">
        <v>17</v>
      </c>
      <c r="I2887" s="6" t="s">
        <v>89</v>
      </c>
      <c r="J2887" s="6"/>
      <c r="K2887" s="3" t="s">
        <v>19</v>
      </c>
      <c r="L2887" s="5">
        <v>1</v>
      </c>
    </row>
    <row r="2888" spans="1:12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</row>
    <row r="2889" spans="1:12" ht="15" customHeight="1" x14ac:dyDescent="0.25">
      <c r="A2889" s="10" t="s">
        <v>20</v>
      </c>
      <c r="B2889" s="11"/>
      <c r="C2889" s="12"/>
      <c r="D2889" s="8" t="s">
        <v>21</v>
      </c>
      <c r="E2889" s="8" t="s">
        <v>22</v>
      </c>
      <c r="F2889" s="9" t="s">
        <v>23</v>
      </c>
      <c r="G2889" s="9" t="s">
        <v>24</v>
      </c>
      <c r="H2889" s="9" t="s">
        <v>25</v>
      </c>
      <c r="I2889" s="9" t="s">
        <v>26</v>
      </c>
      <c r="J2889" s="9" t="s">
        <v>27</v>
      </c>
      <c r="K2889" s="13" t="s">
        <v>28</v>
      </c>
      <c r="L2889" s="14"/>
    </row>
    <row r="2890" spans="1:12" ht="15" customHeight="1" x14ac:dyDescent="0.25">
      <c r="A2890" s="15" t="s">
        <v>29</v>
      </c>
      <c r="B2890" s="16"/>
      <c r="C2890" s="16"/>
      <c r="D2890" s="16"/>
      <c r="E2890" s="16"/>
      <c r="F2890" s="16"/>
      <c r="G2890" s="16"/>
      <c r="H2890" s="16"/>
      <c r="I2890" s="16"/>
      <c r="J2890" s="17"/>
      <c r="K2890" s="15">
        <v>0</v>
      </c>
      <c r="L2890" s="17"/>
    </row>
    <row r="2891" spans="1:12" x14ac:dyDescent="0.25">
      <c r="A2891" s="18"/>
      <c r="B2891" s="18"/>
      <c r="C2891" s="18"/>
      <c r="D2891" s="18"/>
      <c r="E2891" s="18"/>
      <c r="F2891" s="18"/>
      <c r="G2891" s="18"/>
      <c r="H2891" s="18"/>
      <c r="I2891" s="18"/>
      <c r="J2891" s="18"/>
      <c r="K2891" s="18"/>
      <c r="L2891" s="18"/>
    </row>
    <row r="2892" spans="1:12" ht="15" customHeight="1" x14ac:dyDescent="0.25">
      <c r="A2892" s="10" t="s">
        <v>30</v>
      </c>
      <c r="B2892" s="11"/>
      <c r="C2892" s="12"/>
      <c r="D2892" s="8" t="s">
        <v>21</v>
      </c>
      <c r="E2892" s="8" t="s">
        <v>22</v>
      </c>
      <c r="F2892" s="9" t="s">
        <v>31</v>
      </c>
      <c r="G2892" s="9" t="s">
        <v>32</v>
      </c>
      <c r="H2892" s="9" t="s">
        <v>33</v>
      </c>
      <c r="I2892" s="13" t="s">
        <v>34</v>
      </c>
      <c r="J2892" s="14"/>
      <c r="K2892" s="13" t="s">
        <v>28</v>
      </c>
      <c r="L2892" s="14"/>
    </row>
    <row r="2893" spans="1:12" ht="15" customHeight="1" x14ac:dyDescent="0.25">
      <c r="A2893" s="15" t="s">
        <v>38</v>
      </c>
      <c r="B2893" s="16"/>
      <c r="C2893" s="16"/>
      <c r="D2893" s="16"/>
      <c r="E2893" s="16"/>
      <c r="F2893" s="16"/>
      <c r="G2893" s="16"/>
      <c r="H2893" s="16"/>
      <c r="I2893" s="16"/>
      <c r="J2893" s="17"/>
      <c r="K2893" s="15">
        <v>0</v>
      </c>
      <c r="L2893" s="17"/>
    </row>
    <row r="2894" spans="1:12" x14ac:dyDescent="0.25">
      <c r="A2894" s="18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</row>
    <row r="2895" spans="1:12" ht="15" customHeight="1" x14ac:dyDescent="0.25">
      <c r="A2895" s="10" t="s">
        <v>39</v>
      </c>
      <c r="B2895" s="11"/>
      <c r="C2895" s="12"/>
      <c r="D2895" s="8" t="s">
        <v>21</v>
      </c>
      <c r="E2895" s="13" t="s">
        <v>40</v>
      </c>
      <c r="F2895" s="14"/>
      <c r="G2895" s="8" t="s">
        <v>41</v>
      </c>
      <c r="H2895" s="8" t="s">
        <v>42</v>
      </c>
      <c r="I2895" s="8" t="s">
        <v>43</v>
      </c>
      <c r="J2895" s="13" t="s">
        <v>44</v>
      </c>
      <c r="K2895" s="26"/>
      <c r="L2895" s="14"/>
    </row>
    <row r="2896" spans="1:12" ht="15" customHeight="1" x14ac:dyDescent="0.25">
      <c r="A2896" s="15" t="s">
        <v>45</v>
      </c>
      <c r="B2896" s="16"/>
      <c r="C2896" s="16"/>
      <c r="D2896" s="16"/>
      <c r="E2896" s="16"/>
      <c r="F2896" s="16"/>
      <c r="G2896" s="16"/>
      <c r="H2896" s="16"/>
      <c r="I2896" s="16"/>
      <c r="J2896" s="17"/>
      <c r="K2896" s="15">
        <v>0</v>
      </c>
      <c r="L2896" s="17"/>
    </row>
    <row r="2897" spans="1:12" x14ac:dyDescent="0.25">
      <c r="A2897" s="18"/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</row>
    <row r="2898" spans="1:12" ht="15" customHeight="1" x14ac:dyDescent="0.25">
      <c r="A2898" s="27" t="s">
        <v>46</v>
      </c>
      <c r="B2898" s="27"/>
      <c r="C2898" s="27"/>
      <c r="D2898" s="27"/>
      <c r="E2898" s="27"/>
      <c r="F2898" s="27"/>
      <c r="G2898" s="27"/>
      <c r="H2898" s="27"/>
      <c r="I2898" s="27"/>
      <c r="J2898" s="27"/>
      <c r="K2898" s="27">
        <v>0</v>
      </c>
      <c r="L2898" s="27"/>
    </row>
    <row r="2899" spans="1:12" ht="15" customHeight="1" x14ac:dyDescent="0.25">
      <c r="A2899" s="27" t="s">
        <v>47</v>
      </c>
      <c r="B2899" s="27"/>
      <c r="C2899" s="27"/>
      <c r="D2899" s="27"/>
      <c r="E2899" s="27"/>
      <c r="F2899" s="27"/>
      <c r="G2899" s="27"/>
      <c r="H2899" s="27"/>
      <c r="I2899" s="27"/>
      <c r="J2899" s="27"/>
      <c r="K2899" s="27">
        <v>1</v>
      </c>
      <c r="L2899" s="27"/>
    </row>
    <row r="2900" spans="1:12" ht="15" customHeight="1" x14ac:dyDescent="0.25">
      <c r="A2900" s="27" t="s">
        <v>48</v>
      </c>
      <c r="B2900" s="27"/>
      <c r="C2900" s="27"/>
      <c r="D2900" s="27"/>
      <c r="E2900" s="27"/>
      <c r="F2900" s="27"/>
      <c r="G2900" s="27"/>
      <c r="H2900" s="27"/>
      <c r="I2900" s="27"/>
      <c r="J2900" s="27"/>
      <c r="K2900" s="27">
        <v>0</v>
      </c>
      <c r="L2900" s="27"/>
    </row>
    <row r="2901" spans="1:12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</row>
    <row r="2902" spans="1:12" ht="15" customHeight="1" x14ac:dyDescent="0.25">
      <c r="A2902" s="10" t="s">
        <v>49</v>
      </c>
      <c r="B2902" s="11"/>
      <c r="C2902" s="11"/>
      <c r="D2902" s="11"/>
      <c r="E2902" s="12"/>
      <c r="F2902" s="8" t="s">
        <v>21</v>
      </c>
      <c r="G2902" s="8" t="s">
        <v>22</v>
      </c>
      <c r="H2902" s="9" t="s">
        <v>44</v>
      </c>
      <c r="I2902" s="13" t="s">
        <v>34</v>
      </c>
      <c r="J2902" s="14"/>
      <c r="K2902" s="13" t="s">
        <v>50</v>
      </c>
      <c r="L2902" s="14"/>
    </row>
    <row r="2903" spans="1:12" ht="15" customHeight="1" x14ac:dyDescent="0.25">
      <c r="A2903" s="15" t="s">
        <v>51</v>
      </c>
      <c r="B2903" s="16"/>
      <c r="C2903" s="16"/>
      <c r="D2903" s="16"/>
      <c r="E2903" s="16"/>
      <c r="F2903" s="16"/>
      <c r="G2903" s="16"/>
      <c r="H2903" s="16"/>
      <c r="I2903" s="16"/>
      <c r="J2903" s="17"/>
      <c r="K2903" s="15">
        <v>0</v>
      </c>
      <c r="L2903" s="17"/>
    </row>
    <row r="2904" spans="1:12" x14ac:dyDescent="0.25">
      <c r="A2904" s="18"/>
      <c r="B2904" s="18"/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</row>
    <row r="2905" spans="1:12" ht="15" customHeight="1" x14ac:dyDescent="0.25">
      <c r="A2905" s="10" t="s">
        <v>52</v>
      </c>
      <c r="B2905" s="11"/>
      <c r="C2905" s="11"/>
      <c r="D2905" s="11"/>
      <c r="E2905" s="12"/>
      <c r="F2905" s="8" t="s">
        <v>21</v>
      </c>
      <c r="G2905" s="8" t="s">
        <v>22</v>
      </c>
      <c r="H2905" s="9" t="s">
        <v>44</v>
      </c>
      <c r="I2905" s="13" t="s">
        <v>34</v>
      </c>
      <c r="J2905" s="14"/>
      <c r="K2905" s="13" t="s">
        <v>50</v>
      </c>
      <c r="L2905" s="14"/>
    </row>
    <row r="2906" spans="1:12" ht="30" customHeight="1" x14ac:dyDescent="0.25">
      <c r="A2906" s="21" t="s">
        <v>394</v>
      </c>
      <c r="B2906" s="22"/>
      <c r="C2906" s="22"/>
      <c r="D2906" s="22"/>
      <c r="E2906" s="23"/>
      <c r="F2906" s="19" t="s">
        <v>395</v>
      </c>
      <c r="G2906" s="19" t="s">
        <v>84</v>
      </c>
      <c r="H2906" s="20">
        <v>1</v>
      </c>
      <c r="I2906" s="24">
        <v>388.33</v>
      </c>
      <c r="J2906" s="25"/>
      <c r="K2906" s="24">
        <v>388.33</v>
      </c>
      <c r="L2906" s="25"/>
    </row>
    <row r="2907" spans="1:12" ht="15" customHeight="1" x14ac:dyDescent="0.25">
      <c r="A2907" s="15" t="s">
        <v>53</v>
      </c>
      <c r="B2907" s="16"/>
      <c r="C2907" s="16"/>
      <c r="D2907" s="16"/>
      <c r="E2907" s="16"/>
      <c r="F2907" s="16"/>
      <c r="G2907" s="16"/>
      <c r="H2907" s="16"/>
      <c r="I2907" s="16"/>
      <c r="J2907" s="17"/>
      <c r="K2907" s="15">
        <v>388.33</v>
      </c>
      <c r="L2907" s="17"/>
    </row>
    <row r="2908" spans="1:12" x14ac:dyDescent="0.25">
      <c r="A2908" s="18"/>
      <c r="B2908" s="18"/>
      <c r="C2908" s="18"/>
      <c r="D2908" s="18"/>
      <c r="E2908" s="18"/>
      <c r="F2908" s="18"/>
      <c r="G2908" s="18"/>
      <c r="H2908" s="18"/>
      <c r="I2908" s="18"/>
      <c r="J2908" s="18"/>
      <c r="K2908" s="18"/>
      <c r="L2908" s="18"/>
    </row>
    <row r="2909" spans="1:12" ht="15" customHeight="1" x14ac:dyDescent="0.25">
      <c r="A2909" s="10" t="s">
        <v>54</v>
      </c>
      <c r="B2909" s="11"/>
      <c r="C2909" s="12"/>
      <c r="D2909" s="8" t="s">
        <v>21</v>
      </c>
      <c r="E2909" s="8" t="s">
        <v>22</v>
      </c>
      <c r="F2909" s="9" t="s">
        <v>55</v>
      </c>
      <c r="G2909" s="8" t="s">
        <v>56</v>
      </c>
      <c r="H2909" s="8" t="s">
        <v>57</v>
      </c>
      <c r="I2909" s="8" t="s">
        <v>58</v>
      </c>
      <c r="J2909" s="9" t="s">
        <v>59</v>
      </c>
      <c r="K2909" s="9" t="s">
        <v>34</v>
      </c>
      <c r="L2909" s="9" t="s">
        <v>50</v>
      </c>
    </row>
    <row r="2910" spans="1:12" ht="15" customHeight="1" x14ac:dyDescent="0.25">
      <c r="A2910" s="15" t="s">
        <v>60</v>
      </c>
      <c r="B2910" s="16"/>
      <c r="C2910" s="16"/>
      <c r="D2910" s="16"/>
      <c r="E2910" s="16"/>
      <c r="F2910" s="16"/>
      <c r="G2910" s="16"/>
      <c r="H2910" s="16"/>
      <c r="I2910" s="16"/>
      <c r="J2910" s="17"/>
      <c r="K2910" s="15">
        <v>0</v>
      </c>
      <c r="L2910" s="17"/>
    </row>
    <row r="2911" spans="1:12" x14ac:dyDescent="0.25">
      <c r="A2911" s="18"/>
      <c r="B2911" s="18"/>
      <c r="C2911" s="18"/>
      <c r="D2911" s="18"/>
      <c r="E2911" s="18"/>
      <c r="F2911" s="18"/>
      <c r="G2911" s="18"/>
      <c r="H2911" s="18"/>
      <c r="I2911" s="18"/>
      <c r="J2911" s="18"/>
      <c r="K2911" s="18"/>
      <c r="L2911" s="18"/>
    </row>
    <row r="2912" spans="1:12" ht="15" customHeight="1" x14ac:dyDescent="0.25">
      <c r="A2912" s="27" t="s">
        <v>61</v>
      </c>
      <c r="B2912" s="27"/>
      <c r="C2912" s="27"/>
      <c r="D2912" s="27"/>
      <c r="E2912" s="27"/>
      <c r="F2912" s="27"/>
      <c r="G2912" s="27"/>
      <c r="H2912" s="27"/>
      <c r="I2912" s="27"/>
      <c r="J2912" s="27"/>
      <c r="K2912" s="27">
        <v>388.33</v>
      </c>
      <c r="L2912" s="27"/>
    </row>
    <row r="2913" spans="1:12" ht="15" customHeight="1" x14ac:dyDescent="0.25">
      <c r="A2913" s="27" t="s">
        <v>62</v>
      </c>
      <c r="B2913" s="27"/>
      <c r="C2913" s="27"/>
      <c r="D2913" s="27"/>
      <c r="E2913" s="27"/>
      <c r="F2913" s="27"/>
      <c r="G2913" s="27"/>
      <c r="H2913" s="27"/>
      <c r="I2913" s="27"/>
      <c r="J2913" s="27"/>
      <c r="K2913" s="27">
        <v>129.12</v>
      </c>
      <c r="L2913" s="27"/>
    </row>
    <row r="2914" spans="1:12" ht="15" customHeight="1" x14ac:dyDescent="0.25">
      <c r="A2914" s="27" t="s">
        <v>63</v>
      </c>
      <c r="B2914" s="27"/>
      <c r="C2914" s="27"/>
      <c r="D2914" s="27"/>
      <c r="E2914" s="27"/>
      <c r="F2914" s="27"/>
      <c r="G2914" s="27"/>
      <c r="H2914" s="27"/>
      <c r="I2914" s="27"/>
      <c r="J2914" s="27"/>
      <c r="K2914" s="27">
        <v>517.45000000000005</v>
      </c>
      <c r="L2914" s="27"/>
    </row>
    <row r="2915" spans="1:12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</row>
    <row r="2916" spans="1:12" ht="15" customHeight="1" x14ac:dyDescent="0.25">
      <c r="A2916" s="3" t="s">
        <v>8</v>
      </c>
      <c r="B2916" s="6" t="s">
        <v>9</v>
      </c>
      <c r="C2916" s="6"/>
      <c r="D2916" s="6"/>
      <c r="E2916" s="6"/>
      <c r="F2916" s="6"/>
      <c r="G2916" s="6"/>
      <c r="H2916" s="6"/>
      <c r="I2916" s="6"/>
      <c r="J2916" s="6"/>
      <c r="K2916" s="6"/>
      <c r="L2916" s="6"/>
    </row>
    <row r="2917" spans="1:12" ht="15" customHeight="1" x14ac:dyDescent="0.25">
      <c r="A2917" s="3" t="s">
        <v>10</v>
      </c>
      <c r="B2917" s="6" t="s">
        <v>396</v>
      </c>
      <c r="C2917" s="6"/>
      <c r="D2917" s="6"/>
      <c r="E2917" s="6"/>
      <c r="F2917" s="6"/>
      <c r="G2917" s="6"/>
      <c r="H2917" s="6"/>
      <c r="I2917" s="6"/>
      <c r="J2917" s="6"/>
      <c r="K2917" s="3" t="s">
        <v>12</v>
      </c>
      <c r="L2917" s="4" t="s">
        <v>84</v>
      </c>
    </row>
    <row r="2918" spans="1:12" ht="15" customHeight="1" x14ac:dyDescent="0.25">
      <c r="A2918" s="3" t="s">
        <v>14</v>
      </c>
      <c r="B2918" s="6" t="s">
        <v>15</v>
      </c>
      <c r="C2918" s="6"/>
      <c r="D2918" s="7" t="s">
        <v>16</v>
      </c>
      <c r="E2918" s="7"/>
      <c r="F2918" s="6" t="str">
        <f>"170515"</f>
        <v>170515</v>
      </c>
      <c r="G2918" s="6"/>
      <c r="H2918" s="3" t="s">
        <v>17</v>
      </c>
      <c r="I2918" s="6" t="s">
        <v>18</v>
      </c>
      <c r="J2918" s="6"/>
      <c r="K2918" s="3" t="s">
        <v>19</v>
      </c>
      <c r="L2918" s="5">
        <v>1</v>
      </c>
    </row>
    <row r="2919" spans="1:12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</row>
    <row r="2920" spans="1:12" ht="15" customHeight="1" x14ac:dyDescent="0.25">
      <c r="A2920" s="10" t="s">
        <v>20</v>
      </c>
      <c r="B2920" s="11"/>
      <c r="C2920" s="12"/>
      <c r="D2920" s="8" t="s">
        <v>21</v>
      </c>
      <c r="E2920" s="8" t="s">
        <v>22</v>
      </c>
      <c r="F2920" s="9" t="s">
        <v>23</v>
      </c>
      <c r="G2920" s="9" t="s">
        <v>24</v>
      </c>
      <c r="H2920" s="9" t="s">
        <v>25</v>
      </c>
      <c r="I2920" s="9" t="s">
        <v>26</v>
      </c>
      <c r="J2920" s="9" t="s">
        <v>27</v>
      </c>
      <c r="K2920" s="13" t="s">
        <v>28</v>
      </c>
      <c r="L2920" s="14"/>
    </row>
    <row r="2921" spans="1:12" ht="15" customHeight="1" x14ac:dyDescent="0.25">
      <c r="A2921" s="15" t="s">
        <v>29</v>
      </c>
      <c r="B2921" s="16"/>
      <c r="C2921" s="16"/>
      <c r="D2921" s="16"/>
      <c r="E2921" s="16"/>
      <c r="F2921" s="16"/>
      <c r="G2921" s="16"/>
      <c r="H2921" s="16"/>
      <c r="I2921" s="16"/>
      <c r="J2921" s="17"/>
      <c r="K2921" s="15">
        <v>0</v>
      </c>
      <c r="L2921" s="17"/>
    </row>
    <row r="2922" spans="1:12" x14ac:dyDescent="0.25">
      <c r="A2922" s="18"/>
      <c r="B2922" s="18"/>
      <c r="C2922" s="18"/>
      <c r="D2922" s="18"/>
      <c r="E2922" s="18"/>
      <c r="F2922" s="18"/>
      <c r="G2922" s="18"/>
      <c r="H2922" s="18"/>
      <c r="I2922" s="18"/>
      <c r="J2922" s="18"/>
      <c r="K2922" s="18"/>
      <c r="L2922" s="18"/>
    </row>
    <row r="2923" spans="1:12" ht="15" customHeight="1" x14ac:dyDescent="0.25">
      <c r="A2923" s="10" t="s">
        <v>30</v>
      </c>
      <c r="B2923" s="11"/>
      <c r="C2923" s="12"/>
      <c r="D2923" s="8" t="s">
        <v>21</v>
      </c>
      <c r="E2923" s="8" t="s">
        <v>22</v>
      </c>
      <c r="F2923" s="9" t="s">
        <v>31</v>
      </c>
      <c r="G2923" s="9" t="s">
        <v>32</v>
      </c>
      <c r="H2923" s="9" t="s">
        <v>33</v>
      </c>
      <c r="I2923" s="13" t="s">
        <v>34</v>
      </c>
      <c r="J2923" s="14"/>
      <c r="K2923" s="13" t="s">
        <v>28</v>
      </c>
      <c r="L2923" s="14"/>
    </row>
    <row r="2924" spans="1:12" ht="15" customHeight="1" x14ac:dyDescent="0.25">
      <c r="A2924" s="21" t="s">
        <v>76</v>
      </c>
      <c r="B2924" s="22"/>
      <c r="C2924" s="23"/>
      <c r="D2924" s="19" t="str">
        <f>"010101"</f>
        <v>010101</v>
      </c>
      <c r="E2924" s="19" t="s">
        <v>36</v>
      </c>
      <c r="F2924" s="20">
        <v>8.5299999999999994</v>
      </c>
      <c r="G2924" s="20">
        <v>157.27000000000001</v>
      </c>
      <c r="H2924" s="20">
        <v>21.94</v>
      </c>
      <c r="I2924" s="24">
        <v>2.5</v>
      </c>
      <c r="J2924" s="25"/>
      <c r="K2924" s="24">
        <v>54.85</v>
      </c>
      <c r="L2924" s="25"/>
    </row>
    <row r="2925" spans="1:12" ht="15" customHeight="1" x14ac:dyDescent="0.25">
      <c r="A2925" s="21" t="s">
        <v>85</v>
      </c>
      <c r="B2925" s="22"/>
      <c r="C2925" s="23"/>
      <c r="D2925" s="19" t="str">
        <f>"010118"</f>
        <v>010118</v>
      </c>
      <c r="E2925" s="19" t="s">
        <v>36</v>
      </c>
      <c r="F2925" s="20">
        <v>10.119999999999999</v>
      </c>
      <c r="G2925" s="20">
        <v>157.27000000000001</v>
      </c>
      <c r="H2925" s="20">
        <v>26.03</v>
      </c>
      <c r="I2925" s="24">
        <v>2.5</v>
      </c>
      <c r="J2925" s="25"/>
      <c r="K2925" s="24">
        <v>65.069999999999993</v>
      </c>
      <c r="L2925" s="25"/>
    </row>
    <row r="2926" spans="1:12" ht="15" customHeight="1" x14ac:dyDescent="0.25">
      <c r="A2926" s="15" t="s">
        <v>38</v>
      </c>
      <c r="B2926" s="16"/>
      <c r="C2926" s="16"/>
      <c r="D2926" s="16"/>
      <c r="E2926" s="16"/>
      <c r="F2926" s="16"/>
      <c r="G2926" s="16"/>
      <c r="H2926" s="16"/>
      <c r="I2926" s="16"/>
      <c r="J2926" s="17"/>
      <c r="K2926" s="15">
        <v>119.92</v>
      </c>
      <c r="L2926" s="17"/>
    </row>
    <row r="2927" spans="1:12" x14ac:dyDescent="0.25">
      <c r="A2927" s="18"/>
      <c r="B2927" s="18"/>
      <c r="C2927" s="18"/>
      <c r="D2927" s="18"/>
      <c r="E2927" s="18"/>
      <c r="F2927" s="18"/>
      <c r="G2927" s="18"/>
      <c r="H2927" s="18"/>
      <c r="I2927" s="18"/>
      <c r="J2927" s="18"/>
      <c r="K2927" s="18"/>
      <c r="L2927" s="18"/>
    </row>
    <row r="2928" spans="1:12" ht="15" customHeight="1" x14ac:dyDescent="0.25">
      <c r="A2928" s="10" t="s">
        <v>39</v>
      </c>
      <c r="B2928" s="11"/>
      <c r="C2928" s="12"/>
      <c r="D2928" s="8" t="s">
        <v>21</v>
      </c>
      <c r="E2928" s="13" t="s">
        <v>40</v>
      </c>
      <c r="F2928" s="14"/>
      <c r="G2928" s="8" t="s">
        <v>41</v>
      </c>
      <c r="H2928" s="8" t="s">
        <v>42</v>
      </c>
      <c r="I2928" s="8" t="s">
        <v>43</v>
      </c>
      <c r="J2928" s="13" t="s">
        <v>44</v>
      </c>
      <c r="K2928" s="26"/>
      <c r="L2928" s="14"/>
    </row>
    <row r="2929" spans="1:12" ht="15" customHeight="1" x14ac:dyDescent="0.25">
      <c r="A2929" s="15" t="s">
        <v>45</v>
      </c>
      <c r="B2929" s="16"/>
      <c r="C2929" s="16"/>
      <c r="D2929" s="16"/>
      <c r="E2929" s="16"/>
      <c r="F2929" s="16"/>
      <c r="G2929" s="16"/>
      <c r="H2929" s="16"/>
      <c r="I2929" s="16"/>
      <c r="J2929" s="17"/>
      <c r="K2929" s="15">
        <v>0</v>
      </c>
      <c r="L2929" s="17"/>
    </row>
    <row r="2930" spans="1:12" x14ac:dyDescent="0.25">
      <c r="A2930" s="18"/>
      <c r="B2930" s="18"/>
      <c r="C2930" s="18"/>
      <c r="D2930" s="18"/>
      <c r="E2930" s="18"/>
      <c r="F2930" s="18"/>
      <c r="G2930" s="18"/>
      <c r="H2930" s="18"/>
      <c r="I2930" s="18"/>
      <c r="J2930" s="18"/>
      <c r="K2930" s="18"/>
      <c r="L2930" s="18"/>
    </row>
    <row r="2931" spans="1:12" ht="15" customHeight="1" x14ac:dyDescent="0.25">
      <c r="A2931" s="27" t="s">
        <v>46</v>
      </c>
      <c r="B2931" s="27"/>
      <c r="C2931" s="27"/>
      <c r="D2931" s="27"/>
      <c r="E2931" s="27"/>
      <c r="F2931" s="27"/>
      <c r="G2931" s="27"/>
      <c r="H2931" s="27"/>
      <c r="I2931" s="27"/>
      <c r="J2931" s="27"/>
      <c r="K2931" s="27">
        <v>119.92</v>
      </c>
      <c r="L2931" s="27"/>
    </row>
    <row r="2932" spans="1:12" ht="15" customHeight="1" x14ac:dyDescent="0.25">
      <c r="A2932" s="27" t="s">
        <v>47</v>
      </c>
      <c r="B2932" s="27"/>
      <c r="C2932" s="27"/>
      <c r="D2932" s="27"/>
      <c r="E2932" s="27"/>
      <c r="F2932" s="27"/>
      <c r="G2932" s="27"/>
      <c r="H2932" s="27"/>
      <c r="I2932" s="27"/>
      <c r="J2932" s="27"/>
      <c r="K2932" s="27">
        <v>1</v>
      </c>
      <c r="L2932" s="27"/>
    </row>
    <row r="2933" spans="1:12" ht="15" customHeight="1" x14ac:dyDescent="0.25">
      <c r="A2933" s="27" t="s">
        <v>48</v>
      </c>
      <c r="B2933" s="27"/>
      <c r="C2933" s="27"/>
      <c r="D2933" s="27"/>
      <c r="E2933" s="27"/>
      <c r="F2933" s="27"/>
      <c r="G2933" s="27"/>
      <c r="H2933" s="27"/>
      <c r="I2933" s="27"/>
      <c r="J2933" s="27"/>
      <c r="K2933" s="27">
        <v>119.92</v>
      </c>
      <c r="L2933" s="27"/>
    </row>
    <row r="2934" spans="1:12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</row>
    <row r="2935" spans="1:12" ht="15" customHeight="1" x14ac:dyDescent="0.25">
      <c r="A2935" s="10" t="s">
        <v>49</v>
      </c>
      <c r="B2935" s="11"/>
      <c r="C2935" s="11"/>
      <c r="D2935" s="11"/>
      <c r="E2935" s="12"/>
      <c r="F2935" s="8" t="s">
        <v>21</v>
      </c>
      <c r="G2935" s="8" t="s">
        <v>22</v>
      </c>
      <c r="H2935" s="9" t="s">
        <v>44</v>
      </c>
      <c r="I2935" s="13" t="s">
        <v>34</v>
      </c>
      <c r="J2935" s="14"/>
      <c r="K2935" s="13" t="s">
        <v>50</v>
      </c>
      <c r="L2935" s="14"/>
    </row>
    <row r="2936" spans="1:12" ht="15" customHeight="1" x14ac:dyDescent="0.25">
      <c r="A2936" s="21" t="s">
        <v>397</v>
      </c>
      <c r="B2936" s="22"/>
      <c r="C2936" s="22"/>
      <c r="D2936" s="22"/>
      <c r="E2936" s="23"/>
      <c r="F2936" s="19" t="str">
        <f>"039021"</f>
        <v>039021</v>
      </c>
      <c r="G2936" s="19" t="s">
        <v>124</v>
      </c>
      <c r="H2936" s="20">
        <v>24.22</v>
      </c>
      <c r="I2936" s="24">
        <v>0.5</v>
      </c>
      <c r="J2936" s="25"/>
      <c r="K2936" s="24">
        <v>12.11</v>
      </c>
      <c r="L2936" s="25"/>
    </row>
    <row r="2937" spans="1:12" ht="15" customHeight="1" x14ac:dyDescent="0.25">
      <c r="A2937" s="21" t="s">
        <v>362</v>
      </c>
      <c r="B2937" s="22"/>
      <c r="C2937" s="22"/>
      <c r="D2937" s="22"/>
      <c r="E2937" s="23"/>
      <c r="F2937" s="19" t="str">
        <f>"064003"</f>
        <v>064003</v>
      </c>
      <c r="G2937" s="19" t="s">
        <v>81</v>
      </c>
      <c r="H2937" s="20">
        <v>89.91</v>
      </c>
      <c r="I2937" s="24">
        <v>1</v>
      </c>
      <c r="J2937" s="25"/>
      <c r="K2937" s="24">
        <v>89.91</v>
      </c>
      <c r="L2937" s="25"/>
    </row>
    <row r="2938" spans="1:12" ht="15" customHeight="1" x14ac:dyDescent="0.25">
      <c r="A2938" s="21" t="s">
        <v>363</v>
      </c>
      <c r="B2938" s="22"/>
      <c r="C2938" s="22"/>
      <c r="D2938" s="22"/>
      <c r="E2938" s="23"/>
      <c r="F2938" s="19" t="str">
        <f>"064506"</f>
        <v>064506</v>
      </c>
      <c r="G2938" s="19" t="s">
        <v>81</v>
      </c>
      <c r="H2938" s="20">
        <v>149.94</v>
      </c>
      <c r="I2938" s="24">
        <v>1</v>
      </c>
      <c r="J2938" s="25"/>
      <c r="K2938" s="24">
        <v>149.94</v>
      </c>
      <c r="L2938" s="25"/>
    </row>
    <row r="2939" spans="1:12" ht="15" customHeight="1" x14ac:dyDescent="0.25">
      <c r="A2939" s="21" t="s">
        <v>398</v>
      </c>
      <c r="B2939" s="22"/>
      <c r="C2939" s="22"/>
      <c r="D2939" s="22"/>
      <c r="E2939" s="23"/>
      <c r="F2939" s="19" t="str">
        <f>"065567"</f>
        <v>065567</v>
      </c>
      <c r="G2939" s="19" t="s">
        <v>81</v>
      </c>
      <c r="H2939" s="34">
        <v>1582.67</v>
      </c>
      <c r="I2939" s="24">
        <v>1</v>
      </c>
      <c r="J2939" s="25"/>
      <c r="K2939" s="29">
        <v>1582.67</v>
      </c>
      <c r="L2939" s="30"/>
    </row>
    <row r="2940" spans="1:12" ht="15" customHeight="1" x14ac:dyDescent="0.25">
      <c r="A2940" s="21" t="s">
        <v>270</v>
      </c>
      <c r="B2940" s="22"/>
      <c r="C2940" s="22"/>
      <c r="D2940" s="22"/>
      <c r="E2940" s="23"/>
      <c r="F2940" s="19" t="str">
        <f>"069512"</f>
        <v>069512</v>
      </c>
      <c r="G2940" s="19" t="s">
        <v>99</v>
      </c>
      <c r="H2940" s="20">
        <v>0.24</v>
      </c>
      <c r="I2940" s="24">
        <v>0.75</v>
      </c>
      <c r="J2940" s="25"/>
      <c r="K2940" s="24">
        <v>0.18</v>
      </c>
      <c r="L2940" s="25"/>
    </row>
    <row r="2941" spans="1:12" ht="15" customHeight="1" x14ac:dyDescent="0.25">
      <c r="A2941" s="15" t="s">
        <v>51</v>
      </c>
      <c r="B2941" s="16"/>
      <c r="C2941" s="16"/>
      <c r="D2941" s="16"/>
      <c r="E2941" s="16"/>
      <c r="F2941" s="16"/>
      <c r="G2941" s="16"/>
      <c r="H2941" s="16"/>
      <c r="I2941" s="16"/>
      <c r="J2941" s="17"/>
      <c r="K2941" s="31">
        <v>1834.81</v>
      </c>
      <c r="L2941" s="32"/>
    </row>
    <row r="2942" spans="1:12" x14ac:dyDescent="0.25">
      <c r="A2942" s="18"/>
      <c r="B2942" s="18"/>
      <c r="C2942" s="18"/>
      <c r="D2942" s="18"/>
      <c r="E2942" s="18"/>
      <c r="F2942" s="18"/>
      <c r="G2942" s="18"/>
      <c r="H2942" s="18"/>
      <c r="I2942" s="18"/>
      <c r="J2942" s="18"/>
      <c r="K2942" s="18"/>
      <c r="L2942" s="18"/>
    </row>
    <row r="2943" spans="1:12" ht="15" customHeight="1" x14ac:dyDescent="0.25">
      <c r="A2943" s="10" t="s">
        <v>52</v>
      </c>
      <c r="B2943" s="11"/>
      <c r="C2943" s="11"/>
      <c r="D2943" s="11"/>
      <c r="E2943" s="12"/>
      <c r="F2943" s="8" t="s">
        <v>21</v>
      </c>
      <c r="G2943" s="8" t="s">
        <v>22</v>
      </c>
      <c r="H2943" s="9" t="s">
        <v>44</v>
      </c>
      <c r="I2943" s="13" t="s">
        <v>34</v>
      </c>
      <c r="J2943" s="14"/>
      <c r="K2943" s="13" t="s">
        <v>50</v>
      </c>
      <c r="L2943" s="14"/>
    </row>
    <row r="2944" spans="1:12" ht="15" customHeight="1" x14ac:dyDescent="0.25">
      <c r="A2944" s="15" t="s">
        <v>53</v>
      </c>
      <c r="B2944" s="16"/>
      <c r="C2944" s="16"/>
      <c r="D2944" s="16"/>
      <c r="E2944" s="16"/>
      <c r="F2944" s="16"/>
      <c r="G2944" s="16"/>
      <c r="H2944" s="16"/>
      <c r="I2944" s="16"/>
      <c r="J2944" s="17"/>
      <c r="K2944" s="15">
        <v>0</v>
      </c>
      <c r="L2944" s="17"/>
    </row>
    <row r="2945" spans="1:12" x14ac:dyDescent="0.25">
      <c r="A2945" s="18"/>
      <c r="B2945" s="18"/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</row>
    <row r="2946" spans="1:12" ht="15" customHeight="1" x14ac:dyDescent="0.25">
      <c r="A2946" s="10" t="s">
        <v>54</v>
      </c>
      <c r="B2946" s="11"/>
      <c r="C2946" s="12"/>
      <c r="D2946" s="8" t="s">
        <v>21</v>
      </c>
      <c r="E2946" s="8" t="s">
        <v>22</v>
      </c>
      <c r="F2946" s="9" t="s">
        <v>55</v>
      </c>
      <c r="G2946" s="8" t="s">
        <v>56</v>
      </c>
      <c r="H2946" s="8" t="s">
        <v>57</v>
      </c>
      <c r="I2946" s="8" t="s">
        <v>58</v>
      </c>
      <c r="J2946" s="9" t="s">
        <v>59</v>
      </c>
      <c r="K2946" s="9" t="s">
        <v>34</v>
      </c>
      <c r="L2946" s="9" t="s">
        <v>50</v>
      </c>
    </row>
    <row r="2947" spans="1:12" ht="15" customHeight="1" x14ac:dyDescent="0.25">
      <c r="A2947" s="15" t="s">
        <v>60</v>
      </c>
      <c r="B2947" s="16"/>
      <c r="C2947" s="16"/>
      <c r="D2947" s="16"/>
      <c r="E2947" s="16"/>
      <c r="F2947" s="16"/>
      <c r="G2947" s="16"/>
      <c r="H2947" s="16"/>
      <c r="I2947" s="16"/>
      <c r="J2947" s="17"/>
      <c r="K2947" s="15">
        <v>0</v>
      </c>
      <c r="L2947" s="17"/>
    </row>
    <row r="2948" spans="1:12" x14ac:dyDescent="0.25">
      <c r="A2948" s="18"/>
      <c r="B2948" s="18"/>
      <c r="C2948" s="18"/>
      <c r="D2948" s="18"/>
      <c r="E2948" s="18"/>
      <c r="F2948" s="18"/>
      <c r="G2948" s="18"/>
      <c r="H2948" s="18"/>
      <c r="I2948" s="18"/>
      <c r="J2948" s="18"/>
      <c r="K2948" s="18"/>
      <c r="L2948" s="18"/>
    </row>
    <row r="2949" spans="1:12" ht="15" customHeight="1" x14ac:dyDescent="0.25">
      <c r="A2949" s="27" t="s">
        <v>61</v>
      </c>
      <c r="B2949" s="27"/>
      <c r="C2949" s="27"/>
      <c r="D2949" s="27"/>
      <c r="E2949" s="27"/>
      <c r="F2949" s="27"/>
      <c r="G2949" s="27"/>
      <c r="H2949" s="27"/>
      <c r="I2949" s="27"/>
      <c r="J2949" s="27"/>
      <c r="K2949" s="28">
        <v>1954.73</v>
      </c>
      <c r="L2949" s="28"/>
    </row>
    <row r="2950" spans="1:12" ht="15" customHeight="1" x14ac:dyDescent="0.25">
      <c r="A2950" s="27" t="s">
        <v>62</v>
      </c>
      <c r="B2950" s="27"/>
      <c r="C2950" s="27"/>
      <c r="D2950" s="27"/>
      <c r="E2950" s="27"/>
      <c r="F2950" s="27"/>
      <c r="G2950" s="27"/>
      <c r="H2950" s="27"/>
      <c r="I2950" s="27"/>
      <c r="J2950" s="27"/>
      <c r="K2950" s="27">
        <v>649.95000000000005</v>
      </c>
      <c r="L2950" s="27"/>
    </row>
    <row r="2951" spans="1:12" ht="15" customHeight="1" x14ac:dyDescent="0.25">
      <c r="A2951" s="27" t="s">
        <v>63</v>
      </c>
      <c r="B2951" s="27"/>
      <c r="C2951" s="27"/>
      <c r="D2951" s="27"/>
      <c r="E2951" s="27"/>
      <c r="F2951" s="27"/>
      <c r="G2951" s="27"/>
      <c r="H2951" s="27"/>
      <c r="I2951" s="27"/>
      <c r="J2951" s="27"/>
      <c r="K2951" s="28">
        <v>2604.6799999999998</v>
      </c>
      <c r="L2951" s="28"/>
    </row>
    <row r="2952" spans="1:12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</row>
    <row r="2953" spans="1:12" ht="15" customHeight="1" x14ac:dyDescent="0.25">
      <c r="A2953" s="3" t="s">
        <v>8</v>
      </c>
      <c r="B2953" s="6" t="s">
        <v>9</v>
      </c>
      <c r="C2953" s="6"/>
      <c r="D2953" s="6"/>
      <c r="E2953" s="6"/>
      <c r="F2953" s="6"/>
      <c r="G2953" s="6"/>
      <c r="H2953" s="6"/>
      <c r="I2953" s="6"/>
      <c r="J2953" s="6"/>
      <c r="K2953" s="6"/>
      <c r="L2953" s="6"/>
    </row>
    <row r="2954" spans="1:12" ht="15" customHeight="1" x14ac:dyDescent="0.25">
      <c r="A2954" s="3" t="s">
        <v>10</v>
      </c>
      <c r="B2954" s="6" t="s">
        <v>399</v>
      </c>
      <c r="C2954" s="6"/>
      <c r="D2954" s="6"/>
      <c r="E2954" s="6"/>
      <c r="F2954" s="6"/>
      <c r="G2954" s="6"/>
      <c r="H2954" s="6"/>
      <c r="I2954" s="6"/>
      <c r="J2954" s="6"/>
      <c r="K2954" s="3" t="s">
        <v>12</v>
      </c>
      <c r="L2954" s="4" t="s">
        <v>84</v>
      </c>
    </row>
    <row r="2955" spans="1:12" ht="15" customHeight="1" x14ac:dyDescent="0.25">
      <c r="A2955" s="3" t="s">
        <v>14</v>
      </c>
      <c r="B2955" s="6" t="s">
        <v>15</v>
      </c>
      <c r="C2955" s="6"/>
      <c r="D2955" s="7" t="s">
        <v>16</v>
      </c>
      <c r="E2955" s="7"/>
      <c r="F2955" s="6" t="str">
        <f>"170514"</f>
        <v>170514</v>
      </c>
      <c r="G2955" s="6"/>
      <c r="H2955" s="3" t="s">
        <v>17</v>
      </c>
      <c r="I2955" s="6" t="s">
        <v>18</v>
      </c>
      <c r="J2955" s="6"/>
      <c r="K2955" s="3" t="s">
        <v>19</v>
      </c>
      <c r="L2955" s="5">
        <v>1</v>
      </c>
    </row>
    <row r="2956" spans="1:12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</row>
    <row r="2957" spans="1:12" ht="15" customHeight="1" x14ac:dyDescent="0.25">
      <c r="A2957" s="10" t="s">
        <v>20</v>
      </c>
      <c r="B2957" s="11"/>
      <c r="C2957" s="12"/>
      <c r="D2957" s="8" t="s">
        <v>21</v>
      </c>
      <c r="E2957" s="8" t="s">
        <v>22</v>
      </c>
      <c r="F2957" s="9" t="s">
        <v>23</v>
      </c>
      <c r="G2957" s="9" t="s">
        <v>24</v>
      </c>
      <c r="H2957" s="9" t="s">
        <v>25</v>
      </c>
      <c r="I2957" s="9" t="s">
        <v>26</v>
      </c>
      <c r="J2957" s="9" t="s">
        <v>27</v>
      </c>
      <c r="K2957" s="13" t="s">
        <v>28</v>
      </c>
      <c r="L2957" s="14"/>
    </row>
    <row r="2958" spans="1:12" ht="15" customHeight="1" x14ac:dyDescent="0.25">
      <c r="A2958" s="15" t="s">
        <v>29</v>
      </c>
      <c r="B2958" s="16"/>
      <c r="C2958" s="16"/>
      <c r="D2958" s="16"/>
      <c r="E2958" s="16"/>
      <c r="F2958" s="16"/>
      <c r="G2958" s="16"/>
      <c r="H2958" s="16"/>
      <c r="I2958" s="16"/>
      <c r="J2958" s="17"/>
      <c r="K2958" s="15">
        <v>0</v>
      </c>
      <c r="L2958" s="17"/>
    </row>
    <row r="2959" spans="1:12" x14ac:dyDescent="0.25">
      <c r="A2959" s="18"/>
      <c r="B2959" s="18"/>
      <c r="C2959" s="18"/>
      <c r="D2959" s="18"/>
      <c r="E2959" s="18"/>
      <c r="F2959" s="18"/>
      <c r="G2959" s="18"/>
      <c r="H2959" s="18"/>
      <c r="I2959" s="18"/>
      <c r="J2959" s="18"/>
      <c r="K2959" s="18"/>
      <c r="L2959" s="18"/>
    </row>
    <row r="2960" spans="1:12" ht="15" customHeight="1" x14ac:dyDescent="0.25">
      <c r="A2960" s="10" t="s">
        <v>30</v>
      </c>
      <c r="B2960" s="11"/>
      <c r="C2960" s="12"/>
      <c r="D2960" s="8" t="s">
        <v>21</v>
      </c>
      <c r="E2960" s="8" t="s">
        <v>22</v>
      </c>
      <c r="F2960" s="9" t="s">
        <v>31</v>
      </c>
      <c r="G2960" s="9" t="s">
        <v>32</v>
      </c>
      <c r="H2960" s="9" t="s">
        <v>33</v>
      </c>
      <c r="I2960" s="13" t="s">
        <v>34</v>
      </c>
      <c r="J2960" s="14"/>
      <c r="K2960" s="13" t="s">
        <v>28</v>
      </c>
      <c r="L2960" s="14"/>
    </row>
    <row r="2961" spans="1:12" ht="15" customHeight="1" x14ac:dyDescent="0.25">
      <c r="A2961" s="21" t="s">
        <v>76</v>
      </c>
      <c r="B2961" s="22"/>
      <c r="C2961" s="23"/>
      <c r="D2961" s="19" t="str">
        <f>"010101"</f>
        <v>010101</v>
      </c>
      <c r="E2961" s="19" t="s">
        <v>36</v>
      </c>
      <c r="F2961" s="20">
        <v>8.5299999999999994</v>
      </c>
      <c r="G2961" s="20">
        <v>157.27000000000001</v>
      </c>
      <c r="H2961" s="20">
        <v>21.94</v>
      </c>
      <c r="I2961" s="24">
        <v>3</v>
      </c>
      <c r="J2961" s="25"/>
      <c r="K2961" s="24">
        <v>65.819999999999993</v>
      </c>
      <c r="L2961" s="25"/>
    </row>
    <row r="2962" spans="1:12" ht="15" customHeight="1" x14ac:dyDescent="0.25">
      <c r="A2962" s="21" t="s">
        <v>85</v>
      </c>
      <c r="B2962" s="22"/>
      <c r="C2962" s="23"/>
      <c r="D2962" s="19" t="str">
        <f>"010118"</f>
        <v>010118</v>
      </c>
      <c r="E2962" s="19" t="s">
        <v>36</v>
      </c>
      <c r="F2962" s="20">
        <v>10.119999999999999</v>
      </c>
      <c r="G2962" s="20">
        <v>157.27000000000001</v>
      </c>
      <c r="H2962" s="20">
        <v>26.03</v>
      </c>
      <c r="I2962" s="24">
        <v>3</v>
      </c>
      <c r="J2962" s="25"/>
      <c r="K2962" s="24">
        <v>78.09</v>
      </c>
      <c r="L2962" s="25"/>
    </row>
    <row r="2963" spans="1:12" ht="15" customHeight="1" x14ac:dyDescent="0.25">
      <c r="A2963" s="15" t="s">
        <v>38</v>
      </c>
      <c r="B2963" s="16"/>
      <c r="C2963" s="16"/>
      <c r="D2963" s="16"/>
      <c r="E2963" s="16"/>
      <c r="F2963" s="16"/>
      <c r="G2963" s="16"/>
      <c r="H2963" s="16"/>
      <c r="I2963" s="16"/>
      <c r="J2963" s="17"/>
      <c r="K2963" s="15">
        <v>143.91</v>
      </c>
      <c r="L2963" s="17"/>
    </row>
    <row r="2964" spans="1:12" x14ac:dyDescent="0.25">
      <c r="A2964" s="18"/>
      <c r="B2964" s="18"/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</row>
    <row r="2965" spans="1:12" ht="15" customHeight="1" x14ac:dyDescent="0.25">
      <c r="A2965" s="10" t="s">
        <v>39</v>
      </c>
      <c r="B2965" s="11"/>
      <c r="C2965" s="12"/>
      <c r="D2965" s="8" t="s">
        <v>21</v>
      </c>
      <c r="E2965" s="13" t="s">
        <v>40</v>
      </c>
      <c r="F2965" s="14"/>
      <c r="G2965" s="8" t="s">
        <v>41</v>
      </c>
      <c r="H2965" s="8" t="s">
        <v>42</v>
      </c>
      <c r="I2965" s="8" t="s">
        <v>43</v>
      </c>
      <c r="J2965" s="13" t="s">
        <v>44</v>
      </c>
      <c r="K2965" s="26"/>
      <c r="L2965" s="14"/>
    </row>
    <row r="2966" spans="1:12" ht="15" customHeight="1" x14ac:dyDescent="0.25">
      <c r="A2966" s="15" t="s">
        <v>45</v>
      </c>
      <c r="B2966" s="16"/>
      <c r="C2966" s="16"/>
      <c r="D2966" s="16"/>
      <c r="E2966" s="16"/>
      <c r="F2966" s="16"/>
      <c r="G2966" s="16"/>
      <c r="H2966" s="16"/>
      <c r="I2966" s="16"/>
      <c r="J2966" s="17"/>
      <c r="K2966" s="15">
        <v>0</v>
      </c>
      <c r="L2966" s="17"/>
    </row>
    <row r="2967" spans="1:12" x14ac:dyDescent="0.25">
      <c r="A2967" s="18"/>
      <c r="B2967" s="18"/>
      <c r="C2967" s="18"/>
      <c r="D2967" s="18"/>
      <c r="E2967" s="18"/>
      <c r="F2967" s="18"/>
      <c r="G2967" s="18"/>
      <c r="H2967" s="18"/>
      <c r="I2967" s="18"/>
      <c r="J2967" s="18"/>
      <c r="K2967" s="18"/>
      <c r="L2967" s="18"/>
    </row>
    <row r="2968" spans="1:12" ht="15" customHeight="1" x14ac:dyDescent="0.25">
      <c r="A2968" s="27" t="s">
        <v>46</v>
      </c>
      <c r="B2968" s="27"/>
      <c r="C2968" s="27"/>
      <c r="D2968" s="27"/>
      <c r="E2968" s="27"/>
      <c r="F2968" s="27"/>
      <c r="G2968" s="27"/>
      <c r="H2968" s="27"/>
      <c r="I2968" s="27"/>
      <c r="J2968" s="27"/>
      <c r="K2968" s="27">
        <v>143.91</v>
      </c>
      <c r="L2968" s="27"/>
    </row>
    <row r="2969" spans="1:12" ht="15" customHeight="1" x14ac:dyDescent="0.25">
      <c r="A2969" s="27" t="s">
        <v>47</v>
      </c>
      <c r="B2969" s="27"/>
      <c r="C2969" s="27"/>
      <c r="D2969" s="27"/>
      <c r="E2969" s="27"/>
      <c r="F2969" s="27"/>
      <c r="G2969" s="27"/>
      <c r="H2969" s="27"/>
      <c r="I2969" s="27"/>
      <c r="J2969" s="27"/>
      <c r="K2969" s="27">
        <v>1</v>
      </c>
      <c r="L2969" s="27"/>
    </row>
    <row r="2970" spans="1:12" ht="15" customHeight="1" x14ac:dyDescent="0.25">
      <c r="A2970" s="27" t="s">
        <v>48</v>
      </c>
      <c r="B2970" s="27"/>
      <c r="C2970" s="27"/>
      <c r="D2970" s="27"/>
      <c r="E2970" s="27"/>
      <c r="F2970" s="27"/>
      <c r="G2970" s="27"/>
      <c r="H2970" s="27"/>
      <c r="I2970" s="27"/>
      <c r="J2970" s="27"/>
      <c r="K2970" s="27">
        <v>143.91</v>
      </c>
      <c r="L2970" s="27"/>
    </row>
    <row r="2971" spans="1:12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</row>
    <row r="2972" spans="1:12" ht="15" customHeight="1" x14ac:dyDescent="0.25">
      <c r="A2972" s="10" t="s">
        <v>49</v>
      </c>
      <c r="B2972" s="11"/>
      <c r="C2972" s="11"/>
      <c r="D2972" s="11"/>
      <c r="E2972" s="12"/>
      <c r="F2972" s="8" t="s">
        <v>21</v>
      </c>
      <c r="G2972" s="8" t="s">
        <v>22</v>
      </c>
      <c r="H2972" s="9" t="s">
        <v>44</v>
      </c>
      <c r="I2972" s="13" t="s">
        <v>34</v>
      </c>
      <c r="J2972" s="14"/>
      <c r="K2972" s="13" t="s">
        <v>50</v>
      </c>
      <c r="L2972" s="14"/>
    </row>
    <row r="2973" spans="1:12" ht="15" customHeight="1" x14ac:dyDescent="0.25">
      <c r="A2973" s="21" t="s">
        <v>397</v>
      </c>
      <c r="B2973" s="22"/>
      <c r="C2973" s="22"/>
      <c r="D2973" s="22"/>
      <c r="E2973" s="23"/>
      <c r="F2973" s="19" t="str">
        <f>"039021"</f>
        <v>039021</v>
      </c>
      <c r="G2973" s="19" t="s">
        <v>124</v>
      </c>
      <c r="H2973" s="20">
        <v>24.22</v>
      </c>
      <c r="I2973" s="24">
        <v>0.5</v>
      </c>
      <c r="J2973" s="25"/>
      <c r="K2973" s="24">
        <v>12.11</v>
      </c>
      <c r="L2973" s="25"/>
    </row>
    <row r="2974" spans="1:12" ht="15" customHeight="1" x14ac:dyDescent="0.25">
      <c r="A2974" s="21" t="s">
        <v>362</v>
      </c>
      <c r="B2974" s="22"/>
      <c r="C2974" s="22"/>
      <c r="D2974" s="22"/>
      <c r="E2974" s="23"/>
      <c r="F2974" s="19" t="str">
        <f>"064003"</f>
        <v>064003</v>
      </c>
      <c r="G2974" s="19" t="s">
        <v>81</v>
      </c>
      <c r="H2974" s="20">
        <v>89.91</v>
      </c>
      <c r="I2974" s="24">
        <v>1</v>
      </c>
      <c r="J2974" s="25"/>
      <c r="K2974" s="24">
        <v>89.91</v>
      </c>
      <c r="L2974" s="25"/>
    </row>
    <row r="2975" spans="1:12" ht="15" customHeight="1" x14ac:dyDescent="0.25">
      <c r="A2975" s="21" t="s">
        <v>400</v>
      </c>
      <c r="B2975" s="22"/>
      <c r="C2975" s="22"/>
      <c r="D2975" s="22"/>
      <c r="E2975" s="23"/>
      <c r="F2975" s="19" t="str">
        <f>"064504"</f>
        <v>064504</v>
      </c>
      <c r="G2975" s="19" t="s">
        <v>81</v>
      </c>
      <c r="H2975" s="20">
        <v>247.98</v>
      </c>
      <c r="I2975" s="24">
        <v>1</v>
      </c>
      <c r="J2975" s="25"/>
      <c r="K2975" s="24">
        <v>247.98</v>
      </c>
      <c r="L2975" s="25"/>
    </row>
    <row r="2976" spans="1:12" ht="15" customHeight="1" x14ac:dyDescent="0.25">
      <c r="A2976" s="21" t="s">
        <v>401</v>
      </c>
      <c r="B2976" s="22"/>
      <c r="C2976" s="22"/>
      <c r="D2976" s="22"/>
      <c r="E2976" s="23"/>
      <c r="F2976" s="19" t="str">
        <f>"065523"</f>
        <v>065523</v>
      </c>
      <c r="G2976" s="19" t="s">
        <v>81</v>
      </c>
      <c r="H2976" s="34">
        <v>1428.98</v>
      </c>
      <c r="I2976" s="24">
        <v>1</v>
      </c>
      <c r="J2976" s="25"/>
      <c r="K2976" s="29">
        <v>1428.98</v>
      </c>
      <c r="L2976" s="30"/>
    </row>
    <row r="2977" spans="1:12" ht="15" customHeight="1" x14ac:dyDescent="0.25">
      <c r="A2977" s="21" t="s">
        <v>270</v>
      </c>
      <c r="B2977" s="22"/>
      <c r="C2977" s="22"/>
      <c r="D2977" s="22"/>
      <c r="E2977" s="23"/>
      <c r="F2977" s="19" t="str">
        <f>"069512"</f>
        <v>069512</v>
      </c>
      <c r="G2977" s="19" t="s">
        <v>99</v>
      </c>
      <c r="H2977" s="20">
        <v>0.24</v>
      </c>
      <c r="I2977" s="24">
        <v>0.75</v>
      </c>
      <c r="J2977" s="25"/>
      <c r="K2977" s="24">
        <v>0.18</v>
      </c>
      <c r="L2977" s="25"/>
    </row>
    <row r="2978" spans="1:12" ht="15" customHeight="1" x14ac:dyDescent="0.25">
      <c r="A2978" s="15" t="s">
        <v>51</v>
      </c>
      <c r="B2978" s="16"/>
      <c r="C2978" s="16"/>
      <c r="D2978" s="16"/>
      <c r="E2978" s="16"/>
      <c r="F2978" s="16"/>
      <c r="G2978" s="16"/>
      <c r="H2978" s="16"/>
      <c r="I2978" s="16"/>
      <c r="J2978" s="17"/>
      <c r="K2978" s="31">
        <v>1779.16</v>
      </c>
      <c r="L2978" s="32"/>
    </row>
    <row r="2979" spans="1:12" x14ac:dyDescent="0.25">
      <c r="A2979" s="18"/>
      <c r="B2979" s="18"/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</row>
    <row r="2980" spans="1:12" ht="15" customHeight="1" x14ac:dyDescent="0.25">
      <c r="A2980" s="10" t="s">
        <v>52</v>
      </c>
      <c r="B2980" s="11"/>
      <c r="C2980" s="11"/>
      <c r="D2980" s="11"/>
      <c r="E2980" s="12"/>
      <c r="F2980" s="8" t="s">
        <v>21</v>
      </c>
      <c r="G2980" s="8" t="s">
        <v>22</v>
      </c>
      <c r="H2980" s="9" t="s">
        <v>44</v>
      </c>
      <c r="I2980" s="13" t="s">
        <v>34</v>
      </c>
      <c r="J2980" s="14"/>
      <c r="K2980" s="13" t="s">
        <v>50</v>
      </c>
      <c r="L2980" s="14"/>
    </row>
    <row r="2981" spans="1:12" ht="15" customHeight="1" x14ac:dyDescent="0.25">
      <c r="A2981" s="15" t="s">
        <v>53</v>
      </c>
      <c r="B2981" s="16"/>
      <c r="C2981" s="16"/>
      <c r="D2981" s="16"/>
      <c r="E2981" s="16"/>
      <c r="F2981" s="16"/>
      <c r="G2981" s="16"/>
      <c r="H2981" s="16"/>
      <c r="I2981" s="16"/>
      <c r="J2981" s="17"/>
      <c r="K2981" s="15">
        <v>0</v>
      </c>
      <c r="L2981" s="17"/>
    </row>
    <row r="2982" spans="1:12" x14ac:dyDescent="0.25">
      <c r="A2982" s="18"/>
      <c r="B2982" s="18"/>
      <c r="C2982" s="18"/>
      <c r="D2982" s="18"/>
      <c r="E2982" s="18"/>
      <c r="F2982" s="18"/>
      <c r="G2982" s="18"/>
      <c r="H2982" s="18"/>
      <c r="I2982" s="18"/>
      <c r="J2982" s="18"/>
      <c r="K2982" s="18"/>
      <c r="L2982" s="18"/>
    </row>
    <row r="2983" spans="1:12" ht="15" customHeight="1" x14ac:dyDescent="0.25">
      <c r="A2983" s="10" t="s">
        <v>54</v>
      </c>
      <c r="B2983" s="11"/>
      <c r="C2983" s="12"/>
      <c r="D2983" s="8" t="s">
        <v>21</v>
      </c>
      <c r="E2983" s="8" t="s">
        <v>22</v>
      </c>
      <c r="F2983" s="9" t="s">
        <v>55</v>
      </c>
      <c r="G2983" s="8" t="s">
        <v>56</v>
      </c>
      <c r="H2983" s="8" t="s">
        <v>57</v>
      </c>
      <c r="I2983" s="8" t="s">
        <v>58</v>
      </c>
      <c r="J2983" s="9" t="s">
        <v>59</v>
      </c>
      <c r="K2983" s="9" t="s">
        <v>34</v>
      </c>
      <c r="L2983" s="9" t="s">
        <v>50</v>
      </c>
    </row>
    <row r="2984" spans="1:12" ht="15" customHeight="1" x14ac:dyDescent="0.25">
      <c r="A2984" s="15" t="s">
        <v>60</v>
      </c>
      <c r="B2984" s="16"/>
      <c r="C2984" s="16"/>
      <c r="D2984" s="16"/>
      <c r="E2984" s="16"/>
      <c r="F2984" s="16"/>
      <c r="G2984" s="16"/>
      <c r="H2984" s="16"/>
      <c r="I2984" s="16"/>
      <c r="J2984" s="17"/>
      <c r="K2984" s="15">
        <v>0</v>
      </c>
      <c r="L2984" s="17"/>
    </row>
    <row r="2985" spans="1:12" x14ac:dyDescent="0.25">
      <c r="A2985" s="18"/>
      <c r="B2985" s="18"/>
      <c r="C2985" s="18"/>
      <c r="D2985" s="18"/>
      <c r="E2985" s="18"/>
      <c r="F2985" s="18"/>
      <c r="G2985" s="18"/>
      <c r="H2985" s="18"/>
      <c r="I2985" s="18"/>
      <c r="J2985" s="18"/>
      <c r="K2985" s="18"/>
      <c r="L2985" s="18"/>
    </row>
    <row r="2986" spans="1:12" ht="15" customHeight="1" x14ac:dyDescent="0.25">
      <c r="A2986" s="27" t="s">
        <v>61</v>
      </c>
      <c r="B2986" s="27"/>
      <c r="C2986" s="27"/>
      <c r="D2986" s="27"/>
      <c r="E2986" s="27"/>
      <c r="F2986" s="27"/>
      <c r="G2986" s="27"/>
      <c r="H2986" s="27"/>
      <c r="I2986" s="27"/>
      <c r="J2986" s="27"/>
      <c r="K2986" s="28">
        <v>1923.07</v>
      </c>
      <c r="L2986" s="28"/>
    </row>
    <row r="2987" spans="1:12" ht="15" customHeight="1" x14ac:dyDescent="0.25">
      <c r="A2987" s="27" t="s">
        <v>62</v>
      </c>
      <c r="B2987" s="27"/>
      <c r="C2987" s="27"/>
      <c r="D2987" s="27"/>
      <c r="E2987" s="27"/>
      <c r="F2987" s="27"/>
      <c r="G2987" s="27"/>
      <c r="H2987" s="27"/>
      <c r="I2987" s="27"/>
      <c r="J2987" s="27"/>
      <c r="K2987" s="27">
        <v>639.41999999999996</v>
      </c>
      <c r="L2987" s="27"/>
    </row>
    <row r="2988" spans="1:12" ht="15" customHeight="1" x14ac:dyDescent="0.25">
      <c r="A2988" s="27" t="s">
        <v>63</v>
      </c>
      <c r="B2988" s="27"/>
      <c r="C2988" s="27"/>
      <c r="D2988" s="27"/>
      <c r="E2988" s="27"/>
      <c r="F2988" s="27"/>
      <c r="G2988" s="27"/>
      <c r="H2988" s="27"/>
      <c r="I2988" s="27"/>
      <c r="J2988" s="27"/>
      <c r="K2988" s="28">
        <v>2562.4899999999998</v>
      </c>
      <c r="L2988" s="28"/>
    </row>
    <row r="2989" spans="1:12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</row>
    <row r="2990" spans="1:12" ht="15" customHeight="1" x14ac:dyDescent="0.25">
      <c r="A2990" s="3" t="s">
        <v>8</v>
      </c>
      <c r="B2990" s="6" t="s">
        <v>9</v>
      </c>
      <c r="C2990" s="6"/>
      <c r="D2990" s="6"/>
      <c r="E2990" s="6"/>
      <c r="F2990" s="6"/>
      <c r="G2990" s="6"/>
      <c r="H2990" s="6"/>
      <c r="I2990" s="6"/>
      <c r="J2990" s="6"/>
      <c r="K2990" s="6"/>
      <c r="L2990" s="6"/>
    </row>
    <row r="2991" spans="1:12" ht="30" customHeight="1" x14ac:dyDescent="0.25">
      <c r="A2991" s="3" t="s">
        <v>10</v>
      </c>
      <c r="B2991" s="6" t="s">
        <v>402</v>
      </c>
      <c r="C2991" s="6"/>
      <c r="D2991" s="6"/>
      <c r="E2991" s="6"/>
      <c r="F2991" s="6"/>
      <c r="G2991" s="6"/>
      <c r="H2991" s="6"/>
      <c r="I2991" s="6"/>
      <c r="J2991" s="6"/>
      <c r="K2991" s="3" t="s">
        <v>12</v>
      </c>
      <c r="L2991" s="4" t="s">
        <v>13</v>
      </c>
    </row>
    <row r="2992" spans="1:12" ht="15" customHeight="1" x14ac:dyDescent="0.25">
      <c r="A2992" s="3" t="s">
        <v>14</v>
      </c>
      <c r="B2992" s="6" t="s">
        <v>15</v>
      </c>
      <c r="C2992" s="6"/>
      <c r="D2992" s="7" t="s">
        <v>16</v>
      </c>
      <c r="E2992" s="7"/>
      <c r="F2992" s="6" t="str">
        <f>"190101"</f>
        <v>190101</v>
      </c>
      <c r="G2992" s="6"/>
      <c r="H2992" s="3" t="s">
        <v>17</v>
      </c>
      <c r="I2992" s="6" t="s">
        <v>18</v>
      </c>
      <c r="J2992" s="6"/>
      <c r="K2992" s="3" t="s">
        <v>19</v>
      </c>
      <c r="L2992" s="5">
        <v>1</v>
      </c>
    </row>
    <row r="2993" spans="1:12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</row>
    <row r="2994" spans="1:12" ht="15" customHeight="1" x14ac:dyDescent="0.25">
      <c r="A2994" s="10" t="s">
        <v>20</v>
      </c>
      <c r="B2994" s="11"/>
      <c r="C2994" s="12"/>
      <c r="D2994" s="8" t="s">
        <v>21</v>
      </c>
      <c r="E2994" s="8" t="s">
        <v>22</v>
      </c>
      <c r="F2994" s="9" t="s">
        <v>23</v>
      </c>
      <c r="G2994" s="9" t="s">
        <v>24</v>
      </c>
      <c r="H2994" s="9" t="s">
        <v>25</v>
      </c>
      <c r="I2994" s="9" t="s">
        <v>26</v>
      </c>
      <c r="J2994" s="9" t="s">
        <v>27</v>
      </c>
      <c r="K2994" s="13" t="s">
        <v>28</v>
      </c>
      <c r="L2994" s="14"/>
    </row>
    <row r="2995" spans="1:12" ht="15" customHeight="1" x14ac:dyDescent="0.25">
      <c r="A2995" s="15" t="s">
        <v>29</v>
      </c>
      <c r="B2995" s="16"/>
      <c r="C2995" s="16"/>
      <c r="D2995" s="16"/>
      <c r="E2995" s="16"/>
      <c r="F2995" s="16"/>
      <c r="G2995" s="16"/>
      <c r="H2995" s="16"/>
      <c r="I2995" s="16"/>
      <c r="J2995" s="17"/>
      <c r="K2995" s="15">
        <v>0</v>
      </c>
      <c r="L2995" s="17"/>
    </row>
    <row r="2996" spans="1:12" x14ac:dyDescent="0.25">
      <c r="A2996" s="18"/>
      <c r="B2996" s="18"/>
      <c r="C2996" s="18"/>
      <c r="D2996" s="18"/>
      <c r="E2996" s="18"/>
      <c r="F2996" s="18"/>
      <c r="G2996" s="18"/>
      <c r="H2996" s="18"/>
      <c r="I2996" s="18"/>
      <c r="J2996" s="18"/>
      <c r="K2996" s="18"/>
      <c r="L2996" s="18"/>
    </row>
    <row r="2997" spans="1:12" ht="15" customHeight="1" x14ac:dyDescent="0.25">
      <c r="A2997" s="10" t="s">
        <v>30</v>
      </c>
      <c r="B2997" s="11"/>
      <c r="C2997" s="12"/>
      <c r="D2997" s="8" t="s">
        <v>21</v>
      </c>
      <c r="E2997" s="8" t="s">
        <v>22</v>
      </c>
      <c r="F2997" s="9" t="s">
        <v>31</v>
      </c>
      <c r="G2997" s="9" t="s">
        <v>32</v>
      </c>
      <c r="H2997" s="9" t="s">
        <v>33</v>
      </c>
      <c r="I2997" s="13" t="s">
        <v>34</v>
      </c>
      <c r="J2997" s="14"/>
      <c r="K2997" s="13" t="s">
        <v>28</v>
      </c>
      <c r="L2997" s="14"/>
    </row>
    <row r="2998" spans="1:12" ht="15" customHeight="1" x14ac:dyDescent="0.25">
      <c r="A2998" s="21" t="s">
        <v>76</v>
      </c>
      <c r="B2998" s="22"/>
      <c r="C2998" s="23"/>
      <c r="D2998" s="19" t="str">
        <f>"010101"</f>
        <v>010101</v>
      </c>
      <c r="E2998" s="19" t="s">
        <v>36</v>
      </c>
      <c r="F2998" s="20">
        <v>8.5299999999999994</v>
      </c>
      <c r="G2998" s="20">
        <v>157.27000000000001</v>
      </c>
      <c r="H2998" s="20">
        <v>21.94</v>
      </c>
      <c r="I2998" s="24">
        <v>0.22375</v>
      </c>
      <c r="J2998" s="25"/>
      <c r="K2998" s="24">
        <v>4.9000000000000004</v>
      </c>
      <c r="L2998" s="25"/>
    </row>
    <row r="2999" spans="1:12" ht="15" customHeight="1" x14ac:dyDescent="0.25">
      <c r="A2999" s="21" t="s">
        <v>79</v>
      </c>
      <c r="B2999" s="22"/>
      <c r="C2999" s="23"/>
      <c r="D2999" s="19" t="str">
        <f>"010140"</f>
        <v>010140</v>
      </c>
      <c r="E2999" s="19" t="s">
        <v>36</v>
      </c>
      <c r="F2999" s="20">
        <v>10.119999999999999</v>
      </c>
      <c r="G2999" s="20">
        <v>157.27000000000001</v>
      </c>
      <c r="H2999" s="20">
        <v>26.03</v>
      </c>
      <c r="I2999" s="24">
        <v>0.29749999999999999</v>
      </c>
      <c r="J2999" s="25"/>
      <c r="K2999" s="24">
        <v>7.74</v>
      </c>
      <c r="L2999" s="25"/>
    </row>
    <row r="3000" spans="1:12" ht="15" customHeight="1" x14ac:dyDescent="0.25">
      <c r="A3000" s="15" t="s">
        <v>38</v>
      </c>
      <c r="B3000" s="16"/>
      <c r="C3000" s="16"/>
      <c r="D3000" s="16"/>
      <c r="E3000" s="16"/>
      <c r="F3000" s="16"/>
      <c r="G3000" s="16"/>
      <c r="H3000" s="16"/>
      <c r="I3000" s="16"/>
      <c r="J3000" s="17"/>
      <c r="K3000" s="15">
        <v>12.64</v>
      </c>
      <c r="L3000" s="17"/>
    </row>
    <row r="3001" spans="1:12" x14ac:dyDescent="0.25">
      <c r="A3001" s="18"/>
      <c r="B3001" s="18"/>
      <c r="C3001" s="18"/>
      <c r="D3001" s="18"/>
      <c r="E3001" s="18"/>
      <c r="F3001" s="18"/>
      <c r="G3001" s="18"/>
      <c r="H3001" s="18"/>
      <c r="I3001" s="18"/>
      <c r="J3001" s="18"/>
      <c r="K3001" s="18"/>
      <c r="L3001" s="18"/>
    </row>
    <row r="3002" spans="1:12" ht="15" customHeight="1" x14ac:dyDescent="0.25">
      <c r="A3002" s="10" t="s">
        <v>39</v>
      </c>
      <c r="B3002" s="11"/>
      <c r="C3002" s="12"/>
      <c r="D3002" s="8" t="s">
        <v>21</v>
      </c>
      <c r="E3002" s="13" t="s">
        <v>40</v>
      </c>
      <c r="F3002" s="14"/>
      <c r="G3002" s="8" t="s">
        <v>41</v>
      </c>
      <c r="H3002" s="8" t="s">
        <v>42</v>
      </c>
      <c r="I3002" s="8" t="s">
        <v>43</v>
      </c>
      <c r="J3002" s="13" t="s">
        <v>44</v>
      </c>
      <c r="K3002" s="26"/>
      <c r="L3002" s="14"/>
    </row>
    <row r="3003" spans="1:12" ht="15" customHeight="1" x14ac:dyDescent="0.25">
      <c r="A3003" s="15" t="s">
        <v>45</v>
      </c>
      <c r="B3003" s="16"/>
      <c r="C3003" s="16"/>
      <c r="D3003" s="16"/>
      <c r="E3003" s="16"/>
      <c r="F3003" s="16"/>
      <c r="G3003" s="16"/>
      <c r="H3003" s="16"/>
      <c r="I3003" s="16"/>
      <c r="J3003" s="17"/>
      <c r="K3003" s="15">
        <v>0</v>
      </c>
      <c r="L3003" s="17"/>
    </row>
    <row r="3004" spans="1:12" x14ac:dyDescent="0.25">
      <c r="A3004" s="18"/>
      <c r="B3004" s="18"/>
      <c r="C3004" s="18"/>
      <c r="D3004" s="18"/>
      <c r="E3004" s="18"/>
      <c r="F3004" s="18"/>
      <c r="G3004" s="18"/>
      <c r="H3004" s="18"/>
      <c r="I3004" s="18"/>
      <c r="J3004" s="18"/>
      <c r="K3004" s="18"/>
      <c r="L3004" s="18"/>
    </row>
    <row r="3005" spans="1:12" ht="15" customHeight="1" x14ac:dyDescent="0.25">
      <c r="A3005" s="27" t="s">
        <v>46</v>
      </c>
      <c r="B3005" s="27"/>
      <c r="C3005" s="27"/>
      <c r="D3005" s="27"/>
      <c r="E3005" s="27"/>
      <c r="F3005" s="27"/>
      <c r="G3005" s="27"/>
      <c r="H3005" s="27"/>
      <c r="I3005" s="27"/>
      <c r="J3005" s="27"/>
      <c r="K3005" s="27">
        <v>12.64</v>
      </c>
      <c r="L3005" s="27"/>
    </row>
    <row r="3006" spans="1:12" ht="15" customHeight="1" x14ac:dyDescent="0.25">
      <c r="A3006" s="27" t="s">
        <v>47</v>
      </c>
      <c r="B3006" s="27"/>
      <c r="C3006" s="27"/>
      <c r="D3006" s="27"/>
      <c r="E3006" s="27"/>
      <c r="F3006" s="27"/>
      <c r="G3006" s="27"/>
      <c r="H3006" s="27"/>
      <c r="I3006" s="27"/>
      <c r="J3006" s="27"/>
      <c r="K3006" s="27">
        <v>1</v>
      </c>
      <c r="L3006" s="27"/>
    </row>
    <row r="3007" spans="1:12" ht="15" customHeight="1" x14ac:dyDescent="0.25">
      <c r="A3007" s="27" t="s">
        <v>48</v>
      </c>
      <c r="B3007" s="27"/>
      <c r="C3007" s="27"/>
      <c r="D3007" s="27"/>
      <c r="E3007" s="27"/>
      <c r="F3007" s="27"/>
      <c r="G3007" s="27"/>
      <c r="H3007" s="27"/>
      <c r="I3007" s="27"/>
      <c r="J3007" s="27"/>
      <c r="K3007" s="27">
        <v>12.64</v>
      </c>
      <c r="L3007" s="27"/>
    </row>
    <row r="3008" spans="1:12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</row>
    <row r="3009" spans="1:12" ht="15" customHeight="1" x14ac:dyDescent="0.25">
      <c r="A3009" s="10" t="s">
        <v>49</v>
      </c>
      <c r="B3009" s="11"/>
      <c r="C3009" s="11"/>
      <c r="D3009" s="11"/>
      <c r="E3009" s="12"/>
      <c r="F3009" s="8" t="s">
        <v>21</v>
      </c>
      <c r="G3009" s="8" t="s">
        <v>22</v>
      </c>
      <c r="H3009" s="9" t="s">
        <v>44</v>
      </c>
      <c r="I3009" s="13" t="s">
        <v>34</v>
      </c>
      <c r="J3009" s="14"/>
      <c r="K3009" s="13" t="s">
        <v>50</v>
      </c>
      <c r="L3009" s="14"/>
    </row>
    <row r="3010" spans="1:12" ht="15" customHeight="1" x14ac:dyDescent="0.25">
      <c r="A3010" s="21" t="s">
        <v>80</v>
      </c>
      <c r="B3010" s="22"/>
      <c r="C3010" s="22"/>
      <c r="D3010" s="22"/>
      <c r="E3010" s="23"/>
      <c r="F3010" s="19" t="str">
        <f>"038013"</f>
        <v>038013</v>
      </c>
      <c r="G3010" s="19" t="s">
        <v>81</v>
      </c>
      <c r="H3010" s="20">
        <v>0.88</v>
      </c>
      <c r="I3010" s="24">
        <v>0.5</v>
      </c>
      <c r="J3010" s="25"/>
      <c r="K3010" s="24">
        <v>0.44</v>
      </c>
      <c r="L3010" s="25"/>
    </row>
    <row r="3011" spans="1:12" ht="15" customHeight="1" x14ac:dyDescent="0.25">
      <c r="A3011" s="21" t="s">
        <v>403</v>
      </c>
      <c r="B3011" s="22"/>
      <c r="C3011" s="22"/>
      <c r="D3011" s="22"/>
      <c r="E3011" s="23"/>
      <c r="F3011" s="19" t="str">
        <f>"038017"</f>
        <v>038017</v>
      </c>
      <c r="G3011" s="19" t="s">
        <v>124</v>
      </c>
      <c r="H3011" s="20">
        <v>4.76</v>
      </c>
      <c r="I3011" s="24">
        <v>0.7</v>
      </c>
      <c r="J3011" s="25"/>
      <c r="K3011" s="24">
        <v>3.33</v>
      </c>
      <c r="L3011" s="25"/>
    </row>
    <row r="3012" spans="1:12" ht="15" customHeight="1" x14ac:dyDescent="0.25">
      <c r="A3012" s="15" t="s">
        <v>51</v>
      </c>
      <c r="B3012" s="16"/>
      <c r="C3012" s="16"/>
      <c r="D3012" s="16"/>
      <c r="E3012" s="16"/>
      <c r="F3012" s="16"/>
      <c r="G3012" s="16"/>
      <c r="H3012" s="16"/>
      <c r="I3012" s="16"/>
      <c r="J3012" s="17"/>
      <c r="K3012" s="15">
        <v>3.77</v>
      </c>
      <c r="L3012" s="17"/>
    </row>
    <row r="3013" spans="1:12" x14ac:dyDescent="0.25">
      <c r="A3013" s="18"/>
      <c r="B3013" s="18"/>
      <c r="C3013" s="18"/>
      <c r="D3013" s="18"/>
      <c r="E3013" s="18"/>
      <c r="F3013" s="18"/>
      <c r="G3013" s="18"/>
      <c r="H3013" s="18"/>
      <c r="I3013" s="18"/>
      <c r="J3013" s="18"/>
      <c r="K3013" s="18"/>
      <c r="L3013" s="18"/>
    </row>
    <row r="3014" spans="1:12" ht="15" customHeight="1" x14ac:dyDescent="0.25">
      <c r="A3014" s="10" t="s">
        <v>52</v>
      </c>
      <c r="B3014" s="11"/>
      <c r="C3014" s="11"/>
      <c r="D3014" s="11"/>
      <c r="E3014" s="12"/>
      <c r="F3014" s="8" t="s">
        <v>21</v>
      </c>
      <c r="G3014" s="8" t="s">
        <v>22</v>
      </c>
      <c r="H3014" s="9" t="s">
        <v>44</v>
      </c>
      <c r="I3014" s="13" t="s">
        <v>34</v>
      </c>
      <c r="J3014" s="14"/>
      <c r="K3014" s="13" t="s">
        <v>50</v>
      </c>
      <c r="L3014" s="14"/>
    </row>
    <row r="3015" spans="1:12" ht="30" customHeight="1" x14ac:dyDescent="0.25">
      <c r="A3015" s="21" t="s">
        <v>404</v>
      </c>
      <c r="B3015" s="22"/>
      <c r="C3015" s="22"/>
      <c r="D3015" s="22"/>
      <c r="E3015" s="23"/>
      <c r="F3015" s="19" t="s">
        <v>405</v>
      </c>
      <c r="G3015" s="19" t="s">
        <v>13</v>
      </c>
      <c r="H3015" s="20">
        <v>1</v>
      </c>
      <c r="I3015" s="24">
        <v>3.18</v>
      </c>
      <c r="J3015" s="25"/>
      <c r="K3015" s="24">
        <v>3.18</v>
      </c>
      <c r="L3015" s="25"/>
    </row>
    <row r="3016" spans="1:12" ht="15" customHeight="1" x14ac:dyDescent="0.25">
      <c r="A3016" s="15" t="s">
        <v>53</v>
      </c>
      <c r="B3016" s="16"/>
      <c r="C3016" s="16"/>
      <c r="D3016" s="16"/>
      <c r="E3016" s="16"/>
      <c r="F3016" s="16"/>
      <c r="G3016" s="16"/>
      <c r="H3016" s="16"/>
      <c r="I3016" s="16"/>
      <c r="J3016" s="17"/>
      <c r="K3016" s="15">
        <v>3.18</v>
      </c>
      <c r="L3016" s="17"/>
    </row>
    <row r="3017" spans="1:12" x14ac:dyDescent="0.25">
      <c r="A3017" s="18"/>
      <c r="B3017" s="18"/>
      <c r="C3017" s="18"/>
      <c r="D3017" s="18"/>
      <c r="E3017" s="18"/>
      <c r="F3017" s="18"/>
      <c r="G3017" s="18"/>
      <c r="H3017" s="18"/>
      <c r="I3017" s="18"/>
      <c r="J3017" s="18"/>
      <c r="K3017" s="18"/>
      <c r="L3017" s="18"/>
    </row>
    <row r="3018" spans="1:12" ht="15" customHeight="1" x14ac:dyDescent="0.25">
      <c r="A3018" s="10" t="s">
        <v>54</v>
      </c>
      <c r="B3018" s="11"/>
      <c r="C3018" s="12"/>
      <c r="D3018" s="8" t="s">
        <v>21</v>
      </c>
      <c r="E3018" s="8" t="s">
        <v>22</v>
      </c>
      <c r="F3018" s="9" t="s">
        <v>55</v>
      </c>
      <c r="G3018" s="8" t="s">
        <v>56</v>
      </c>
      <c r="H3018" s="8" t="s">
        <v>57</v>
      </c>
      <c r="I3018" s="8" t="s">
        <v>58</v>
      </c>
      <c r="J3018" s="9" t="s">
        <v>59</v>
      </c>
      <c r="K3018" s="9" t="s">
        <v>34</v>
      </c>
      <c r="L3018" s="9" t="s">
        <v>50</v>
      </c>
    </row>
    <row r="3019" spans="1:12" ht="15" customHeight="1" x14ac:dyDescent="0.25">
      <c r="A3019" s="15" t="s">
        <v>60</v>
      </c>
      <c r="B3019" s="16"/>
      <c r="C3019" s="16"/>
      <c r="D3019" s="16"/>
      <c r="E3019" s="16"/>
      <c r="F3019" s="16"/>
      <c r="G3019" s="16"/>
      <c r="H3019" s="16"/>
      <c r="I3019" s="16"/>
      <c r="J3019" s="17"/>
      <c r="K3019" s="15">
        <v>0</v>
      </c>
      <c r="L3019" s="17"/>
    </row>
    <row r="3020" spans="1:12" x14ac:dyDescent="0.25">
      <c r="A3020" s="18"/>
      <c r="B3020" s="18"/>
      <c r="C3020" s="18"/>
      <c r="D3020" s="18"/>
      <c r="E3020" s="18"/>
      <c r="F3020" s="18"/>
      <c r="G3020" s="18"/>
      <c r="H3020" s="18"/>
      <c r="I3020" s="18"/>
      <c r="J3020" s="18"/>
      <c r="K3020" s="18"/>
      <c r="L3020" s="18"/>
    </row>
    <row r="3021" spans="1:12" ht="15" customHeight="1" x14ac:dyDescent="0.25">
      <c r="A3021" s="27" t="s">
        <v>61</v>
      </c>
      <c r="B3021" s="27"/>
      <c r="C3021" s="27"/>
      <c r="D3021" s="27"/>
      <c r="E3021" s="27"/>
      <c r="F3021" s="27"/>
      <c r="G3021" s="27"/>
      <c r="H3021" s="27"/>
      <c r="I3021" s="27"/>
      <c r="J3021" s="27"/>
      <c r="K3021" s="27">
        <v>19.59</v>
      </c>
      <c r="L3021" s="27"/>
    </row>
    <row r="3022" spans="1:12" ht="15" customHeight="1" x14ac:dyDescent="0.25">
      <c r="A3022" s="27" t="s">
        <v>62</v>
      </c>
      <c r="B3022" s="27"/>
      <c r="C3022" s="27"/>
      <c r="D3022" s="27"/>
      <c r="E3022" s="27"/>
      <c r="F3022" s="27"/>
      <c r="G3022" s="27"/>
      <c r="H3022" s="27"/>
      <c r="I3022" s="27"/>
      <c r="J3022" s="27"/>
      <c r="K3022" s="27">
        <v>6.51</v>
      </c>
      <c r="L3022" s="27"/>
    </row>
    <row r="3023" spans="1:12" ht="15" customHeight="1" x14ac:dyDescent="0.25">
      <c r="A3023" s="27" t="s">
        <v>63</v>
      </c>
      <c r="B3023" s="27"/>
      <c r="C3023" s="27"/>
      <c r="D3023" s="27"/>
      <c r="E3023" s="27"/>
      <c r="F3023" s="27"/>
      <c r="G3023" s="27"/>
      <c r="H3023" s="27"/>
      <c r="I3023" s="27"/>
      <c r="J3023" s="27"/>
      <c r="K3023" s="27">
        <v>26.1</v>
      </c>
      <c r="L3023" s="27"/>
    </row>
    <row r="3024" spans="1:12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</row>
    <row r="3025" spans="1:12" ht="15" customHeight="1" x14ac:dyDescent="0.25">
      <c r="A3025" s="3" t="s">
        <v>8</v>
      </c>
      <c r="B3025" s="6" t="s">
        <v>9</v>
      </c>
      <c r="C3025" s="6"/>
      <c r="D3025" s="6"/>
      <c r="E3025" s="6"/>
      <c r="F3025" s="6"/>
      <c r="G3025" s="6"/>
      <c r="H3025" s="6"/>
      <c r="I3025" s="6"/>
      <c r="J3025" s="6"/>
      <c r="K3025" s="6"/>
      <c r="L3025" s="6"/>
    </row>
    <row r="3026" spans="1:12" ht="30" customHeight="1" x14ac:dyDescent="0.25">
      <c r="A3026" s="3" t="s">
        <v>10</v>
      </c>
      <c r="B3026" s="6" t="s">
        <v>406</v>
      </c>
      <c r="C3026" s="6"/>
      <c r="D3026" s="6"/>
      <c r="E3026" s="6"/>
      <c r="F3026" s="6"/>
      <c r="G3026" s="6"/>
      <c r="H3026" s="6"/>
      <c r="I3026" s="6"/>
      <c r="J3026" s="6"/>
      <c r="K3026" s="3" t="s">
        <v>12</v>
      </c>
      <c r="L3026" s="4" t="s">
        <v>13</v>
      </c>
    </row>
    <row r="3027" spans="1:12" ht="15" customHeight="1" x14ac:dyDescent="0.25">
      <c r="A3027" s="3" t="s">
        <v>14</v>
      </c>
      <c r="B3027" s="6" t="s">
        <v>15</v>
      </c>
      <c r="C3027" s="6"/>
      <c r="D3027" s="7" t="s">
        <v>16</v>
      </c>
      <c r="E3027" s="7"/>
      <c r="F3027" s="6" t="str">
        <f>"190104"</f>
        <v>190104</v>
      </c>
      <c r="G3027" s="6"/>
      <c r="H3027" s="3" t="s">
        <v>17</v>
      </c>
      <c r="I3027" s="6" t="s">
        <v>18</v>
      </c>
      <c r="J3027" s="6"/>
      <c r="K3027" s="3" t="s">
        <v>19</v>
      </c>
      <c r="L3027" s="5">
        <v>1</v>
      </c>
    </row>
    <row r="3028" spans="1:12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</row>
    <row r="3029" spans="1:12" ht="15" customHeight="1" x14ac:dyDescent="0.25">
      <c r="A3029" s="10" t="s">
        <v>20</v>
      </c>
      <c r="B3029" s="11"/>
      <c r="C3029" s="12"/>
      <c r="D3029" s="8" t="s">
        <v>21</v>
      </c>
      <c r="E3029" s="8" t="s">
        <v>22</v>
      </c>
      <c r="F3029" s="9" t="s">
        <v>23</v>
      </c>
      <c r="G3029" s="9" t="s">
        <v>24</v>
      </c>
      <c r="H3029" s="9" t="s">
        <v>25</v>
      </c>
      <c r="I3029" s="9" t="s">
        <v>26</v>
      </c>
      <c r="J3029" s="9" t="s">
        <v>27</v>
      </c>
      <c r="K3029" s="13" t="s">
        <v>28</v>
      </c>
      <c r="L3029" s="14"/>
    </row>
    <row r="3030" spans="1:12" ht="15" customHeight="1" x14ac:dyDescent="0.25">
      <c r="A3030" s="15" t="s">
        <v>29</v>
      </c>
      <c r="B3030" s="16"/>
      <c r="C3030" s="16"/>
      <c r="D3030" s="16"/>
      <c r="E3030" s="16"/>
      <c r="F3030" s="16"/>
      <c r="G3030" s="16"/>
      <c r="H3030" s="16"/>
      <c r="I3030" s="16"/>
      <c r="J3030" s="17"/>
      <c r="K3030" s="15">
        <v>0</v>
      </c>
      <c r="L3030" s="17"/>
    </row>
    <row r="3031" spans="1:12" x14ac:dyDescent="0.25">
      <c r="A3031" s="18"/>
      <c r="B3031" s="18"/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</row>
    <row r="3032" spans="1:12" ht="15" customHeight="1" x14ac:dyDescent="0.25">
      <c r="A3032" s="10" t="s">
        <v>30</v>
      </c>
      <c r="B3032" s="11"/>
      <c r="C3032" s="12"/>
      <c r="D3032" s="8" t="s">
        <v>21</v>
      </c>
      <c r="E3032" s="8" t="s">
        <v>22</v>
      </c>
      <c r="F3032" s="9" t="s">
        <v>31</v>
      </c>
      <c r="G3032" s="9" t="s">
        <v>32</v>
      </c>
      <c r="H3032" s="9" t="s">
        <v>33</v>
      </c>
      <c r="I3032" s="13" t="s">
        <v>34</v>
      </c>
      <c r="J3032" s="14"/>
      <c r="K3032" s="13" t="s">
        <v>28</v>
      </c>
      <c r="L3032" s="14"/>
    </row>
    <row r="3033" spans="1:12" ht="15" customHeight="1" x14ac:dyDescent="0.25">
      <c r="A3033" s="21" t="s">
        <v>76</v>
      </c>
      <c r="B3033" s="22"/>
      <c r="C3033" s="23"/>
      <c r="D3033" s="19" t="str">
        <f>"010101"</f>
        <v>010101</v>
      </c>
      <c r="E3033" s="19" t="s">
        <v>36</v>
      </c>
      <c r="F3033" s="20">
        <v>8.5299999999999994</v>
      </c>
      <c r="G3033" s="20">
        <v>157.27000000000001</v>
      </c>
      <c r="H3033" s="20">
        <v>21.94</v>
      </c>
      <c r="I3033" s="24">
        <v>0.3735</v>
      </c>
      <c r="J3033" s="25"/>
      <c r="K3033" s="24">
        <v>8.19</v>
      </c>
      <c r="L3033" s="25"/>
    </row>
    <row r="3034" spans="1:12" ht="15" customHeight="1" x14ac:dyDescent="0.25">
      <c r="A3034" s="21" t="s">
        <v>79</v>
      </c>
      <c r="B3034" s="22"/>
      <c r="C3034" s="23"/>
      <c r="D3034" s="19" t="str">
        <f>"010140"</f>
        <v>010140</v>
      </c>
      <c r="E3034" s="19" t="s">
        <v>36</v>
      </c>
      <c r="F3034" s="20">
        <v>10.119999999999999</v>
      </c>
      <c r="G3034" s="20">
        <v>157.27000000000001</v>
      </c>
      <c r="H3034" s="20">
        <v>26.03</v>
      </c>
      <c r="I3034" s="24">
        <v>0.44750000000000001</v>
      </c>
      <c r="J3034" s="25"/>
      <c r="K3034" s="24">
        <v>11.64</v>
      </c>
      <c r="L3034" s="25"/>
    </row>
    <row r="3035" spans="1:12" ht="15" customHeight="1" x14ac:dyDescent="0.25">
      <c r="A3035" s="15" t="s">
        <v>38</v>
      </c>
      <c r="B3035" s="16"/>
      <c r="C3035" s="16"/>
      <c r="D3035" s="16"/>
      <c r="E3035" s="16"/>
      <c r="F3035" s="16"/>
      <c r="G3035" s="16"/>
      <c r="H3035" s="16"/>
      <c r="I3035" s="16"/>
      <c r="J3035" s="17"/>
      <c r="K3035" s="15">
        <v>19.829999999999998</v>
      </c>
      <c r="L3035" s="17"/>
    </row>
    <row r="3036" spans="1:12" x14ac:dyDescent="0.25">
      <c r="A3036" s="18"/>
      <c r="B3036" s="18"/>
      <c r="C3036" s="18"/>
      <c r="D3036" s="18"/>
      <c r="E3036" s="18"/>
      <c r="F3036" s="18"/>
      <c r="G3036" s="18"/>
      <c r="H3036" s="18"/>
      <c r="I3036" s="18"/>
      <c r="J3036" s="18"/>
      <c r="K3036" s="18"/>
      <c r="L3036" s="18"/>
    </row>
    <row r="3037" spans="1:12" ht="15" customHeight="1" x14ac:dyDescent="0.25">
      <c r="A3037" s="10" t="s">
        <v>39</v>
      </c>
      <c r="B3037" s="11"/>
      <c r="C3037" s="12"/>
      <c r="D3037" s="8" t="s">
        <v>21</v>
      </c>
      <c r="E3037" s="13" t="s">
        <v>40</v>
      </c>
      <c r="F3037" s="14"/>
      <c r="G3037" s="8" t="s">
        <v>41</v>
      </c>
      <c r="H3037" s="8" t="s">
        <v>42</v>
      </c>
      <c r="I3037" s="8" t="s">
        <v>43</v>
      </c>
      <c r="J3037" s="13" t="s">
        <v>44</v>
      </c>
      <c r="K3037" s="26"/>
      <c r="L3037" s="14"/>
    </row>
    <row r="3038" spans="1:12" ht="15" customHeight="1" x14ac:dyDescent="0.25">
      <c r="A3038" s="15" t="s">
        <v>45</v>
      </c>
      <c r="B3038" s="16"/>
      <c r="C3038" s="16"/>
      <c r="D3038" s="16"/>
      <c r="E3038" s="16"/>
      <c r="F3038" s="16"/>
      <c r="G3038" s="16"/>
      <c r="H3038" s="16"/>
      <c r="I3038" s="16"/>
      <c r="J3038" s="17"/>
      <c r="K3038" s="15">
        <v>0</v>
      </c>
      <c r="L3038" s="17"/>
    </row>
    <row r="3039" spans="1:12" x14ac:dyDescent="0.25">
      <c r="A3039" s="18"/>
      <c r="B3039" s="18"/>
      <c r="C3039" s="18"/>
      <c r="D3039" s="18"/>
      <c r="E3039" s="18"/>
      <c r="F3039" s="18"/>
      <c r="G3039" s="18"/>
      <c r="H3039" s="18"/>
      <c r="I3039" s="18"/>
      <c r="J3039" s="18"/>
      <c r="K3039" s="18"/>
      <c r="L3039" s="18"/>
    </row>
    <row r="3040" spans="1:12" ht="15" customHeight="1" x14ac:dyDescent="0.25">
      <c r="A3040" s="27" t="s">
        <v>46</v>
      </c>
      <c r="B3040" s="27"/>
      <c r="C3040" s="27"/>
      <c r="D3040" s="27"/>
      <c r="E3040" s="27"/>
      <c r="F3040" s="27"/>
      <c r="G3040" s="27"/>
      <c r="H3040" s="27"/>
      <c r="I3040" s="27"/>
      <c r="J3040" s="27"/>
      <c r="K3040" s="27">
        <v>19.829999999999998</v>
      </c>
      <c r="L3040" s="27"/>
    </row>
    <row r="3041" spans="1:12" ht="15" customHeight="1" x14ac:dyDescent="0.25">
      <c r="A3041" s="27" t="s">
        <v>47</v>
      </c>
      <c r="B3041" s="27"/>
      <c r="C3041" s="27"/>
      <c r="D3041" s="27"/>
      <c r="E3041" s="27"/>
      <c r="F3041" s="27"/>
      <c r="G3041" s="27"/>
      <c r="H3041" s="27"/>
      <c r="I3041" s="27"/>
      <c r="J3041" s="27"/>
      <c r="K3041" s="27">
        <v>1</v>
      </c>
      <c r="L3041" s="27"/>
    </row>
    <row r="3042" spans="1:12" ht="15" customHeight="1" x14ac:dyDescent="0.25">
      <c r="A3042" s="27" t="s">
        <v>48</v>
      </c>
      <c r="B3042" s="27"/>
      <c r="C3042" s="27"/>
      <c r="D3042" s="27"/>
      <c r="E3042" s="27"/>
      <c r="F3042" s="27"/>
      <c r="G3042" s="27"/>
      <c r="H3042" s="27"/>
      <c r="I3042" s="27"/>
      <c r="J3042" s="27"/>
      <c r="K3042" s="27">
        <v>19.829999999999998</v>
      </c>
      <c r="L3042" s="27"/>
    </row>
    <row r="3043" spans="1:12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</row>
    <row r="3044" spans="1:12" ht="15" customHeight="1" x14ac:dyDescent="0.25">
      <c r="A3044" s="10" t="s">
        <v>49</v>
      </c>
      <c r="B3044" s="11"/>
      <c r="C3044" s="11"/>
      <c r="D3044" s="11"/>
      <c r="E3044" s="12"/>
      <c r="F3044" s="8" t="s">
        <v>21</v>
      </c>
      <c r="G3044" s="8" t="s">
        <v>22</v>
      </c>
      <c r="H3044" s="9" t="s">
        <v>44</v>
      </c>
      <c r="I3044" s="13" t="s">
        <v>34</v>
      </c>
      <c r="J3044" s="14"/>
      <c r="K3044" s="13" t="s">
        <v>50</v>
      </c>
      <c r="L3044" s="14"/>
    </row>
    <row r="3045" spans="1:12" ht="15" customHeight="1" x14ac:dyDescent="0.25">
      <c r="A3045" s="21" t="s">
        <v>407</v>
      </c>
      <c r="B3045" s="22"/>
      <c r="C3045" s="22"/>
      <c r="D3045" s="22"/>
      <c r="E3045" s="23"/>
      <c r="F3045" s="19" t="str">
        <f>"037513"</f>
        <v>037513</v>
      </c>
      <c r="G3045" s="19" t="s">
        <v>109</v>
      </c>
      <c r="H3045" s="20">
        <v>23.11</v>
      </c>
      <c r="I3045" s="24">
        <v>0.24</v>
      </c>
      <c r="J3045" s="25"/>
      <c r="K3045" s="24">
        <v>5.54</v>
      </c>
      <c r="L3045" s="25"/>
    </row>
    <row r="3046" spans="1:12" ht="15" customHeight="1" x14ac:dyDescent="0.25">
      <c r="A3046" s="21" t="s">
        <v>80</v>
      </c>
      <c r="B3046" s="22"/>
      <c r="C3046" s="22"/>
      <c r="D3046" s="22"/>
      <c r="E3046" s="23"/>
      <c r="F3046" s="19" t="str">
        <f>"038013"</f>
        <v>038013</v>
      </c>
      <c r="G3046" s="19" t="s">
        <v>81</v>
      </c>
      <c r="H3046" s="20">
        <v>0.88</v>
      </c>
      <c r="I3046" s="24">
        <v>0.25</v>
      </c>
      <c r="J3046" s="25"/>
      <c r="K3046" s="24">
        <v>0.22</v>
      </c>
      <c r="L3046" s="25"/>
    </row>
    <row r="3047" spans="1:12" ht="15" customHeight="1" x14ac:dyDescent="0.25">
      <c r="A3047" s="15" t="s">
        <v>51</v>
      </c>
      <c r="B3047" s="16"/>
      <c r="C3047" s="16"/>
      <c r="D3047" s="16"/>
      <c r="E3047" s="16"/>
      <c r="F3047" s="16"/>
      <c r="G3047" s="16"/>
      <c r="H3047" s="16"/>
      <c r="I3047" s="16"/>
      <c r="J3047" s="17"/>
      <c r="K3047" s="15">
        <v>5.76</v>
      </c>
      <c r="L3047" s="17"/>
    </row>
    <row r="3048" spans="1:12" x14ac:dyDescent="0.25">
      <c r="A3048" s="18"/>
      <c r="B3048" s="18"/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</row>
    <row r="3049" spans="1:12" ht="15" customHeight="1" x14ac:dyDescent="0.25">
      <c r="A3049" s="10" t="s">
        <v>52</v>
      </c>
      <c r="B3049" s="11"/>
      <c r="C3049" s="11"/>
      <c r="D3049" s="11"/>
      <c r="E3049" s="12"/>
      <c r="F3049" s="8" t="s">
        <v>21</v>
      </c>
      <c r="G3049" s="8" t="s">
        <v>22</v>
      </c>
      <c r="H3049" s="9" t="s">
        <v>44</v>
      </c>
      <c r="I3049" s="13" t="s">
        <v>34</v>
      </c>
      <c r="J3049" s="14"/>
      <c r="K3049" s="13" t="s">
        <v>50</v>
      </c>
      <c r="L3049" s="14"/>
    </row>
    <row r="3050" spans="1:12" ht="30" customHeight="1" x14ac:dyDescent="0.25">
      <c r="A3050" s="21" t="s">
        <v>404</v>
      </c>
      <c r="B3050" s="22"/>
      <c r="C3050" s="22"/>
      <c r="D3050" s="22"/>
      <c r="E3050" s="23"/>
      <c r="F3050" s="19" t="s">
        <v>405</v>
      </c>
      <c r="G3050" s="19" t="s">
        <v>13</v>
      </c>
      <c r="H3050" s="20">
        <v>1</v>
      </c>
      <c r="I3050" s="24">
        <v>3.18</v>
      </c>
      <c r="J3050" s="25"/>
      <c r="K3050" s="24">
        <v>3.18</v>
      </c>
      <c r="L3050" s="25"/>
    </row>
    <row r="3051" spans="1:12" ht="15" customHeight="1" x14ac:dyDescent="0.25">
      <c r="A3051" s="15" t="s">
        <v>53</v>
      </c>
      <c r="B3051" s="16"/>
      <c r="C3051" s="16"/>
      <c r="D3051" s="16"/>
      <c r="E3051" s="16"/>
      <c r="F3051" s="16"/>
      <c r="G3051" s="16"/>
      <c r="H3051" s="16"/>
      <c r="I3051" s="16"/>
      <c r="J3051" s="17"/>
      <c r="K3051" s="15">
        <v>3.18</v>
      </c>
      <c r="L3051" s="17"/>
    </row>
    <row r="3052" spans="1:12" x14ac:dyDescent="0.25">
      <c r="A3052" s="18"/>
      <c r="B3052" s="18"/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</row>
    <row r="3053" spans="1:12" ht="15" customHeight="1" x14ac:dyDescent="0.25">
      <c r="A3053" s="10" t="s">
        <v>54</v>
      </c>
      <c r="B3053" s="11"/>
      <c r="C3053" s="12"/>
      <c r="D3053" s="8" t="s">
        <v>21</v>
      </c>
      <c r="E3053" s="8" t="s">
        <v>22</v>
      </c>
      <c r="F3053" s="9" t="s">
        <v>55</v>
      </c>
      <c r="G3053" s="8" t="s">
        <v>56</v>
      </c>
      <c r="H3053" s="8" t="s">
        <v>57</v>
      </c>
      <c r="I3053" s="8" t="s">
        <v>58</v>
      </c>
      <c r="J3053" s="9" t="s">
        <v>59</v>
      </c>
      <c r="K3053" s="9" t="s">
        <v>34</v>
      </c>
      <c r="L3053" s="9" t="s">
        <v>50</v>
      </c>
    </row>
    <row r="3054" spans="1:12" ht="15" customHeight="1" x14ac:dyDescent="0.25">
      <c r="A3054" s="15" t="s">
        <v>60</v>
      </c>
      <c r="B3054" s="16"/>
      <c r="C3054" s="16"/>
      <c r="D3054" s="16"/>
      <c r="E3054" s="16"/>
      <c r="F3054" s="16"/>
      <c r="G3054" s="16"/>
      <c r="H3054" s="16"/>
      <c r="I3054" s="16"/>
      <c r="J3054" s="17"/>
      <c r="K3054" s="15">
        <v>0</v>
      </c>
      <c r="L3054" s="17"/>
    </row>
    <row r="3055" spans="1:12" x14ac:dyDescent="0.25">
      <c r="A3055" s="18"/>
      <c r="B3055" s="18"/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</row>
    <row r="3056" spans="1:12" ht="15" customHeight="1" x14ac:dyDescent="0.25">
      <c r="A3056" s="27" t="s">
        <v>61</v>
      </c>
      <c r="B3056" s="27"/>
      <c r="C3056" s="27"/>
      <c r="D3056" s="27"/>
      <c r="E3056" s="27"/>
      <c r="F3056" s="27"/>
      <c r="G3056" s="27"/>
      <c r="H3056" s="27"/>
      <c r="I3056" s="27"/>
      <c r="J3056" s="27"/>
      <c r="K3056" s="27">
        <v>28.77</v>
      </c>
      <c r="L3056" s="27"/>
    </row>
    <row r="3057" spans="1:12" ht="15" customHeight="1" x14ac:dyDescent="0.25">
      <c r="A3057" s="27" t="s">
        <v>62</v>
      </c>
      <c r="B3057" s="27"/>
      <c r="C3057" s="27"/>
      <c r="D3057" s="27"/>
      <c r="E3057" s="27"/>
      <c r="F3057" s="27"/>
      <c r="G3057" s="27"/>
      <c r="H3057" s="27"/>
      <c r="I3057" s="27"/>
      <c r="J3057" s="27"/>
      <c r="K3057" s="27">
        <v>9.57</v>
      </c>
      <c r="L3057" s="27"/>
    </row>
    <row r="3058" spans="1:12" ht="15" customHeight="1" x14ac:dyDescent="0.25">
      <c r="A3058" s="27" t="s">
        <v>63</v>
      </c>
      <c r="B3058" s="27"/>
      <c r="C3058" s="27"/>
      <c r="D3058" s="27"/>
      <c r="E3058" s="27"/>
      <c r="F3058" s="27"/>
      <c r="G3058" s="27"/>
      <c r="H3058" s="27"/>
      <c r="I3058" s="27"/>
      <c r="J3058" s="27"/>
      <c r="K3058" s="27">
        <v>38.340000000000003</v>
      </c>
      <c r="L3058" s="27"/>
    </row>
    <row r="3059" spans="1:12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</row>
    <row r="3060" spans="1:12" ht="15" customHeight="1" x14ac:dyDescent="0.25">
      <c r="A3060" s="3" t="s">
        <v>8</v>
      </c>
      <c r="B3060" s="6" t="s">
        <v>9</v>
      </c>
      <c r="C3060" s="6"/>
      <c r="D3060" s="6"/>
      <c r="E3060" s="6"/>
      <c r="F3060" s="6"/>
      <c r="G3060" s="6"/>
      <c r="H3060" s="6"/>
      <c r="I3060" s="6"/>
      <c r="J3060" s="6"/>
      <c r="K3060" s="6"/>
      <c r="L3060" s="6"/>
    </row>
    <row r="3061" spans="1:12" ht="30" customHeight="1" x14ac:dyDescent="0.25">
      <c r="A3061" s="3" t="s">
        <v>10</v>
      </c>
      <c r="B3061" s="6" t="s">
        <v>408</v>
      </c>
      <c r="C3061" s="6"/>
      <c r="D3061" s="6"/>
      <c r="E3061" s="6"/>
      <c r="F3061" s="6"/>
      <c r="G3061" s="6"/>
      <c r="H3061" s="6"/>
      <c r="I3061" s="6"/>
      <c r="J3061" s="6"/>
      <c r="K3061" s="3" t="s">
        <v>12</v>
      </c>
      <c r="L3061" s="4" t="s">
        <v>13</v>
      </c>
    </row>
    <row r="3062" spans="1:12" ht="15" customHeight="1" x14ac:dyDescent="0.25">
      <c r="A3062" s="3" t="s">
        <v>14</v>
      </c>
      <c r="B3062" s="6" t="s">
        <v>15</v>
      </c>
      <c r="C3062" s="6"/>
      <c r="D3062" s="7" t="s">
        <v>16</v>
      </c>
      <c r="E3062" s="7"/>
      <c r="F3062" s="6" t="str">
        <f>"190103"</f>
        <v>190103</v>
      </c>
      <c r="G3062" s="6"/>
      <c r="H3062" s="3" t="s">
        <v>17</v>
      </c>
      <c r="I3062" s="6" t="s">
        <v>18</v>
      </c>
      <c r="J3062" s="6"/>
      <c r="K3062" s="3" t="s">
        <v>19</v>
      </c>
      <c r="L3062" s="5">
        <v>1</v>
      </c>
    </row>
    <row r="3063" spans="1:12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</row>
    <row r="3064" spans="1:12" ht="15" customHeight="1" x14ac:dyDescent="0.25">
      <c r="A3064" s="10" t="s">
        <v>20</v>
      </c>
      <c r="B3064" s="11"/>
      <c r="C3064" s="12"/>
      <c r="D3064" s="8" t="s">
        <v>21</v>
      </c>
      <c r="E3064" s="8" t="s">
        <v>22</v>
      </c>
      <c r="F3064" s="9" t="s">
        <v>23</v>
      </c>
      <c r="G3064" s="9" t="s">
        <v>24</v>
      </c>
      <c r="H3064" s="9" t="s">
        <v>25</v>
      </c>
      <c r="I3064" s="9" t="s">
        <v>26</v>
      </c>
      <c r="J3064" s="9" t="s">
        <v>27</v>
      </c>
      <c r="K3064" s="13" t="s">
        <v>28</v>
      </c>
      <c r="L3064" s="14"/>
    </row>
    <row r="3065" spans="1:12" ht="15" customHeight="1" x14ac:dyDescent="0.25">
      <c r="A3065" s="15" t="s">
        <v>29</v>
      </c>
      <c r="B3065" s="16"/>
      <c r="C3065" s="16"/>
      <c r="D3065" s="16"/>
      <c r="E3065" s="16"/>
      <c r="F3065" s="16"/>
      <c r="G3065" s="16"/>
      <c r="H3065" s="16"/>
      <c r="I3065" s="16"/>
      <c r="J3065" s="17"/>
      <c r="K3065" s="15">
        <v>0</v>
      </c>
      <c r="L3065" s="17"/>
    </row>
    <row r="3066" spans="1:12" x14ac:dyDescent="0.25">
      <c r="A3066" s="18"/>
      <c r="B3066" s="18"/>
      <c r="C3066" s="18"/>
      <c r="D3066" s="18"/>
      <c r="E3066" s="18"/>
      <c r="F3066" s="18"/>
      <c r="G3066" s="18"/>
      <c r="H3066" s="18"/>
      <c r="I3066" s="18"/>
      <c r="J3066" s="18"/>
      <c r="K3066" s="18"/>
      <c r="L3066" s="18"/>
    </row>
    <row r="3067" spans="1:12" ht="15" customHeight="1" x14ac:dyDescent="0.25">
      <c r="A3067" s="10" t="s">
        <v>30</v>
      </c>
      <c r="B3067" s="11"/>
      <c r="C3067" s="12"/>
      <c r="D3067" s="8" t="s">
        <v>21</v>
      </c>
      <c r="E3067" s="8" t="s">
        <v>22</v>
      </c>
      <c r="F3067" s="9" t="s">
        <v>31</v>
      </c>
      <c r="G3067" s="9" t="s">
        <v>32</v>
      </c>
      <c r="H3067" s="9" t="s">
        <v>33</v>
      </c>
      <c r="I3067" s="13" t="s">
        <v>34</v>
      </c>
      <c r="J3067" s="14"/>
      <c r="K3067" s="13" t="s">
        <v>28</v>
      </c>
      <c r="L3067" s="14"/>
    </row>
    <row r="3068" spans="1:12" ht="15" customHeight="1" x14ac:dyDescent="0.25">
      <c r="A3068" s="21" t="s">
        <v>76</v>
      </c>
      <c r="B3068" s="22"/>
      <c r="C3068" s="23"/>
      <c r="D3068" s="19" t="str">
        <f>"010101"</f>
        <v>010101</v>
      </c>
      <c r="E3068" s="19" t="s">
        <v>36</v>
      </c>
      <c r="F3068" s="20">
        <v>8.5299999999999994</v>
      </c>
      <c r="G3068" s="20">
        <v>157.27000000000001</v>
      </c>
      <c r="H3068" s="20">
        <v>21.94</v>
      </c>
      <c r="I3068" s="24">
        <v>0.23100000000000001</v>
      </c>
      <c r="J3068" s="25"/>
      <c r="K3068" s="24">
        <v>5.0599999999999996</v>
      </c>
      <c r="L3068" s="25"/>
    </row>
    <row r="3069" spans="1:12" ht="15" customHeight="1" x14ac:dyDescent="0.25">
      <c r="A3069" s="21" t="s">
        <v>79</v>
      </c>
      <c r="B3069" s="22"/>
      <c r="C3069" s="23"/>
      <c r="D3069" s="19" t="str">
        <f>"010140"</f>
        <v>010140</v>
      </c>
      <c r="E3069" s="19" t="s">
        <v>36</v>
      </c>
      <c r="F3069" s="20">
        <v>10.119999999999999</v>
      </c>
      <c r="G3069" s="20">
        <v>157.27000000000001</v>
      </c>
      <c r="H3069" s="20">
        <v>26.03</v>
      </c>
      <c r="I3069" s="24">
        <v>0.29899999999999999</v>
      </c>
      <c r="J3069" s="25"/>
      <c r="K3069" s="24">
        <v>7.78</v>
      </c>
      <c r="L3069" s="25"/>
    </row>
    <row r="3070" spans="1:12" ht="15" customHeight="1" x14ac:dyDescent="0.25">
      <c r="A3070" s="15" t="s">
        <v>38</v>
      </c>
      <c r="B3070" s="16"/>
      <c r="C3070" s="16"/>
      <c r="D3070" s="16"/>
      <c r="E3070" s="16"/>
      <c r="F3070" s="16"/>
      <c r="G3070" s="16"/>
      <c r="H3070" s="16"/>
      <c r="I3070" s="16"/>
      <c r="J3070" s="17"/>
      <c r="K3070" s="15">
        <v>12.84</v>
      </c>
      <c r="L3070" s="17"/>
    </row>
    <row r="3071" spans="1:12" x14ac:dyDescent="0.25">
      <c r="A3071" s="18"/>
      <c r="B3071" s="18"/>
      <c r="C3071" s="18"/>
      <c r="D3071" s="18"/>
      <c r="E3071" s="18"/>
      <c r="F3071" s="18"/>
      <c r="G3071" s="18"/>
      <c r="H3071" s="18"/>
      <c r="I3071" s="18"/>
      <c r="J3071" s="18"/>
      <c r="K3071" s="18"/>
      <c r="L3071" s="18"/>
    </row>
    <row r="3072" spans="1:12" ht="15" customHeight="1" x14ac:dyDescent="0.25">
      <c r="A3072" s="10" t="s">
        <v>39</v>
      </c>
      <c r="B3072" s="11"/>
      <c r="C3072" s="12"/>
      <c r="D3072" s="8" t="s">
        <v>21</v>
      </c>
      <c r="E3072" s="13" t="s">
        <v>40</v>
      </c>
      <c r="F3072" s="14"/>
      <c r="G3072" s="8" t="s">
        <v>41</v>
      </c>
      <c r="H3072" s="8" t="s">
        <v>42</v>
      </c>
      <c r="I3072" s="8" t="s">
        <v>43</v>
      </c>
      <c r="J3072" s="13" t="s">
        <v>44</v>
      </c>
      <c r="K3072" s="26"/>
      <c r="L3072" s="14"/>
    </row>
    <row r="3073" spans="1:12" ht="15" customHeight="1" x14ac:dyDescent="0.25">
      <c r="A3073" s="15" t="s">
        <v>45</v>
      </c>
      <c r="B3073" s="16"/>
      <c r="C3073" s="16"/>
      <c r="D3073" s="16"/>
      <c r="E3073" s="16"/>
      <c r="F3073" s="16"/>
      <c r="G3073" s="16"/>
      <c r="H3073" s="16"/>
      <c r="I3073" s="16"/>
      <c r="J3073" s="17"/>
      <c r="K3073" s="15">
        <v>0</v>
      </c>
      <c r="L3073" s="17"/>
    </row>
    <row r="3074" spans="1:12" x14ac:dyDescent="0.25">
      <c r="A3074" s="18"/>
      <c r="B3074" s="18"/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</row>
    <row r="3075" spans="1:12" ht="15" customHeight="1" x14ac:dyDescent="0.25">
      <c r="A3075" s="27" t="s">
        <v>46</v>
      </c>
      <c r="B3075" s="27"/>
      <c r="C3075" s="27"/>
      <c r="D3075" s="27"/>
      <c r="E3075" s="27"/>
      <c r="F3075" s="27"/>
      <c r="G3075" s="27"/>
      <c r="H3075" s="27"/>
      <c r="I3075" s="27"/>
      <c r="J3075" s="27"/>
      <c r="K3075" s="27">
        <v>12.84</v>
      </c>
      <c r="L3075" s="27"/>
    </row>
    <row r="3076" spans="1:12" ht="15" customHeight="1" x14ac:dyDescent="0.25">
      <c r="A3076" s="27" t="s">
        <v>47</v>
      </c>
      <c r="B3076" s="27"/>
      <c r="C3076" s="27"/>
      <c r="D3076" s="27"/>
      <c r="E3076" s="27"/>
      <c r="F3076" s="27"/>
      <c r="G3076" s="27"/>
      <c r="H3076" s="27"/>
      <c r="I3076" s="27"/>
      <c r="J3076" s="27"/>
      <c r="K3076" s="27">
        <v>1</v>
      </c>
      <c r="L3076" s="27"/>
    </row>
    <row r="3077" spans="1:12" ht="15" customHeight="1" x14ac:dyDescent="0.25">
      <c r="A3077" s="27" t="s">
        <v>48</v>
      </c>
      <c r="B3077" s="27"/>
      <c r="C3077" s="27"/>
      <c r="D3077" s="27"/>
      <c r="E3077" s="27"/>
      <c r="F3077" s="27"/>
      <c r="G3077" s="27"/>
      <c r="H3077" s="27"/>
      <c r="I3077" s="27"/>
      <c r="J3077" s="27"/>
      <c r="K3077" s="27">
        <v>12.84</v>
      </c>
      <c r="L3077" s="27"/>
    </row>
    <row r="3078" spans="1:12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</row>
    <row r="3079" spans="1:12" ht="15" customHeight="1" x14ac:dyDescent="0.25">
      <c r="A3079" s="10" t="s">
        <v>49</v>
      </c>
      <c r="B3079" s="11"/>
      <c r="C3079" s="11"/>
      <c r="D3079" s="11"/>
      <c r="E3079" s="12"/>
      <c r="F3079" s="8" t="s">
        <v>21</v>
      </c>
      <c r="G3079" s="8" t="s">
        <v>22</v>
      </c>
      <c r="H3079" s="9" t="s">
        <v>44</v>
      </c>
      <c r="I3079" s="13" t="s">
        <v>34</v>
      </c>
      <c r="J3079" s="14"/>
      <c r="K3079" s="13" t="s">
        <v>50</v>
      </c>
      <c r="L3079" s="14"/>
    </row>
    <row r="3080" spans="1:12" ht="15" customHeight="1" x14ac:dyDescent="0.25">
      <c r="A3080" s="21" t="s">
        <v>80</v>
      </c>
      <c r="B3080" s="22"/>
      <c r="C3080" s="22"/>
      <c r="D3080" s="22"/>
      <c r="E3080" s="23"/>
      <c r="F3080" s="19" t="str">
        <f>"038013"</f>
        <v>038013</v>
      </c>
      <c r="G3080" s="19" t="s">
        <v>81</v>
      </c>
      <c r="H3080" s="20">
        <v>0.88</v>
      </c>
      <c r="I3080" s="24">
        <v>0.5</v>
      </c>
      <c r="J3080" s="25"/>
      <c r="K3080" s="24">
        <v>0.44</v>
      </c>
      <c r="L3080" s="25"/>
    </row>
    <row r="3081" spans="1:12" ht="15" customHeight="1" x14ac:dyDescent="0.25">
      <c r="A3081" s="21" t="s">
        <v>409</v>
      </c>
      <c r="B3081" s="22"/>
      <c r="C3081" s="22"/>
      <c r="D3081" s="22"/>
      <c r="E3081" s="23"/>
      <c r="F3081" s="19" t="str">
        <f>"038014"</f>
        <v>038014</v>
      </c>
      <c r="G3081" s="19" t="s">
        <v>124</v>
      </c>
      <c r="H3081" s="20">
        <v>10.82</v>
      </c>
      <c r="I3081" s="24">
        <v>0.7</v>
      </c>
      <c r="J3081" s="25"/>
      <c r="K3081" s="24">
        <v>7.57</v>
      </c>
      <c r="L3081" s="25"/>
    </row>
    <row r="3082" spans="1:12" ht="15" customHeight="1" x14ac:dyDescent="0.25">
      <c r="A3082" s="15" t="s">
        <v>51</v>
      </c>
      <c r="B3082" s="16"/>
      <c r="C3082" s="16"/>
      <c r="D3082" s="16"/>
      <c r="E3082" s="16"/>
      <c r="F3082" s="16"/>
      <c r="G3082" s="16"/>
      <c r="H3082" s="16"/>
      <c r="I3082" s="16"/>
      <c r="J3082" s="17"/>
      <c r="K3082" s="15">
        <v>8.01</v>
      </c>
      <c r="L3082" s="17"/>
    </row>
    <row r="3083" spans="1:12" x14ac:dyDescent="0.25">
      <c r="A3083" s="18"/>
      <c r="B3083" s="18"/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</row>
    <row r="3084" spans="1:12" ht="15" customHeight="1" x14ac:dyDescent="0.25">
      <c r="A3084" s="10" t="s">
        <v>52</v>
      </c>
      <c r="B3084" s="11"/>
      <c r="C3084" s="11"/>
      <c r="D3084" s="11"/>
      <c r="E3084" s="12"/>
      <c r="F3084" s="8" t="s">
        <v>21</v>
      </c>
      <c r="G3084" s="8" t="s">
        <v>22</v>
      </c>
      <c r="H3084" s="9" t="s">
        <v>44</v>
      </c>
      <c r="I3084" s="13" t="s">
        <v>34</v>
      </c>
      <c r="J3084" s="14"/>
      <c r="K3084" s="13" t="s">
        <v>50</v>
      </c>
      <c r="L3084" s="14"/>
    </row>
    <row r="3085" spans="1:12" ht="30" customHeight="1" x14ac:dyDescent="0.25">
      <c r="A3085" s="21" t="s">
        <v>410</v>
      </c>
      <c r="B3085" s="22"/>
      <c r="C3085" s="22"/>
      <c r="D3085" s="22"/>
      <c r="E3085" s="23"/>
      <c r="F3085" s="19" t="s">
        <v>411</v>
      </c>
      <c r="G3085" s="19" t="s">
        <v>13</v>
      </c>
      <c r="H3085" s="20">
        <v>1</v>
      </c>
      <c r="I3085" s="24">
        <v>2.98</v>
      </c>
      <c r="J3085" s="25"/>
      <c r="K3085" s="24">
        <v>2.98</v>
      </c>
      <c r="L3085" s="25"/>
    </row>
    <row r="3086" spans="1:12" ht="15" customHeight="1" x14ac:dyDescent="0.25">
      <c r="A3086" s="15" t="s">
        <v>53</v>
      </c>
      <c r="B3086" s="16"/>
      <c r="C3086" s="16"/>
      <c r="D3086" s="16"/>
      <c r="E3086" s="16"/>
      <c r="F3086" s="16"/>
      <c r="G3086" s="16"/>
      <c r="H3086" s="16"/>
      <c r="I3086" s="16"/>
      <c r="J3086" s="17"/>
      <c r="K3086" s="15">
        <v>2.98</v>
      </c>
      <c r="L3086" s="17"/>
    </row>
    <row r="3087" spans="1:12" x14ac:dyDescent="0.25">
      <c r="A3087" s="18"/>
      <c r="B3087" s="18"/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</row>
    <row r="3088" spans="1:12" ht="15" customHeight="1" x14ac:dyDescent="0.25">
      <c r="A3088" s="10" t="s">
        <v>54</v>
      </c>
      <c r="B3088" s="11"/>
      <c r="C3088" s="12"/>
      <c r="D3088" s="8" t="s">
        <v>21</v>
      </c>
      <c r="E3088" s="8" t="s">
        <v>22</v>
      </c>
      <c r="F3088" s="9" t="s">
        <v>55</v>
      </c>
      <c r="G3088" s="8" t="s">
        <v>56</v>
      </c>
      <c r="H3088" s="8" t="s">
        <v>57</v>
      </c>
      <c r="I3088" s="8" t="s">
        <v>58</v>
      </c>
      <c r="J3088" s="9" t="s">
        <v>59</v>
      </c>
      <c r="K3088" s="9" t="s">
        <v>34</v>
      </c>
      <c r="L3088" s="9" t="s">
        <v>50</v>
      </c>
    </row>
    <row r="3089" spans="1:12" ht="15" customHeight="1" x14ac:dyDescent="0.25">
      <c r="A3089" s="15" t="s">
        <v>60</v>
      </c>
      <c r="B3089" s="16"/>
      <c r="C3089" s="16"/>
      <c r="D3089" s="16"/>
      <c r="E3089" s="16"/>
      <c r="F3089" s="16"/>
      <c r="G3089" s="16"/>
      <c r="H3089" s="16"/>
      <c r="I3089" s="16"/>
      <c r="J3089" s="17"/>
      <c r="K3089" s="15">
        <v>0</v>
      </c>
      <c r="L3089" s="17"/>
    </row>
    <row r="3090" spans="1:12" x14ac:dyDescent="0.25">
      <c r="A3090" s="18"/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8"/>
    </row>
    <row r="3091" spans="1:12" ht="15" customHeight="1" x14ac:dyDescent="0.25">
      <c r="A3091" s="27" t="s">
        <v>61</v>
      </c>
      <c r="B3091" s="27"/>
      <c r="C3091" s="27"/>
      <c r="D3091" s="27"/>
      <c r="E3091" s="27"/>
      <c r="F3091" s="27"/>
      <c r="G3091" s="27"/>
      <c r="H3091" s="27"/>
      <c r="I3091" s="27"/>
      <c r="J3091" s="27"/>
      <c r="K3091" s="27">
        <v>23.83</v>
      </c>
      <c r="L3091" s="27"/>
    </row>
    <row r="3092" spans="1:12" ht="15" customHeight="1" x14ac:dyDescent="0.25">
      <c r="A3092" s="27" t="s">
        <v>62</v>
      </c>
      <c r="B3092" s="27"/>
      <c r="C3092" s="27"/>
      <c r="D3092" s="27"/>
      <c r="E3092" s="27"/>
      <c r="F3092" s="27"/>
      <c r="G3092" s="27"/>
      <c r="H3092" s="27"/>
      <c r="I3092" s="27"/>
      <c r="J3092" s="27"/>
      <c r="K3092" s="27">
        <v>7.92</v>
      </c>
      <c r="L3092" s="27"/>
    </row>
    <row r="3093" spans="1:12" ht="15" customHeight="1" x14ac:dyDescent="0.25">
      <c r="A3093" s="27" t="s">
        <v>63</v>
      </c>
      <c r="B3093" s="27"/>
      <c r="C3093" s="27"/>
      <c r="D3093" s="27"/>
      <c r="E3093" s="27"/>
      <c r="F3093" s="27"/>
      <c r="G3093" s="27"/>
      <c r="H3093" s="27"/>
      <c r="I3093" s="27"/>
      <c r="J3093" s="27"/>
      <c r="K3093" s="27">
        <v>31.75</v>
      </c>
      <c r="L3093" s="27"/>
    </row>
    <row r="3094" spans="1:12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</row>
    <row r="3095" spans="1:12" ht="15" customHeight="1" x14ac:dyDescent="0.25">
      <c r="A3095" s="3" t="s">
        <v>8</v>
      </c>
      <c r="B3095" s="6" t="s">
        <v>9</v>
      </c>
      <c r="C3095" s="6"/>
      <c r="D3095" s="6"/>
      <c r="E3095" s="6"/>
      <c r="F3095" s="6"/>
      <c r="G3095" s="6"/>
      <c r="H3095" s="6"/>
      <c r="I3095" s="6"/>
      <c r="J3095" s="6"/>
      <c r="K3095" s="6"/>
      <c r="L3095" s="6"/>
    </row>
    <row r="3096" spans="1:12" ht="30" customHeight="1" x14ac:dyDescent="0.25">
      <c r="A3096" s="3" t="s">
        <v>10</v>
      </c>
      <c r="B3096" s="6" t="s">
        <v>412</v>
      </c>
      <c r="C3096" s="6"/>
      <c r="D3096" s="6"/>
      <c r="E3096" s="6"/>
      <c r="F3096" s="6"/>
      <c r="G3096" s="6"/>
      <c r="H3096" s="6"/>
      <c r="I3096" s="6"/>
      <c r="J3096" s="6"/>
      <c r="K3096" s="3" t="s">
        <v>12</v>
      </c>
      <c r="L3096" s="4" t="s">
        <v>13</v>
      </c>
    </row>
    <row r="3097" spans="1:12" ht="15" customHeight="1" x14ac:dyDescent="0.25">
      <c r="A3097" s="3" t="s">
        <v>14</v>
      </c>
      <c r="B3097" s="6" t="s">
        <v>15</v>
      </c>
      <c r="C3097" s="6"/>
      <c r="D3097" s="7" t="s">
        <v>16</v>
      </c>
      <c r="E3097" s="7"/>
      <c r="F3097" s="6" t="str">
        <f>"190106"</f>
        <v>190106</v>
      </c>
      <c r="G3097" s="6"/>
      <c r="H3097" s="3" t="s">
        <v>17</v>
      </c>
      <c r="I3097" s="6" t="s">
        <v>18</v>
      </c>
      <c r="J3097" s="6"/>
      <c r="K3097" s="3" t="s">
        <v>19</v>
      </c>
      <c r="L3097" s="5">
        <v>1</v>
      </c>
    </row>
    <row r="3098" spans="1:12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</row>
    <row r="3099" spans="1:12" ht="15" customHeight="1" x14ac:dyDescent="0.25">
      <c r="A3099" s="10" t="s">
        <v>20</v>
      </c>
      <c r="B3099" s="11"/>
      <c r="C3099" s="12"/>
      <c r="D3099" s="8" t="s">
        <v>21</v>
      </c>
      <c r="E3099" s="8" t="s">
        <v>22</v>
      </c>
      <c r="F3099" s="9" t="s">
        <v>23</v>
      </c>
      <c r="G3099" s="9" t="s">
        <v>24</v>
      </c>
      <c r="H3099" s="9" t="s">
        <v>25</v>
      </c>
      <c r="I3099" s="9" t="s">
        <v>26</v>
      </c>
      <c r="J3099" s="9" t="s">
        <v>27</v>
      </c>
      <c r="K3099" s="13" t="s">
        <v>28</v>
      </c>
      <c r="L3099" s="14"/>
    </row>
    <row r="3100" spans="1:12" ht="15" customHeight="1" x14ac:dyDescent="0.25">
      <c r="A3100" s="15" t="s">
        <v>29</v>
      </c>
      <c r="B3100" s="16"/>
      <c r="C3100" s="16"/>
      <c r="D3100" s="16"/>
      <c r="E3100" s="16"/>
      <c r="F3100" s="16"/>
      <c r="G3100" s="16"/>
      <c r="H3100" s="16"/>
      <c r="I3100" s="16"/>
      <c r="J3100" s="17"/>
      <c r="K3100" s="15">
        <v>0</v>
      </c>
      <c r="L3100" s="17"/>
    </row>
    <row r="3101" spans="1:12" x14ac:dyDescent="0.25">
      <c r="A3101" s="18"/>
      <c r="B3101" s="18"/>
      <c r="C3101" s="18"/>
      <c r="D3101" s="18"/>
      <c r="E3101" s="18"/>
      <c r="F3101" s="18"/>
      <c r="G3101" s="18"/>
      <c r="H3101" s="18"/>
      <c r="I3101" s="18"/>
      <c r="J3101" s="18"/>
      <c r="K3101" s="18"/>
      <c r="L3101" s="18"/>
    </row>
    <row r="3102" spans="1:12" ht="15" customHeight="1" x14ac:dyDescent="0.25">
      <c r="A3102" s="10" t="s">
        <v>30</v>
      </c>
      <c r="B3102" s="11"/>
      <c r="C3102" s="12"/>
      <c r="D3102" s="8" t="s">
        <v>21</v>
      </c>
      <c r="E3102" s="8" t="s">
        <v>22</v>
      </c>
      <c r="F3102" s="9" t="s">
        <v>31</v>
      </c>
      <c r="G3102" s="9" t="s">
        <v>32</v>
      </c>
      <c r="H3102" s="9" t="s">
        <v>33</v>
      </c>
      <c r="I3102" s="13" t="s">
        <v>34</v>
      </c>
      <c r="J3102" s="14"/>
      <c r="K3102" s="13" t="s">
        <v>28</v>
      </c>
      <c r="L3102" s="14"/>
    </row>
    <row r="3103" spans="1:12" ht="15" customHeight="1" x14ac:dyDescent="0.25">
      <c r="A3103" s="21" t="s">
        <v>76</v>
      </c>
      <c r="B3103" s="22"/>
      <c r="C3103" s="23"/>
      <c r="D3103" s="19" t="str">
        <f>"010101"</f>
        <v>010101</v>
      </c>
      <c r="E3103" s="19" t="s">
        <v>36</v>
      </c>
      <c r="F3103" s="20">
        <v>8.5299999999999994</v>
      </c>
      <c r="G3103" s="20">
        <v>157.27000000000001</v>
      </c>
      <c r="H3103" s="20">
        <v>21.94</v>
      </c>
      <c r="I3103" s="24">
        <v>0.38100000000000001</v>
      </c>
      <c r="J3103" s="25"/>
      <c r="K3103" s="24">
        <v>8.35</v>
      </c>
      <c r="L3103" s="25"/>
    </row>
    <row r="3104" spans="1:12" ht="15" customHeight="1" x14ac:dyDescent="0.25">
      <c r="A3104" s="21" t="s">
        <v>79</v>
      </c>
      <c r="B3104" s="22"/>
      <c r="C3104" s="23"/>
      <c r="D3104" s="19" t="str">
        <f>"010140"</f>
        <v>010140</v>
      </c>
      <c r="E3104" s="19" t="s">
        <v>36</v>
      </c>
      <c r="F3104" s="20">
        <v>10.119999999999999</v>
      </c>
      <c r="G3104" s="20">
        <v>157.27000000000001</v>
      </c>
      <c r="H3104" s="20">
        <v>26.03</v>
      </c>
      <c r="I3104" s="24">
        <v>0.44900000000000001</v>
      </c>
      <c r="J3104" s="25"/>
      <c r="K3104" s="24">
        <v>11.68</v>
      </c>
      <c r="L3104" s="25"/>
    </row>
    <row r="3105" spans="1:12" ht="15" customHeight="1" x14ac:dyDescent="0.25">
      <c r="A3105" s="15" t="s">
        <v>38</v>
      </c>
      <c r="B3105" s="16"/>
      <c r="C3105" s="16"/>
      <c r="D3105" s="16"/>
      <c r="E3105" s="16"/>
      <c r="F3105" s="16"/>
      <c r="G3105" s="16"/>
      <c r="H3105" s="16"/>
      <c r="I3105" s="16"/>
      <c r="J3105" s="17"/>
      <c r="K3105" s="15">
        <v>20.03</v>
      </c>
      <c r="L3105" s="17"/>
    </row>
    <row r="3106" spans="1:12" x14ac:dyDescent="0.25">
      <c r="A3106" s="18"/>
      <c r="B3106" s="18"/>
      <c r="C3106" s="18"/>
      <c r="D3106" s="18"/>
      <c r="E3106" s="18"/>
      <c r="F3106" s="18"/>
      <c r="G3106" s="18"/>
      <c r="H3106" s="18"/>
      <c r="I3106" s="18"/>
      <c r="J3106" s="18"/>
      <c r="K3106" s="18"/>
      <c r="L3106" s="18"/>
    </row>
    <row r="3107" spans="1:12" ht="15" customHeight="1" x14ac:dyDescent="0.25">
      <c r="A3107" s="10" t="s">
        <v>39</v>
      </c>
      <c r="B3107" s="11"/>
      <c r="C3107" s="12"/>
      <c r="D3107" s="8" t="s">
        <v>21</v>
      </c>
      <c r="E3107" s="13" t="s">
        <v>40</v>
      </c>
      <c r="F3107" s="14"/>
      <c r="G3107" s="8" t="s">
        <v>41</v>
      </c>
      <c r="H3107" s="8" t="s">
        <v>42</v>
      </c>
      <c r="I3107" s="8" t="s">
        <v>43</v>
      </c>
      <c r="J3107" s="13" t="s">
        <v>44</v>
      </c>
      <c r="K3107" s="26"/>
      <c r="L3107" s="14"/>
    </row>
    <row r="3108" spans="1:12" ht="15" customHeight="1" x14ac:dyDescent="0.25">
      <c r="A3108" s="15" t="s">
        <v>45</v>
      </c>
      <c r="B3108" s="16"/>
      <c r="C3108" s="16"/>
      <c r="D3108" s="16"/>
      <c r="E3108" s="16"/>
      <c r="F3108" s="16"/>
      <c r="G3108" s="16"/>
      <c r="H3108" s="16"/>
      <c r="I3108" s="16"/>
      <c r="J3108" s="17"/>
      <c r="K3108" s="15">
        <v>0</v>
      </c>
      <c r="L3108" s="17"/>
    </row>
    <row r="3109" spans="1:12" x14ac:dyDescent="0.25">
      <c r="A3109" s="18"/>
      <c r="B3109" s="18"/>
      <c r="C3109" s="18"/>
      <c r="D3109" s="18"/>
      <c r="E3109" s="18"/>
      <c r="F3109" s="18"/>
      <c r="G3109" s="18"/>
      <c r="H3109" s="18"/>
      <c r="I3109" s="18"/>
      <c r="J3109" s="18"/>
      <c r="K3109" s="18"/>
      <c r="L3109" s="18"/>
    </row>
    <row r="3110" spans="1:12" ht="15" customHeight="1" x14ac:dyDescent="0.25">
      <c r="A3110" s="27" t="s">
        <v>46</v>
      </c>
      <c r="B3110" s="27"/>
      <c r="C3110" s="27"/>
      <c r="D3110" s="27"/>
      <c r="E3110" s="27"/>
      <c r="F3110" s="27"/>
      <c r="G3110" s="27"/>
      <c r="H3110" s="27"/>
      <c r="I3110" s="27"/>
      <c r="J3110" s="27"/>
      <c r="K3110" s="27">
        <v>20.03</v>
      </c>
      <c r="L3110" s="27"/>
    </row>
    <row r="3111" spans="1:12" ht="15" customHeight="1" x14ac:dyDescent="0.25">
      <c r="A3111" s="27" t="s">
        <v>47</v>
      </c>
      <c r="B3111" s="27"/>
      <c r="C3111" s="27"/>
      <c r="D3111" s="27"/>
      <c r="E3111" s="27"/>
      <c r="F3111" s="27"/>
      <c r="G3111" s="27"/>
      <c r="H3111" s="27"/>
      <c r="I3111" s="27"/>
      <c r="J3111" s="27"/>
      <c r="K3111" s="27">
        <v>1</v>
      </c>
      <c r="L3111" s="27"/>
    </row>
    <row r="3112" spans="1:12" ht="15" customHeight="1" x14ac:dyDescent="0.25">
      <c r="A3112" s="27" t="s">
        <v>48</v>
      </c>
      <c r="B3112" s="27"/>
      <c r="C3112" s="27"/>
      <c r="D3112" s="27"/>
      <c r="E3112" s="27"/>
      <c r="F3112" s="27"/>
      <c r="G3112" s="27"/>
      <c r="H3112" s="27"/>
      <c r="I3112" s="27"/>
      <c r="J3112" s="27"/>
      <c r="K3112" s="27">
        <v>20.03</v>
      </c>
      <c r="L3112" s="27"/>
    </row>
    <row r="3113" spans="1:12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</row>
    <row r="3114" spans="1:12" ht="15" customHeight="1" x14ac:dyDescent="0.25">
      <c r="A3114" s="10" t="s">
        <v>49</v>
      </c>
      <c r="B3114" s="11"/>
      <c r="C3114" s="11"/>
      <c r="D3114" s="11"/>
      <c r="E3114" s="12"/>
      <c r="F3114" s="8" t="s">
        <v>21</v>
      </c>
      <c r="G3114" s="8" t="s">
        <v>22</v>
      </c>
      <c r="H3114" s="9" t="s">
        <v>44</v>
      </c>
      <c r="I3114" s="13" t="s">
        <v>34</v>
      </c>
      <c r="J3114" s="14"/>
      <c r="K3114" s="13" t="s">
        <v>50</v>
      </c>
      <c r="L3114" s="14"/>
    </row>
    <row r="3115" spans="1:12" ht="15" customHeight="1" x14ac:dyDescent="0.25">
      <c r="A3115" s="21" t="s">
        <v>413</v>
      </c>
      <c r="B3115" s="22"/>
      <c r="C3115" s="22"/>
      <c r="D3115" s="22"/>
      <c r="E3115" s="23"/>
      <c r="F3115" s="19" t="str">
        <f>"037514"</f>
        <v>037514</v>
      </c>
      <c r="G3115" s="19" t="s">
        <v>109</v>
      </c>
      <c r="H3115" s="20">
        <v>25.88</v>
      </c>
      <c r="I3115" s="24">
        <v>0.24</v>
      </c>
      <c r="J3115" s="25"/>
      <c r="K3115" s="24">
        <v>6.21</v>
      </c>
      <c r="L3115" s="25"/>
    </row>
    <row r="3116" spans="1:12" ht="15" customHeight="1" x14ac:dyDescent="0.25">
      <c r="A3116" s="21" t="s">
        <v>80</v>
      </c>
      <c r="B3116" s="22"/>
      <c r="C3116" s="22"/>
      <c r="D3116" s="22"/>
      <c r="E3116" s="23"/>
      <c r="F3116" s="19" t="str">
        <f>"038013"</f>
        <v>038013</v>
      </c>
      <c r="G3116" s="19" t="s">
        <v>81</v>
      </c>
      <c r="H3116" s="20">
        <v>0.88</v>
      </c>
      <c r="I3116" s="24">
        <v>0.25</v>
      </c>
      <c r="J3116" s="25"/>
      <c r="K3116" s="24">
        <v>0.22</v>
      </c>
      <c r="L3116" s="25"/>
    </row>
    <row r="3117" spans="1:12" ht="15" customHeight="1" x14ac:dyDescent="0.25">
      <c r="A3117" s="15" t="s">
        <v>51</v>
      </c>
      <c r="B3117" s="16"/>
      <c r="C3117" s="16"/>
      <c r="D3117" s="16"/>
      <c r="E3117" s="16"/>
      <c r="F3117" s="16"/>
      <c r="G3117" s="16"/>
      <c r="H3117" s="16"/>
      <c r="I3117" s="16"/>
      <c r="J3117" s="17"/>
      <c r="K3117" s="15">
        <v>6.43</v>
      </c>
      <c r="L3117" s="17"/>
    </row>
    <row r="3118" spans="1:12" x14ac:dyDescent="0.25">
      <c r="A3118" s="18"/>
      <c r="B3118" s="18"/>
      <c r="C3118" s="18"/>
      <c r="D3118" s="18"/>
      <c r="E3118" s="18"/>
      <c r="F3118" s="18"/>
      <c r="G3118" s="18"/>
      <c r="H3118" s="18"/>
      <c r="I3118" s="18"/>
      <c r="J3118" s="18"/>
      <c r="K3118" s="18"/>
      <c r="L3118" s="18"/>
    </row>
    <row r="3119" spans="1:12" ht="15" customHeight="1" x14ac:dyDescent="0.25">
      <c r="A3119" s="10" t="s">
        <v>52</v>
      </c>
      <c r="B3119" s="11"/>
      <c r="C3119" s="11"/>
      <c r="D3119" s="11"/>
      <c r="E3119" s="12"/>
      <c r="F3119" s="8" t="s">
        <v>21</v>
      </c>
      <c r="G3119" s="8" t="s">
        <v>22</v>
      </c>
      <c r="H3119" s="9" t="s">
        <v>44</v>
      </c>
      <c r="I3119" s="13" t="s">
        <v>34</v>
      </c>
      <c r="J3119" s="14"/>
      <c r="K3119" s="13" t="s">
        <v>50</v>
      </c>
      <c r="L3119" s="14"/>
    </row>
    <row r="3120" spans="1:12" ht="30" customHeight="1" x14ac:dyDescent="0.25">
      <c r="A3120" s="21" t="s">
        <v>410</v>
      </c>
      <c r="B3120" s="22"/>
      <c r="C3120" s="22"/>
      <c r="D3120" s="22"/>
      <c r="E3120" s="23"/>
      <c r="F3120" s="19" t="s">
        <v>411</v>
      </c>
      <c r="G3120" s="19" t="s">
        <v>13</v>
      </c>
      <c r="H3120" s="20">
        <v>1</v>
      </c>
      <c r="I3120" s="24">
        <v>2.98</v>
      </c>
      <c r="J3120" s="25"/>
      <c r="K3120" s="24">
        <v>2.98</v>
      </c>
      <c r="L3120" s="25"/>
    </row>
    <row r="3121" spans="1:12" ht="15" customHeight="1" x14ac:dyDescent="0.25">
      <c r="A3121" s="15" t="s">
        <v>53</v>
      </c>
      <c r="B3121" s="16"/>
      <c r="C3121" s="16"/>
      <c r="D3121" s="16"/>
      <c r="E3121" s="16"/>
      <c r="F3121" s="16"/>
      <c r="G3121" s="16"/>
      <c r="H3121" s="16"/>
      <c r="I3121" s="16"/>
      <c r="J3121" s="17"/>
      <c r="K3121" s="15">
        <v>2.98</v>
      </c>
      <c r="L3121" s="17"/>
    </row>
    <row r="3122" spans="1:12" x14ac:dyDescent="0.25">
      <c r="A3122" s="18"/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8"/>
    </row>
    <row r="3123" spans="1:12" ht="15" customHeight="1" x14ac:dyDescent="0.25">
      <c r="A3123" s="10" t="s">
        <v>54</v>
      </c>
      <c r="B3123" s="11"/>
      <c r="C3123" s="12"/>
      <c r="D3123" s="8" t="s">
        <v>21</v>
      </c>
      <c r="E3123" s="8" t="s">
        <v>22</v>
      </c>
      <c r="F3123" s="9" t="s">
        <v>55</v>
      </c>
      <c r="G3123" s="8" t="s">
        <v>56</v>
      </c>
      <c r="H3123" s="8" t="s">
        <v>57</v>
      </c>
      <c r="I3123" s="8" t="s">
        <v>58</v>
      </c>
      <c r="J3123" s="9" t="s">
        <v>59</v>
      </c>
      <c r="K3123" s="9" t="s">
        <v>34</v>
      </c>
      <c r="L3123" s="9" t="s">
        <v>50</v>
      </c>
    </row>
    <row r="3124" spans="1:12" ht="15" customHeight="1" x14ac:dyDescent="0.25">
      <c r="A3124" s="15" t="s">
        <v>60</v>
      </c>
      <c r="B3124" s="16"/>
      <c r="C3124" s="16"/>
      <c r="D3124" s="16"/>
      <c r="E3124" s="16"/>
      <c r="F3124" s="16"/>
      <c r="G3124" s="16"/>
      <c r="H3124" s="16"/>
      <c r="I3124" s="16"/>
      <c r="J3124" s="17"/>
      <c r="K3124" s="15">
        <v>0</v>
      </c>
      <c r="L3124" s="17"/>
    </row>
    <row r="3125" spans="1:12" x14ac:dyDescent="0.25">
      <c r="A3125" s="18"/>
      <c r="B3125" s="18"/>
      <c r="C3125" s="18"/>
      <c r="D3125" s="18"/>
      <c r="E3125" s="18"/>
      <c r="F3125" s="18"/>
      <c r="G3125" s="18"/>
      <c r="H3125" s="18"/>
      <c r="I3125" s="18"/>
      <c r="J3125" s="18"/>
      <c r="K3125" s="18"/>
      <c r="L3125" s="18"/>
    </row>
    <row r="3126" spans="1:12" ht="15" customHeight="1" x14ac:dyDescent="0.25">
      <c r="A3126" s="27" t="s">
        <v>61</v>
      </c>
      <c r="B3126" s="27"/>
      <c r="C3126" s="27"/>
      <c r="D3126" s="27"/>
      <c r="E3126" s="27"/>
      <c r="F3126" s="27"/>
      <c r="G3126" s="27"/>
      <c r="H3126" s="27"/>
      <c r="I3126" s="27"/>
      <c r="J3126" s="27"/>
      <c r="K3126" s="27">
        <v>29.44</v>
      </c>
      <c r="L3126" s="27"/>
    </row>
    <row r="3127" spans="1:12" ht="15" customHeight="1" x14ac:dyDescent="0.25">
      <c r="A3127" s="27" t="s">
        <v>62</v>
      </c>
      <c r="B3127" s="27"/>
      <c r="C3127" s="27"/>
      <c r="D3127" s="27"/>
      <c r="E3127" s="27"/>
      <c r="F3127" s="27"/>
      <c r="G3127" s="27"/>
      <c r="H3127" s="27"/>
      <c r="I3127" s="27"/>
      <c r="J3127" s="27"/>
      <c r="K3127" s="27">
        <v>9.7899999999999991</v>
      </c>
      <c r="L3127" s="27"/>
    </row>
    <row r="3128" spans="1:12" ht="15" customHeight="1" x14ac:dyDescent="0.25">
      <c r="A3128" s="27" t="s">
        <v>63</v>
      </c>
      <c r="B3128" s="27"/>
      <c r="C3128" s="27"/>
      <c r="D3128" s="27"/>
      <c r="E3128" s="27"/>
      <c r="F3128" s="27"/>
      <c r="G3128" s="27"/>
      <c r="H3128" s="27"/>
      <c r="I3128" s="27"/>
      <c r="J3128" s="27"/>
      <c r="K3128" s="27">
        <v>39.229999999999997</v>
      </c>
      <c r="L3128" s="27"/>
    </row>
    <row r="3129" spans="1:12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</row>
    <row r="3130" spans="1:12" ht="15" customHeight="1" x14ac:dyDescent="0.25">
      <c r="A3130" s="3" t="s">
        <v>8</v>
      </c>
      <c r="B3130" s="6" t="s">
        <v>9</v>
      </c>
      <c r="C3130" s="6"/>
      <c r="D3130" s="6"/>
      <c r="E3130" s="6"/>
      <c r="F3130" s="6"/>
      <c r="G3130" s="6"/>
      <c r="H3130" s="6"/>
      <c r="I3130" s="6"/>
      <c r="J3130" s="6"/>
      <c r="K3130" s="6"/>
      <c r="L3130" s="6"/>
    </row>
    <row r="3131" spans="1:12" ht="30" customHeight="1" x14ac:dyDescent="0.25">
      <c r="A3131" s="3" t="s">
        <v>10</v>
      </c>
      <c r="B3131" s="6" t="s">
        <v>414</v>
      </c>
      <c r="C3131" s="6"/>
      <c r="D3131" s="6"/>
      <c r="E3131" s="6"/>
      <c r="F3131" s="6"/>
      <c r="G3131" s="6"/>
      <c r="H3131" s="6"/>
      <c r="I3131" s="6"/>
      <c r="J3131" s="6"/>
      <c r="K3131" s="3" t="s">
        <v>12</v>
      </c>
      <c r="L3131" s="4" t="s">
        <v>13</v>
      </c>
    </row>
    <row r="3132" spans="1:12" ht="15" customHeight="1" x14ac:dyDescent="0.25">
      <c r="A3132" s="3" t="s">
        <v>14</v>
      </c>
      <c r="B3132" s="6" t="s">
        <v>15</v>
      </c>
      <c r="C3132" s="6"/>
      <c r="D3132" s="7" t="s">
        <v>16</v>
      </c>
      <c r="E3132" s="7"/>
      <c r="F3132" s="6" t="str">
        <f>"190301"</f>
        <v>190301</v>
      </c>
      <c r="G3132" s="6"/>
      <c r="H3132" s="3" t="s">
        <v>17</v>
      </c>
      <c r="I3132" s="6" t="s">
        <v>18</v>
      </c>
      <c r="J3132" s="6"/>
      <c r="K3132" s="3" t="s">
        <v>19</v>
      </c>
      <c r="L3132" s="5">
        <v>1</v>
      </c>
    </row>
    <row r="3133" spans="1:12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</row>
    <row r="3134" spans="1:12" ht="15" customHeight="1" x14ac:dyDescent="0.25">
      <c r="A3134" s="10" t="s">
        <v>20</v>
      </c>
      <c r="B3134" s="11"/>
      <c r="C3134" s="12"/>
      <c r="D3134" s="8" t="s">
        <v>21</v>
      </c>
      <c r="E3134" s="8" t="s">
        <v>22</v>
      </c>
      <c r="F3134" s="9" t="s">
        <v>23</v>
      </c>
      <c r="G3134" s="9" t="s">
        <v>24</v>
      </c>
      <c r="H3134" s="9" t="s">
        <v>25</v>
      </c>
      <c r="I3134" s="9" t="s">
        <v>26</v>
      </c>
      <c r="J3134" s="9" t="s">
        <v>27</v>
      </c>
      <c r="K3134" s="13" t="s">
        <v>28</v>
      </c>
      <c r="L3134" s="14"/>
    </row>
    <row r="3135" spans="1:12" ht="15" customHeight="1" x14ac:dyDescent="0.25">
      <c r="A3135" s="15" t="s">
        <v>29</v>
      </c>
      <c r="B3135" s="16"/>
      <c r="C3135" s="16"/>
      <c r="D3135" s="16"/>
      <c r="E3135" s="16"/>
      <c r="F3135" s="16"/>
      <c r="G3135" s="16"/>
      <c r="H3135" s="16"/>
      <c r="I3135" s="16"/>
      <c r="J3135" s="17"/>
      <c r="K3135" s="15">
        <v>0</v>
      </c>
      <c r="L3135" s="17"/>
    </row>
    <row r="3136" spans="1:12" x14ac:dyDescent="0.25">
      <c r="A3136" s="18"/>
      <c r="B3136" s="18"/>
      <c r="C3136" s="18"/>
      <c r="D3136" s="18"/>
      <c r="E3136" s="18"/>
      <c r="F3136" s="18"/>
      <c r="G3136" s="18"/>
      <c r="H3136" s="18"/>
      <c r="I3136" s="18"/>
      <c r="J3136" s="18"/>
      <c r="K3136" s="18"/>
      <c r="L3136" s="18"/>
    </row>
    <row r="3137" spans="1:12" ht="15" customHeight="1" x14ac:dyDescent="0.25">
      <c r="A3137" s="10" t="s">
        <v>30</v>
      </c>
      <c r="B3137" s="11"/>
      <c r="C3137" s="12"/>
      <c r="D3137" s="8" t="s">
        <v>21</v>
      </c>
      <c r="E3137" s="8" t="s">
        <v>22</v>
      </c>
      <c r="F3137" s="9" t="s">
        <v>31</v>
      </c>
      <c r="G3137" s="9" t="s">
        <v>32</v>
      </c>
      <c r="H3137" s="9" t="s">
        <v>33</v>
      </c>
      <c r="I3137" s="13" t="s">
        <v>34</v>
      </c>
      <c r="J3137" s="14"/>
      <c r="K3137" s="13" t="s">
        <v>28</v>
      </c>
      <c r="L3137" s="14"/>
    </row>
    <row r="3138" spans="1:12" ht="15" customHeight="1" x14ac:dyDescent="0.25">
      <c r="A3138" s="21" t="s">
        <v>76</v>
      </c>
      <c r="B3138" s="22"/>
      <c r="C3138" s="23"/>
      <c r="D3138" s="19" t="str">
        <f>"010101"</f>
        <v>010101</v>
      </c>
      <c r="E3138" s="19" t="s">
        <v>36</v>
      </c>
      <c r="F3138" s="20">
        <v>8.5299999999999994</v>
      </c>
      <c r="G3138" s="20">
        <v>157.27000000000001</v>
      </c>
      <c r="H3138" s="20">
        <v>21.94</v>
      </c>
      <c r="I3138" s="24">
        <v>0.3</v>
      </c>
      <c r="J3138" s="25"/>
      <c r="K3138" s="24">
        <v>6.58</v>
      </c>
      <c r="L3138" s="25"/>
    </row>
    <row r="3139" spans="1:12" ht="15" customHeight="1" x14ac:dyDescent="0.25">
      <c r="A3139" s="21" t="s">
        <v>79</v>
      </c>
      <c r="B3139" s="22"/>
      <c r="C3139" s="23"/>
      <c r="D3139" s="19" t="str">
        <f>"010140"</f>
        <v>010140</v>
      </c>
      <c r="E3139" s="19" t="s">
        <v>36</v>
      </c>
      <c r="F3139" s="20">
        <v>10.119999999999999</v>
      </c>
      <c r="G3139" s="20">
        <v>157.27000000000001</v>
      </c>
      <c r="H3139" s="20">
        <v>26.03</v>
      </c>
      <c r="I3139" s="24">
        <v>0.35</v>
      </c>
      <c r="J3139" s="25"/>
      <c r="K3139" s="24">
        <v>9.11</v>
      </c>
      <c r="L3139" s="25"/>
    </row>
    <row r="3140" spans="1:12" ht="15" customHeight="1" x14ac:dyDescent="0.25">
      <c r="A3140" s="15" t="s">
        <v>38</v>
      </c>
      <c r="B3140" s="16"/>
      <c r="C3140" s="16"/>
      <c r="D3140" s="16"/>
      <c r="E3140" s="16"/>
      <c r="F3140" s="16"/>
      <c r="G3140" s="16"/>
      <c r="H3140" s="16"/>
      <c r="I3140" s="16"/>
      <c r="J3140" s="17"/>
      <c r="K3140" s="15">
        <v>15.69</v>
      </c>
      <c r="L3140" s="17"/>
    </row>
    <row r="3141" spans="1:12" x14ac:dyDescent="0.25">
      <c r="A3141" s="18"/>
      <c r="B3141" s="18"/>
      <c r="C3141" s="18"/>
      <c r="D3141" s="18"/>
      <c r="E3141" s="18"/>
      <c r="F3141" s="18"/>
      <c r="G3141" s="18"/>
      <c r="H3141" s="18"/>
      <c r="I3141" s="18"/>
      <c r="J3141" s="18"/>
      <c r="K3141" s="18"/>
      <c r="L3141" s="18"/>
    </row>
    <row r="3142" spans="1:12" ht="15" customHeight="1" x14ac:dyDescent="0.25">
      <c r="A3142" s="10" t="s">
        <v>39</v>
      </c>
      <c r="B3142" s="11"/>
      <c r="C3142" s="12"/>
      <c r="D3142" s="8" t="s">
        <v>21</v>
      </c>
      <c r="E3142" s="13" t="s">
        <v>40</v>
      </c>
      <c r="F3142" s="14"/>
      <c r="G3142" s="8" t="s">
        <v>41</v>
      </c>
      <c r="H3142" s="8" t="s">
        <v>42</v>
      </c>
      <c r="I3142" s="8" t="s">
        <v>43</v>
      </c>
      <c r="J3142" s="13" t="s">
        <v>44</v>
      </c>
      <c r="K3142" s="26"/>
      <c r="L3142" s="14"/>
    </row>
    <row r="3143" spans="1:12" ht="15" customHeight="1" x14ac:dyDescent="0.25">
      <c r="A3143" s="15" t="s">
        <v>45</v>
      </c>
      <c r="B3143" s="16"/>
      <c r="C3143" s="16"/>
      <c r="D3143" s="16"/>
      <c r="E3143" s="16"/>
      <c r="F3143" s="16"/>
      <c r="G3143" s="16"/>
      <c r="H3143" s="16"/>
      <c r="I3143" s="16"/>
      <c r="J3143" s="17"/>
      <c r="K3143" s="15">
        <v>0</v>
      </c>
      <c r="L3143" s="17"/>
    </row>
    <row r="3144" spans="1:12" x14ac:dyDescent="0.25">
      <c r="A3144" s="18"/>
      <c r="B3144" s="18"/>
      <c r="C3144" s="18"/>
      <c r="D3144" s="18"/>
      <c r="E3144" s="18"/>
      <c r="F3144" s="18"/>
      <c r="G3144" s="18"/>
      <c r="H3144" s="18"/>
      <c r="I3144" s="18"/>
      <c r="J3144" s="18"/>
      <c r="K3144" s="18"/>
      <c r="L3144" s="18"/>
    </row>
    <row r="3145" spans="1:12" ht="15" customHeight="1" x14ac:dyDescent="0.25">
      <c r="A3145" s="27" t="s">
        <v>46</v>
      </c>
      <c r="B3145" s="27"/>
      <c r="C3145" s="27"/>
      <c r="D3145" s="27"/>
      <c r="E3145" s="27"/>
      <c r="F3145" s="27"/>
      <c r="G3145" s="27"/>
      <c r="H3145" s="27"/>
      <c r="I3145" s="27"/>
      <c r="J3145" s="27"/>
      <c r="K3145" s="27">
        <v>15.69</v>
      </c>
      <c r="L3145" s="27"/>
    </row>
    <row r="3146" spans="1:12" ht="15" customHeight="1" x14ac:dyDescent="0.25">
      <c r="A3146" s="27" t="s">
        <v>47</v>
      </c>
      <c r="B3146" s="27"/>
      <c r="C3146" s="27"/>
      <c r="D3146" s="27"/>
      <c r="E3146" s="27"/>
      <c r="F3146" s="27"/>
      <c r="G3146" s="27"/>
      <c r="H3146" s="27"/>
      <c r="I3146" s="27"/>
      <c r="J3146" s="27"/>
      <c r="K3146" s="27">
        <v>1</v>
      </c>
      <c r="L3146" s="27"/>
    </row>
    <row r="3147" spans="1:12" ht="15" customHeight="1" x14ac:dyDescent="0.25">
      <c r="A3147" s="27" t="s">
        <v>48</v>
      </c>
      <c r="B3147" s="27"/>
      <c r="C3147" s="27"/>
      <c r="D3147" s="27"/>
      <c r="E3147" s="27"/>
      <c r="F3147" s="27"/>
      <c r="G3147" s="27"/>
      <c r="H3147" s="27"/>
      <c r="I3147" s="27"/>
      <c r="J3147" s="27"/>
      <c r="K3147" s="27">
        <v>15.69</v>
      </c>
      <c r="L3147" s="27"/>
    </row>
    <row r="3148" spans="1:12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</row>
    <row r="3149" spans="1:12" ht="15" customHeight="1" x14ac:dyDescent="0.25">
      <c r="A3149" s="10" t="s">
        <v>49</v>
      </c>
      <c r="B3149" s="11"/>
      <c r="C3149" s="11"/>
      <c r="D3149" s="11"/>
      <c r="E3149" s="12"/>
      <c r="F3149" s="8" t="s">
        <v>21</v>
      </c>
      <c r="G3149" s="8" t="s">
        <v>22</v>
      </c>
      <c r="H3149" s="9" t="s">
        <v>44</v>
      </c>
      <c r="I3149" s="13" t="s">
        <v>34</v>
      </c>
      <c r="J3149" s="14"/>
      <c r="K3149" s="13" t="s">
        <v>50</v>
      </c>
      <c r="L3149" s="14"/>
    </row>
    <row r="3150" spans="1:12" ht="15" customHeight="1" x14ac:dyDescent="0.25">
      <c r="A3150" s="21" t="s">
        <v>415</v>
      </c>
      <c r="B3150" s="22"/>
      <c r="C3150" s="22"/>
      <c r="D3150" s="22"/>
      <c r="E3150" s="23"/>
      <c r="F3150" s="19" t="str">
        <f>"036991"</f>
        <v>036991</v>
      </c>
      <c r="G3150" s="19" t="s">
        <v>81</v>
      </c>
      <c r="H3150" s="20">
        <v>1.1299999999999999</v>
      </c>
      <c r="I3150" s="24">
        <v>0.5</v>
      </c>
      <c r="J3150" s="25"/>
      <c r="K3150" s="24">
        <v>0.56000000000000005</v>
      </c>
      <c r="L3150" s="25"/>
    </row>
    <row r="3151" spans="1:12" ht="15" customHeight="1" x14ac:dyDescent="0.25">
      <c r="A3151" s="21" t="s">
        <v>416</v>
      </c>
      <c r="B3151" s="22"/>
      <c r="C3151" s="22"/>
      <c r="D3151" s="22"/>
      <c r="E3151" s="23"/>
      <c r="F3151" s="19" t="str">
        <f>"038016"</f>
        <v>038016</v>
      </c>
      <c r="G3151" s="19" t="s">
        <v>124</v>
      </c>
      <c r="H3151" s="20">
        <v>15.12</v>
      </c>
      <c r="I3151" s="24">
        <v>0.45</v>
      </c>
      <c r="J3151" s="25"/>
      <c r="K3151" s="24">
        <v>6.8</v>
      </c>
      <c r="L3151" s="25"/>
    </row>
    <row r="3152" spans="1:12" ht="15" customHeight="1" x14ac:dyDescent="0.25">
      <c r="A3152" s="15" t="s">
        <v>51</v>
      </c>
      <c r="B3152" s="16"/>
      <c r="C3152" s="16"/>
      <c r="D3152" s="16"/>
      <c r="E3152" s="16"/>
      <c r="F3152" s="16"/>
      <c r="G3152" s="16"/>
      <c r="H3152" s="16"/>
      <c r="I3152" s="16"/>
      <c r="J3152" s="17"/>
      <c r="K3152" s="15">
        <v>7.36</v>
      </c>
      <c r="L3152" s="17"/>
    </row>
    <row r="3153" spans="1:12" x14ac:dyDescent="0.25">
      <c r="A3153" s="18"/>
      <c r="B3153" s="18"/>
      <c r="C3153" s="18"/>
      <c r="D3153" s="18"/>
      <c r="E3153" s="18"/>
      <c r="F3153" s="18"/>
      <c r="G3153" s="18"/>
      <c r="H3153" s="18"/>
      <c r="I3153" s="18"/>
      <c r="J3153" s="18"/>
      <c r="K3153" s="18"/>
      <c r="L3153" s="18"/>
    </row>
    <row r="3154" spans="1:12" ht="15" customHeight="1" x14ac:dyDescent="0.25">
      <c r="A3154" s="10" t="s">
        <v>52</v>
      </c>
      <c r="B3154" s="11"/>
      <c r="C3154" s="11"/>
      <c r="D3154" s="11"/>
      <c r="E3154" s="12"/>
      <c r="F3154" s="8" t="s">
        <v>21</v>
      </c>
      <c r="G3154" s="8" t="s">
        <v>22</v>
      </c>
      <c r="H3154" s="9" t="s">
        <v>44</v>
      </c>
      <c r="I3154" s="13" t="s">
        <v>34</v>
      </c>
      <c r="J3154" s="14"/>
      <c r="K3154" s="13" t="s">
        <v>50</v>
      </c>
      <c r="L3154" s="14"/>
    </row>
    <row r="3155" spans="1:12" ht="30" customHeight="1" x14ac:dyDescent="0.25">
      <c r="A3155" s="21" t="s">
        <v>417</v>
      </c>
      <c r="B3155" s="22"/>
      <c r="C3155" s="22"/>
      <c r="D3155" s="22"/>
      <c r="E3155" s="23"/>
      <c r="F3155" s="19" t="s">
        <v>418</v>
      </c>
      <c r="G3155" s="19" t="s">
        <v>13</v>
      </c>
      <c r="H3155" s="20">
        <v>1</v>
      </c>
      <c r="I3155" s="24">
        <v>25.44</v>
      </c>
      <c r="J3155" s="25"/>
      <c r="K3155" s="24">
        <v>25.44</v>
      </c>
      <c r="L3155" s="25"/>
    </row>
    <row r="3156" spans="1:12" ht="15" customHeight="1" x14ac:dyDescent="0.25">
      <c r="A3156" s="15" t="s">
        <v>53</v>
      </c>
      <c r="B3156" s="16"/>
      <c r="C3156" s="16"/>
      <c r="D3156" s="16"/>
      <c r="E3156" s="16"/>
      <c r="F3156" s="16"/>
      <c r="G3156" s="16"/>
      <c r="H3156" s="16"/>
      <c r="I3156" s="16"/>
      <c r="J3156" s="17"/>
      <c r="K3156" s="15">
        <v>25.44</v>
      </c>
      <c r="L3156" s="17"/>
    </row>
    <row r="3157" spans="1:12" x14ac:dyDescent="0.25">
      <c r="A3157" s="18"/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8"/>
    </row>
    <row r="3158" spans="1:12" ht="15" customHeight="1" x14ac:dyDescent="0.25">
      <c r="A3158" s="10" t="s">
        <v>54</v>
      </c>
      <c r="B3158" s="11"/>
      <c r="C3158" s="12"/>
      <c r="D3158" s="8" t="s">
        <v>21</v>
      </c>
      <c r="E3158" s="8" t="s">
        <v>22</v>
      </c>
      <c r="F3158" s="9" t="s">
        <v>55</v>
      </c>
      <c r="G3158" s="8" t="s">
        <v>56</v>
      </c>
      <c r="H3158" s="8" t="s">
        <v>57</v>
      </c>
      <c r="I3158" s="8" t="s">
        <v>58</v>
      </c>
      <c r="J3158" s="9" t="s">
        <v>59</v>
      </c>
      <c r="K3158" s="9" t="s">
        <v>34</v>
      </c>
      <c r="L3158" s="9" t="s">
        <v>50</v>
      </c>
    </row>
    <row r="3159" spans="1:12" ht="15" customHeight="1" x14ac:dyDescent="0.25">
      <c r="A3159" s="15" t="s">
        <v>60</v>
      </c>
      <c r="B3159" s="16"/>
      <c r="C3159" s="16"/>
      <c r="D3159" s="16"/>
      <c r="E3159" s="16"/>
      <c r="F3159" s="16"/>
      <c r="G3159" s="16"/>
      <c r="H3159" s="16"/>
      <c r="I3159" s="16"/>
      <c r="J3159" s="17"/>
      <c r="K3159" s="15">
        <v>0</v>
      </c>
      <c r="L3159" s="17"/>
    </row>
    <row r="3160" spans="1:12" x14ac:dyDescent="0.25">
      <c r="A3160" s="18"/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8"/>
    </row>
    <row r="3161" spans="1:12" ht="15" customHeight="1" x14ac:dyDescent="0.25">
      <c r="A3161" s="27" t="s">
        <v>61</v>
      </c>
      <c r="B3161" s="27"/>
      <c r="C3161" s="27"/>
      <c r="D3161" s="27"/>
      <c r="E3161" s="27"/>
      <c r="F3161" s="27"/>
      <c r="G3161" s="27"/>
      <c r="H3161" s="27"/>
      <c r="I3161" s="27"/>
      <c r="J3161" s="27"/>
      <c r="K3161" s="27">
        <v>48.49</v>
      </c>
      <c r="L3161" s="27"/>
    </row>
    <row r="3162" spans="1:12" ht="15" customHeight="1" x14ac:dyDescent="0.25">
      <c r="A3162" s="27" t="s">
        <v>62</v>
      </c>
      <c r="B3162" s="27"/>
      <c r="C3162" s="27"/>
      <c r="D3162" s="27"/>
      <c r="E3162" s="27"/>
      <c r="F3162" s="27"/>
      <c r="G3162" s="27"/>
      <c r="H3162" s="27"/>
      <c r="I3162" s="27"/>
      <c r="J3162" s="27"/>
      <c r="K3162" s="27">
        <v>16.12</v>
      </c>
      <c r="L3162" s="27"/>
    </row>
    <row r="3163" spans="1:12" ht="15" customHeight="1" x14ac:dyDescent="0.25">
      <c r="A3163" s="27" t="s">
        <v>63</v>
      </c>
      <c r="B3163" s="27"/>
      <c r="C3163" s="27"/>
      <c r="D3163" s="27"/>
      <c r="E3163" s="27"/>
      <c r="F3163" s="27"/>
      <c r="G3163" s="27"/>
      <c r="H3163" s="27"/>
      <c r="I3163" s="27"/>
      <c r="J3163" s="27"/>
      <c r="K3163" s="27">
        <v>64.61</v>
      </c>
      <c r="L3163" s="27"/>
    </row>
    <row r="3164" spans="1:12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</row>
    <row r="3165" spans="1:12" ht="15" customHeight="1" x14ac:dyDescent="0.25">
      <c r="A3165" s="3" t="s">
        <v>8</v>
      </c>
      <c r="B3165" s="6" t="s">
        <v>9</v>
      </c>
      <c r="C3165" s="6"/>
      <c r="D3165" s="6"/>
      <c r="E3165" s="6"/>
      <c r="F3165" s="6"/>
      <c r="G3165" s="6"/>
      <c r="H3165" s="6"/>
      <c r="I3165" s="6"/>
      <c r="J3165" s="6"/>
      <c r="K3165" s="6"/>
      <c r="L3165" s="6"/>
    </row>
    <row r="3166" spans="1:12" ht="30" customHeight="1" x14ac:dyDescent="0.25">
      <c r="A3166" s="3" t="s">
        <v>10</v>
      </c>
      <c r="B3166" s="6" t="s">
        <v>419</v>
      </c>
      <c r="C3166" s="6"/>
      <c r="D3166" s="6"/>
      <c r="E3166" s="6"/>
      <c r="F3166" s="6"/>
      <c r="G3166" s="6"/>
      <c r="H3166" s="6"/>
      <c r="I3166" s="6"/>
      <c r="J3166" s="6"/>
      <c r="K3166" s="3" t="s">
        <v>12</v>
      </c>
      <c r="L3166" s="4" t="s">
        <v>13</v>
      </c>
    </row>
    <row r="3167" spans="1:12" ht="15" customHeight="1" x14ac:dyDescent="0.25">
      <c r="A3167" s="3" t="s">
        <v>14</v>
      </c>
      <c r="B3167" s="6" t="s">
        <v>15</v>
      </c>
      <c r="C3167" s="6"/>
      <c r="D3167" s="7" t="s">
        <v>16</v>
      </c>
      <c r="E3167" s="7"/>
      <c r="F3167" s="6" t="str">
        <f>"190302"</f>
        <v>190302</v>
      </c>
      <c r="G3167" s="6"/>
      <c r="H3167" s="3" t="s">
        <v>17</v>
      </c>
      <c r="I3167" s="6" t="s">
        <v>18</v>
      </c>
      <c r="J3167" s="6"/>
      <c r="K3167" s="3" t="s">
        <v>19</v>
      </c>
      <c r="L3167" s="5">
        <v>1</v>
      </c>
    </row>
    <row r="3168" spans="1:12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</row>
    <row r="3169" spans="1:12" ht="15" customHeight="1" x14ac:dyDescent="0.25">
      <c r="A3169" s="10" t="s">
        <v>20</v>
      </c>
      <c r="B3169" s="11"/>
      <c r="C3169" s="12"/>
      <c r="D3169" s="8" t="s">
        <v>21</v>
      </c>
      <c r="E3169" s="8" t="s">
        <v>22</v>
      </c>
      <c r="F3169" s="9" t="s">
        <v>23</v>
      </c>
      <c r="G3169" s="9" t="s">
        <v>24</v>
      </c>
      <c r="H3169" s="9" t="s">
        <v>25</v>
      </c>
      <c r="I3169" s="9" t="s">
        <v>26</v>
      </c>
      <c r="J3169" s="9" t="s">
        <v>27</v>
      </c>
      <c r="K3169" s="13" t="s">
        <v>28</v>
      </c>
      <c r="L3169" s="14"/>
    </row>
    <row r="3170" spans="1:12" ht="15" customHeight="1" x14ac:dyDescent="0.25">
      <c r="A3170" s="15" t="s">
        <v>29</v>
      </c>
      <c r="B3170" s="16"/>
      <c r="C3170" s="16"/>
      <c r="D3170" s="16"/>
      <c r="E3170" s="16"/>
      <c r="F3170" s="16"/>
      <c r="G3170" s="16"/>
      <c r="H3170" s="16"/>
      <c r="I3170" s="16"/>
      <c r="J3170" s="17"/>
      <c r="K3170" s="15">
        <v>0</v>
      </c>
      <c r="L3170" s="17"/>
    </row>
    <row r="3171" spans="1:12" x14ac:dyDescent="0.25">
      <c r="A3171" s="18"/>
      <c r="B3171" s="18"/>
      <c r="C3171" s="18"/>
      <c r="D3171" s="18"/>
      <c r="E3171" s="18"/>
      <c r="F3171" s="18"/>
      <c r="G3171" s="18"/>
      <c r="H3171" s="18"/>
      <c r="I3171" s="18"/>
      <c r="J3171" s="18"/>
      <c r="K3171" s="18"/>
      <c r="L3171" s="18"/>
    </row>
    <row r="3172" spans="1:12" ht="15" customHeight="1" x14ac:dyDescent="0.25">
      <c r="A3172" s="10" t="s">
        <v>30</v>
      </c>
      <c r="B3172" s="11"/>
      <c r="C3172" s="12"/>
      <c r="D3172" s="8" t="s">
        <v>21</v>
      </c>
      <c r="E3172" s="8" t="s">
        <v>22</v>
      </c>
      <c r="F3172" s="9" t="s">
        <v>31</v>
      </c>
      <c r="G3172" s="9" t="s">
        <v>32</v>
      </c>
      <c r="H3172" s="9" t="s">
        <v>33</v>
      </c>
      <c r="I3172" s="13" t="s">
        <v>34</v>
      </c>
      <c r="J3172" s="14"/>
      <c r="K3172" s="13" t="s">
        <v>28</v>
      </c>
      <c r="L3172" s="14"/>
    </row>
    <row r="3173" spans="1:12" ht="15" customHeight="1" x14ac:dyDescent="0.25">
      <c r="A3173" s="21" t="s">
        <v>76</v>
      </c>
      <c r="B3173" s="22"/>
      <c r="C3173" s="23"/>
      <c r="D3173" s="19" t="str">
        <f>"010101"</f>
        <v>010101</v>
      </c>
      <c r="E3173" s="19" t="s">
        <v>36</v>
      </c>
      <c r="F3173" s="20">
        <v>8.5299999999999994</v>
      </c>
      <c r="G3173" s="20">
        <v>157.27000000000001</v>
      </c>
      <c r="H3173" s="20">
        <v>21.94</v>
      </c>
      <c r="I3173" s="24">
        <v>0.35</v>
      </c>
      <c r="J3173" s="25"/>
      <c r="K3173" s="24">
        <v>7.67</v>
      </c>
      <c r="L3173" s="25"/>
    </row>
    <row r="3174" spans="1:12" ht="15" customHeight="1" x14ac:dyDescent="0.25">
      <c r="A3174" s="21" t="s">
        <v>79</v>
      </c>
      <c r="B3174" s="22"/>
      <c r="C3174" s="23"/>
      <c r="D3174" s="19" t="str">
        <f>"010140"</f>
        <v>010140</v>
      </c>
      <c r="E3174" s="19" t="s">
        <v>36</v>
      </c>
      <c r="F3174" s="20">
        <v>10.119999999999999</v>
      </c>
      <c r="G3174" s="20">
        <v>157.27000000000001</v>
      </c>
      <c r="H3174" s="20">
        <v>26.03</v>
      </c>
      <c r="I3174" s="24">
        <v>0.11940000000000001</v>
      </c>
      <c r="J3174" s="25"/>
      <c r="K3174" s="24">
        <v>3.1</v>
      </c>
      <c r="L3174" s="25"/>
    </row>
    <row r="3175" spans="1:12" ht="15" customHeight="1" x14ac:dyDescent="0.25">
      <c r="A3175" s="15" t="s">
        <v>38</v>
      </c>
      <c r="B3175" s="16"/>
      <c r="C3175" s="16"/>
      <c r="D3175" s="16"/>
      <c r="E3175" s="16"/>
      <c r="F3175" s="16"/>
      <c r="G3175" s="16"/>
      <c r="H3175" s="16"/>
      <c r="I3175" s="16"/>
      <c r="J3175" s="17"/>
      <c r="K3175" s="15">
        <v>10.77</v>
      </c>
      <c r="L3175" s="17"/>
    </row>
    <row r="3176" spans="1:12" x14ac:dyDescent="0.25">
      <c r="A3176" s="18"/>
      <c r="B3176" s="18"/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</row>
    <row r="3177" spans="1:12" ht="15" customHeight="1" x14ac:dyDescent="0.25">
      <c r="A3177" s="10" t="s">
        <v>39</v>
      </c>
      <c r="B3177" s="11"/>
      <c r="C3177" s="12"/>
      <c r="D3177" s="8" t="s">
        <v>21</v>
      </c>
      <c r="E3177" s="13" t="s">
        <v>40</v>
      </c>
      <c r="F3177" s="14"/>
      <c r="G3177" s="8" t="s">
        <v>41</v>
      </c>
      <c r="H3177" s="8" t="s">
        <v>42</v>
      </c>
      <c r="I3177" s="8" t="s">
        <v>43</v>
      </c>
      <c r="J3177" s="13" t="s">
        <v>44</v>
      </c>
      <c r="K3177" s="26"/>
      <c r="L3177" s="14"/>
    </row>
    <row r="3178" spans="1:12" ht="15" customHeight="1" x14ac:dyDescent="0.25">
      <c r="A3178" s="15" t="s">
        <v>45</v>
      </c>
      <c r="B3178" s="16"/>
      <c r="C3178" s="16"/>
      <c r="D3178" s="16"/>
      <c r="E3178" s="16"/>
      <c r="F3178" s="16"/>
      <c r="G3178" s="16"/>
      <c r="H3178" s="16"/>
      <c r="I3178" s="16"/>
      <c r="J3178" s="17"/>
      <c r="K3178" s="15">
        <v>0</v>
      </c>
      <c r="L3178" s="17"/>
    </row>
    <row r="3179" spans="1:12" x14ac:dyDescent="0.25">
      <c r="A3179" s="18"/>
      <c r="B3179" s="18"/>
      <c r="C3179" s="18"/>
      <c r="D3179" s="18"/>
      <c r="E3179" s="18"/>
      <c r="F3179" s="18"/>
      <c r="G3179" s="18"/>
      <c r="H3179" s="18"/>
      <c r="I3179" s="18"/>
      <c r="J3179" s="18"/>
      <c r="K3179" s="18"/>
      <c r="L3179" s="18"/>
    </row>
    <row r="3180" spans="1:12" ht="15" customHeight="1" x14ac:dyDescent="0.25">
      <c r="A3180" s="27" t="s">
        <v>46</v>
      </c>
      <c r="B3180" s="27"/>
      <c r="C3180" s="27"/>
      <c r="D3180" s="27"/>
      <c r="E3180" s="27"/>
      <c r="F3180" s="27"/>
      <c r="G3180" s="27"/>
      <c r="H3180" s="27"/>
      <c r="I3180" s="27"/>
      <c r="J3180" s="27"/>
      <c r="K3180" s="27">
        <v>10.77</v>
      </c>
      <c r="L3180" s="27"/>
    </row>
    <row r="3181" spans="1:12" ht="15" customHeight="1" x14ac:dyDescent="0.25">
      <c r="A3181" s="27" t="s">
        <v>47</v>
      </c>
      <c r="B3181" s="27"/>
      <c r="C3181" s="27"/>
      <c r="D3181" s="27"/>
      <c r="E3181" s="27"/>
      <c r="F3181" s="27"/>
      <c r="G3181" s="27"/>
      <c r="H3181" s="27"/>
      <c r="I3181" s="27"/>
      <c r="J3181" s="27"/>
      <c r="K3181" s="27">
        <v>1</v>
      </c>
      <c r="L3181" s="27"/>
    </row>
    <row r="3182" spans="1:12" ht="15" customHeight="1" x14ac:dyDescent="0.25">
      <c r="A3182" s="27" t="s">
        <v>48</v>
      </c>
      <c r="B3182" s="27"/>
      <c r="C3182" s="27"/>
      <c r="D3182" s="27"/>
      <c r="E3182" s="27"/>
      <c r="F3182" s="27"/>
      <c r="G3182" s="27"/>
      <c r="H3182" s="27"/>
      <c r="I3182" s="27"/>
      <c r="J3182" s="27"/>
      <c r="K3182" s="27">
        <v>10.77</v>
      </c>
      <c r="L3182" s="27"/>
    </row>
    <row r="3183" spans="1:12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</row>
    <row r="3184" spans="1:12" ht="15" customHeight="1" x14ac:dyDescent="0.25">
      <c r="A3184" s="10" t="s">
        <v>49</v>
      </c>
      <c r="B3184" s="11"/>
      <c r="C3184" s="11"/>
      <c r="D3184" s="11"/>
      <c r="E3184" s="12"/>
      <c r="F3184" s="8" t="s">
        <v>21</v>
      </c>
      <c r="G3184" s="8" t="s">
        <v>22</v>
      </c>
      <c r="H3184" s="9" t="s">
        <v>44</v>
      </c>
      <c r="I3184" s="13" t="s">
        <v>34</v>
      </c>
      <c r="J3184" s="14"/>
      <c r="K3184" s="13" t="s">
        <v>50</v>
      </c>
      <c r="L3184" s="14"/>
    </row>
    <row r="3185" spans="1:12" ht="15" customHeight="1" x14ac:dyDescent="0.25">
      <c r="A3185" s="21" t="s">
        <v>420</v>
      </c>
      <c r="B3185" s="22"/>
      <c r="C3185" s="22"/>
      <c r="D3185" s="22"/>
      <c r="E3185" s="23"/>
      <c r="F3185" s="19" t="str">
        <f>"037502"</f>
        <v>037502</v>
      </c>
      <c r="G3185" s="19" t="s">
        <v>109</v>
      </c>
      <c r="H3185" s="20">
        <v>39.24</v>
      </c>
      <c r="I3185" s="24">
        <v>0.16</v>
      </c>
      <c r="J3185" s="25"/>
      <c r="K3185" s="24">
        <v>6.27</v>
      </c>
      <c r="L3185" s="25"/>
    </row>
    <row r="3186" spans="1:12" ht="15" customHeight="1" x14ac:dyDescent="0.25">
      <c r="A3186" s="21" t="s">
        <v>421</v>
      </c>
      <c r="B3186" s="22"/>
      <c r="C3186" s="22"/>
      <c r="D3186" s="22"/>
      <c r="E3186" s="23"/>
      <c r="F3186" s="19" t="str">
        <f>"038001"</f>
        <v>038001</v>
      </c>
      <c r="G3186" s="19" t="s">
        <v>109</v>
      </c>
      <c r="H3186" s="20">
        <v>17.190000000000001</v>
      </c>
      <c r="I3186" s="24">
        <v>0.04</v>
      </c>
      <c r="J3186" s="25"/>
      <c r="K3186" s="24">
        <v>0.68</v>
      </c>
      <c r="L3186" s="25"/>
    </row>
    <row r="3187" spans="1:12" ht="15" customHeight="1" x14ac:dyDescent="0.25">
      <c r="A3187" s="15" t="s">
        <v>51</v>
      </c>
      <c r="B3187" s="16"/>
      <c r="C3187" s="16"/>
      <c r="D3187" s="16"/>
      <c r="E3187" s="16"/>
      <c r="F3187" s="16"/>
      <c r="G3187" s="16"/>
      <c r="H3187" s="16"/>
      <c r="I3187" s="16"/>
      <c r="J3187" s="17"/>
      <c r="K3187" s="15">
        <v>6.95</v>
      </c>
      <c r="L3187" s="17"/>
    </row>
    <row r="3188" spans="1:12" x14ac:dyDescent="0.25">
      <c r="A3188" s="18"/>
      <c r="B3188" s="18"/>
      <c r="C3188" s="18"/>
      <c r="D3188" s="18"/>
      <c r="E3188" s="18"/>
      <c r="F3188" s="18"/>
      <c r="G3188" s="18"/>
      <c r="H3188" s="18"/>
      <c r="I3188" s="18"/>
      <c r="J3188" s="18"/>
      <c r="K3188" s="18"/>
      <c r="L3188" s="18"/>
    </row>
    <row r="3189" spans="1:12" ht="15" customHeight="1" x14ac:dyDescent="0.25">
      <c r="A3189" s="10" t="s">
        <v>52</v>
      </c>
      <c r="B3189" s="11"/>
      <c r="C3189" s="11"/>
      <c r="D3189" s="11"/>
      <c r="E3189" s="12"/>
      <c r="F3189" s="8" t="s">
        <v>21</v>
      </c>
      <c r="G3189" s="8" t="s">
        <v>22</v>
      </c>
      <c r="H3189" s="9" t="s">
        <v>44</v>
      </c>
      <c r="I3189" s="13" t="s">
        <v>34</v>
      </c>
      <c r="J3189" s="14"/>
      <c r="K3189" s="13" t="s">
        <v>50</v>
      </c>
      <c r="L3189" s="14"/>
    </row>
    <row r="3190" spans="1:12" ht="30" customHeight="1" x14ac:dyDescent="0.25">
      <c r="A3190" s="21" t="s">
        <v>417</v>
      </c>
      <c r="B3190" s="22"/>
      <c r="C3190" s="22"/>
      <c r="D3190" s="22"/>
      <c r="E3190" s="23"/>
      <c r="F3190" s="19" t="s">
        <v>418</v>
      </c>
      <c r="G3190" s="19" t="s">
        <v>13</v>
      </c>
      <c r="H3190" s="20">
        <v>1</v>
      </c>
      <c r="I3190" s="24">
        <v>25.44</v>
      </c>
      <c r="J3190" s="25"/>
      <c r="K3190" s="24">
        <v>25.44</v>
      </c>
      <c r="L3190" s="25"/>
    </row>
    <row r="3191" spans="1:12" ht="15" customHeight="1" x14ac:dyDescent="0.25">
      <c r="A3191" s="15" t="s">
        <v>53</v>
      </c>
      <c r="B3191" s="16"/>
      <c r="C3191" s="16"/>
      <c r="D3191" s="16"/>
      <c r="E3191" s="16"/>
      <c r="F3191" s="16"/>
      <c r="G3191" s="16"/>
      <c r="H3191" s="16"/>
      <c r="I3191" s="16"/>
      <c r="J3191" s="17"/>
      <c r="K3191" s="15">
        <v>25.44</v>
      </c>
      <c r="L3191" s="17"/>
    </row>
    <row r="3192" spans="1:12" x14ac:dyDescent="0.25">
      <c r="A3192" s="18"/>
      <c r="B3192" s="18"/>
      <c r="C3192" s="18"/>
      <c r="D3192" s="18"/>
      <c r="E3192" s="18"/>
      <c r="F3192" s="18"/>
      <c r="G3192" s="18"/>
      <c r="H3192" s="18"/>
      <c r="I3192" s="18"/>
      <c r="J3192" s="18"/>
      <c r="K3192" s="18"/>
      <c r="L3192" s="18"/>
    </row>
    <row r="3193" spans="1:12" ht="15" customHeight="1" x14ac:dyDescent="0.25">
      <c r="A3193" s="10" t="s">
        <v>54</v>
      </c>
      <c r="B3193" s="11"/>
      <c r="C3193" s="12"/>
      <c r="D3193" s="8" t="s">
        <v>21</v>
      </c>
      <c r="E3193" s="8" t="s">
        <v>22</v>
      </c>
      <c r="F3193" s="9" t="s">
        <v>55</v>
      </c>
      <c r="G3193" s="8" t="s">
        <v>56</v>
      </c>
      <c r="H3193" s="8" t="s">
        <v>57</v>
      </c>
      <c r="I3193" s="8" t="s">
        <v>58</v>
      </c>
      <c r="J3193" s="9" t="s">
        <v>59</v>
      </c>
      <c r="K3193" s="9" t="s">
        <v>34</v>
      </c>
      <c r="L3193" s="9" t="s">
        <v>50</v>
      </c>
    </row>
    <row r="3194" spans="1:12" ht="15" customHeight="1" x14ac:dyDescent="0.25">
      <c r="A3194" s="15" t="s">
        <v>60</v>
      </c>
      <c r="B3194" s="16"/>
      <c r="C3194" s="16"/>
      <c r="D3194" s="16"/>
      <c r="E3194" s="16"/>
      <c r="F3194" s="16"/>
      <c r="G3194" s="16"/>
      <c r="H3194" s="16"/>
      <c r="I3194" s="16"/>
      <c r="J3194" s="17"/>
      <c r="K3194" s="15">
        <v>0</v>
      </c>
      <c r="L3194" s="17"/>
    </row>
    <row r="3195" spans="1:12" x14ac:dyDescent="0.25">
      <c r="A3195" s="18"/>
      <c r="B3195" s="18"/>
      <c r="C3195" s="18"/>
      <c r="D3195" s="18"/>
      <c r="E3195" s="18"/>
      <c r="F3195" s="18"/>
      <c r="G3195" s="18"/>
      <c r="H3195" s="18"/>
      <c r="I3195" s="18"/>
      <c r="J3195" s="18"/>
      <c r="K3195" s="18"/>
      <c r="L3195" s="18"/>
    </row>
    <row r="3196" spans="1:12" ht="15" customHeight="1" x14ac:dyDescent="0.25">
      <c r="A3196" s="27" t="s">
        <v>61</v>
      </c>
      <c r="B3196" s="27"/>
      <c r="C3196" s="27"/>
      <c r="D3196" s="27"/>
      <c r="E3196" s="27"/>
      <c r="F3196" s="27"/>
      <c r="G3196" s="27"/>
      <c r="H3196" s="27"/>
      <c r="I3196" s="27"/>
      <c r="J3196" s="27"/>
      <c r="K3196" s="27">
        <v>43.16</v>
      </c>
      <c r="L3196" s="27"/>
    </row>
    <row r="3197" spans="1:12" ht="15" customHeight="1" x14ac:dyDescent="0.25">
      <c r="A3197" s="27" t="s">
        <v>62</v>
      </c>
      <c r="B3197" s="27"/>
      <c r="C3197" s="27"/>
      <c r="D3197" s="27"/>
      <c r="E3197" s="27"/>
      <c r="F3197" s="27"/>
      <c r="G3197" s="27"/>
      <c r="H3197" s="27"/>
      <c r="I3197" s="27"/>
      <c r="J3197" s="27"/>
      <c r="K3197" s="27">
        <v>14.35</v>
      </c>
      <c r="L3197" s="27"/>
    </row>
    <row r="3198" spans="1:12" ht="15" customHeight="1" x14ac:dyDescent="0.25">
      <c r="A3198" s="27" t="s">
        <v>63</v>
      </c>
      <c r="B3198" s="27"/>
      <c r="C3198" s="27"/>
      <c r="D3198" s="27"/>
      <c r="E3198" s="27"/>
      <c r="F3198" s="27"/>
      <c r="G3198" s="27"/>
      <c r="H3198" s="27"/>
      <c r="I3198" s="27"/>
      <c r="J3198" s="27"/>
      <c r="K3198" s="27">
        <v>57.51</v>
      </c>
      <c r="L3198" s="27"/>
    </row>
    <row r="3199" spans="1:12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</row>
    <row r="3200" spans="1:12" ht="15" customHeight="1" x14ac:dyDescent="0.25">
      <c r="A3200" s="3" t="s">
        <v>8</v>
      </c>
      <c r="B3200" s="6" t="s">
        <v>9</v>
      </c>
      <c r="C3200" s="6"/>
      <c r="D3200" s="6"/>
      <c r="E3200" s="6"/>
      <c r="F3200" s="6"/>
      <c r="G3200" s="6"/>
      <c r="H3200" s="6"/>
      <c r="I3200" s="6"/>
      <c r="J3200" s="6"/>
      <c r="K3200" s="6"/>
      <c r="L3200" s="6"/>
    </row>
    <row r="3201" spans="1:12" ht="15" customHeight="1" x14ac:dyDescent="0.25">
      <c r="A3201" s="3" t="s">
        <v>10</v>
      </c>
      <c r="B3201" s="6" t="s">
        <v>422</v>
      </c>
      <c r="C3201" s="6"/>
      <c r="D3201" s="6"/>
      <c r="E3201" s="6"/>
      <c r="F3201" s="6"/>
      <c r="G3201" s="6"/>
      <c r="H3201" s="6"/>
      <c r="I3201" s="6"/>
      <c r="J3201" s="6"/>
      <c r="K3201" s="3" t="s">
        <v>12</v>
      </c>
      <c r="L3201" s="4" t="s">
        <v>13</v>
      </c>
    </row>
    <row r="3202" spans="1:12" ht="15" customHeight="1" x14ac:dyDescent="0.25">
      <c r="A3202" s="3" t="s">
        <v>14</v>
      </c>
      <c r="B3202" s="6" t="s">
        <v>15</v>
      </c>
      <c r="C3202" s="6"/>
      <c r="D3202" s="7" t="s">
        <v>16</v>
      </c>
      <c r="E3202" s="7"/>
      <c r="F3202" s="6" t="str">
        <f>"190303"</f>
        <v>190303</v>
      </c>
      <c r="G3202" s="6"/>
      <c r="H3202" s="3" t="s">
        <v>17</v>
      </c>
      <c r="I3202" s="6" t="s">
        <v>18</v>
      </c>
      <c r="J3202" s="6"/>
      <c r="K3202" s="3" t="s">
        <v>19</v>
      </c>
      <c r="L3202" s="5">
        <v>1</v>
      </c>
    </row>
    <row r="3203" spans="1:12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</row>
    <row r="3204" spans="1:12" ht="15" customHeight="1" x14ac:dyDescent="0.25">
      <c r="A3204" s="10" t="s">
        <v>20</v>
      </c>
      <c r="B3204" s="11"/>
      <c r="C3204" s="12"/>
      <c r="D3204" s="8" t="s">
        <v>21</v>
      </c>
      <c r="E3204" s="8" t="s">
        <v>22</v>
      </c>
      <c r="F3204" s="9" t="s">
        <v>23</v>
      </c>
      <c r="G3204" s="9" t="s">
        <v>24</v>
      </c>
      <c r="H3204" s="9" t="s">
        <v>25</v>
      </c>
      <c r="I3204" s="9" t="s">
        <v>26</v>
      </c>
      <c r="J3204" s="9" t="s">
        <v>27</v>
      </c>
      <c r="K3204" s="13" t="s">
        <v>28</v>
      </c>
      <c r="L3204" s="14"/>
    </row>
    <row r="3205" spans="1:12" ht="15" customHeight="1" x14ac:dyDescent="0.25">
      <c r="A3205" s="15" t="s">
        <v>29</v>
      </c>
      <c r="B3205" s="16"/>
      <c r="C3205" s="16"/>
      <c r="D3205" s="16"/>
      <c r="E3205" s="16"/>
      <c r="F3205" s="16"/>
      <c r="G3205" s="16"/>
      <c r="H3205" s="16"/>
      <c r="I3205" s="16"/>
      <c r="J3205" s="17"/>
      <c r="K3205" s="15">
        <v>0</v>
      </c>
      <c r="L3205" s="17"/>
    </row>
    <row r="3206" spans="1:12" x14ac:dyDescent="0.25">
      <c r="A3206" s="18"/>
      <c r="B3206" s="18"/>
      <c r="C3206" s="18"/>
      <c r="D3206" s="18"/>
      <c r="E3206" s="18"/>
      <c r="F3206" s="18"/>
      <c r="G3206" s="18"/>
      <c r="H3206" s="18"/>
      <c r="I3206" s="18"/>
      <c r="J3206" s="18"/>
      <c r="K3206" s="18"/>
      <c r="L3206" s="18"/>
    </row>
    <row r="3207" spans="1:12" ht="15" customHeight="1" x14ac:dyDescent="0.25">
      <c r="A3207" s="10" t="s">
        <v>30</v>
      </c>
      <c r="B3207" s="11"/>
      <c r="C3207" s="12"/>
      <c r="D3207" s="8" t="s">
        <v>21</v>
      </c>
      <c r="E3207" s="8" t="s">
        <v>22</v>
      </c>
      <c r="F3207" s="9" t="s">
        <v>31</v>
      </c>
      <c r="G3207" s="9" t="s">
        <v>32</v>
      </c>
      <c r="H3207" s="9" t="s">
        <v>33</v>
      </c>
      <c r="I3207" s="13" t="s">
        <v>34</v>
      </c>
      <c r="J3207" s="14"/>
      <c r="K3207" s="13" t="s">
        <v>28</v>
      </c>
      <c r="L3207" s="14"/>
    </row>
    <row r="3208" spans="1:12" ht="15" customHeight="1" x14ac:dyDescent="0.25">
      <c r="A3208" s="21" t="s">
        <v>76</v>
      </c>
      <c r="B3208" s="22"/>
      <c r="C3208" s="23"/>
      <c r="D3208" s="19" t="str">
        <f>"010101"</f>
        <v>010101</v>
      </c>
      <c r="E3208" s="19" t="s">
        <v>36</v>
      </c>
      <c r="F3208" s="20">
        <v>8.5299999999999994</v>
      </c>
      <c r="G3208" s="20">
        <v>157.27000000000001</v>
      </c>
      <c r="H3208" s="20">
        <v>21.94</v>
      </c>
      <c r="I3208" s="24">
        <v>0.3</v>
      </c>
      <c r="J3208" s="25"/>
      <c r="K3208" s="24">
        <v>6.58</v>
      </c>
      <c r="L3208" s="25"/>
    </row>
    <row r="3209" spans="1:12" ht="15" customHeight="1" x14ac:dyDescent="0.25">
      <c r="A3209" s="21" t="s">
        <v>79</v>
      </c>
      <c r="B3209" s="22"/>
      <c r="C3209" s="23"/>
      <c r="D3209" s="19" t="str">
        <f>"010140"</f>
        <v>010140</v>
      </c>
      <c r="E3209" s="19" t="s">
        <v>36</v>
      </c>
      <c r="F3209" s="20">
        <v>10.119999999999999</v>
      </c>
      <c r="G3209" s="20">
        <v>157.27000000000001</v>
      </c>
      <c r="H3209" s="20">
        <v>26.03</v>
      </c>
      <c r="I3209" s="24">
        <v>0.4</v>
      </c>
      <c r="J3209" s="25"/>
      <c r="K3209" s="24">
        <v>10.41</v>
      </c>
      <c r="L3209" s="25"/>
    </row>
    <row r="3210" spans="1:12" ht="15" customHeight="1" x14ac:dyDescent="0.25">
      <c r="A3210" s="15" t="s">
        <v>38</v>
      </c>
      <c r="B3210" s="16"/>
      <c r="C3210" s="16"/>
      <c r="D3210" s="16"/>
      <c r="E3210" s="16"/>
      <c r="F3210" s="16"/>
      <c r="G3210" s="16"/>
      <c r="H3210" s="16"/>
      <c r="I3210" s="16"/>
      <c r="J3210" s="17"/>
      <c r="K3210" s="15">
        <v>16.989999999999998</v>
      </c>
      <c r="L3210" s="17"/>
    </row>
    <row r="3211" spans="1:12" x14ac:dyDescent="0.25">
      <c r="A3211" s="18"/>
      <c r="B3211" s="18"/>
      <c r="C3211" s="18"/>
      <c r="D3211" s="18"/>
      <c r="E3211" s="18"/>
      <c r="F3211" s="18"/>
      <c r="G3211" s="18"/>
      <c r="H3211" s="18"/>
      <c r="I3211" s="18"/>
      <c r="J3211" s="18"/>
      <c r="K3211" s="18"/>
      <c r="L3211" s="18"/>
    </row>
    <row r="3212" spans="1:12" ht="15" customHeight="1" x14ac:dyDescent="0.25">
      <c r="A3212" s="10" t="s">
        <v>39</v>
      </c>
      <c r="B3212" s="11"/>
      <c r="C3212" s="12"/>
      <c r="D3212" s="8" t="s">
        <v>21</v>
      </c>
      <c r="E3212" s="13" t="s">
        <v>40</v>
      </c>
      <c r="F3212" s="14"/>
      <c r="G3212" s="8" t="s">
        <v>41</v>
      </c>
      <c r="H3212" s="8" t="s">
        <v>42</v>
      </c>
      <c r="I3212" s="8" t="s">
        <v>43</v>
      </c>
      <c r="J3212" s="13" t="s">
        <v>44</v>
      </c>
      <c r="K3212" s="26"/>
      <c r="L3212" s="14"/>
    </row>
    <row r="3213" spans="1:12" ht="15" customHeight="1" x14ac:dyDescent="0.25">
      <c r="A3213" s="15" t="s">
        <v>45</v>
      </c>
      <c r="B3213" s="16"/>
      <c r="C3213" s="16"/>
      <c r="D3213" s="16"/>
      <c r="E3213" s="16"/>
      <c r="F3213" s="16"/>
      <c r="G3213" s="16"/>
      <c r="H3213" s="16"/>
      <c r="I3213" s="16"/>
      <c r="J3213" s="17"/>
      <c r="K3213" s="15">
        <v>0</v>
      </c>
      <c r="L3213" s="17"/>
    </row>
    <row r="3214" spans="1:12" x14ac:dyDescent="0.25">
      <c r="A3214" s="18"/>
      <c r="B3214" s="18"/>
      <c r="C3214" s="18"/>
      <c r="D3214" s="18"/>
      <c r="E3214" s="18"/>
      <c r="F3214" s="18"/>
      <c r="G3214" s="18"/>
      <c r="H3214" s="18"/>
      <c r="I3214" s="18"/>
      <c r="J3214" s="18"/>
      <c r="K3214" s="18"/>
      <c r="L3214" s="18"/>
    </row>
    <row r="3215" spans="1:12" ht="15" customHeight="1" x14ac:dyDescent="0.25">
      <c r="A3215" s="27" t="s">
        <v>46</v>
      </c>
      <c r="B3215" s="27"/>
      <c r="C3215" s="27"/>
      <c r="D3215" s="27"/>
      <c r="E3215" s="27"/>
      <c r="F3215" s="27"/>
      <c r="G3215" s="27"/>
      <c r="H3215" s="27"/>
      <c r="I3215" s="27"/>
      <c r="J3215" s="27"/>
      <c r="K3215" s="27">
        <v>16.989999999999998</v>
      </c>
      <c r="L3215" s="27"/>
    </row>
    <row r="3216" spans="1:12" ht="15" customHeight="1" x14ac:dyDescent="0.25">
      <c r="A3216" s="27" t="s">
        <v>47</v>
      </c>
      <c r="B3216" s="27"/>
      <c r="C3216" s="27"/>
      <c r="D3216" s="27"/>
      <c r="E3216" s="27"/>
      <c r="F3216" s="27"/>
      <c r="G3216" s="27"/>
      <c r="H3216" s="27"/>
      <c r="I3216" s="27"/>
      <c r="J3216" s="27"/>
      <c r="K3216" s="27">
        <v>1</v>
      </c>
      <c r="L3216" s="27"/>
    </row>
    <row r="3217" spans="1:12" ht="15" customHeight="1" x14ac:dyDescent="0.25">
      <c r="A3217" s="27" t="s">
        <v>48</v>
      </c>
      <c r="B3217" s="27"/>
      <c r="C3217" s="27"/>
      <c r="D3217" s="27"/>
      <c r="E3217" s="27"/>
      <c r="F3217" s="27"/>
      <c r="G3217" s="27"/>
      <c r="H3217" s="27"/>
      <c r="I3217" s="27"/>
      <c r="J3217" s="27"/>
      <c r="K3217" s="27">
        <v>16.989999999999998</v>
      </c>
      <c r="L3217" s="27"/>
    </row>
    <row r="3218" spans="1:12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</row>
    <row r="3219" spans="1:12" ht="15" customHeight="1" x14ac:dyDescent="0.25">
      <c r="A3219" s="10" t="s">
        <v>49</v>
      </c>
      <c r="B3219" s="11"/>
      <c r="C3219" s="11"/>
      <c r="D3219" s="11"/>
      <c r="E3219" s="12"/>
      <c r="F3219" s="8" t="s">
        <v>21</v>
      </c>
      <c r="G3219" s="8" t="s">
        <v>22</v>
      </c>
      <c r="H3219" s="9" t="s">
        <v>44</v>
      </c>
      <c r="I3219" s="13" t="s">
        <v>34</v>
      </c>
      <c r="J3219" s="14"/>
      <c r="K3219" s="13" t="s">
        <v>50</v>
      </c>
      <c r="L3219" s="14"/>
    </row>
    <row r="3220" spans="1:12" ht="15" customHeight="1" x14ac:dyDescent="0.25">
      <c r="A3220" s="21" t="s">
        <v>415</v>
      </c>
      <c r="B3220" s="22"/>
      <c r="C3220" s="22"/>
      <c r="D3220" s="22"/>
      <c r="E3220" s="23"/>
      <c r="F3220" s="19" t="str">
        <f>"036991"</f>
        <v>036991</v>
      </c>
      <c r="G3220" s="19" t="s">
        <v>81</v>
      </c>
      <c r="H3220" s="20">
        <v>1.1299999999999999</v>
      </c>
      <c r="I3220" s="24">
        <v>1</v>
      </c>
      <c r="J3220" s="25"/>
      <c r="K3220" s="24">
        <v>1.1299999999999999</v>
      </c>
      <c r="L3220" s="25"/>
    </row>
    <row r="3221" spans="1:12" ht="15" customHeight="1" x14ac:dyDescent="0.25">
      <c r="A3221" s="21" t="s">
        <v>421</v>
      </c>
      <c r="B3221" s="22"/>
      <c r="C3221" s="22"/>
      <c r="D3221" s="22"/>
      <c r="E3221" s="23"/>
      <c r="F3221" s="19" t="str">
        <f>"038001"</f>
        <v>038001</v>
      </c>
      <c r="G3221" s="19" t="s">
        <v>109</v>
      </c>
      <c r="H3221" s="20">
        <v>17.190000000000001</v>
      </c>
      <c r="I3221" s="24">
        <v>4.5699999999999998E-2</v>
      </c>
      <c r="J3221" s="25"/>
      <c r="K3221" s="24">
        <v>0.78</v>
      </c>
      <c r="L3221" s="25"/>
    </row>
    <row r="3222" spans="1:12" ht="15" customHeight="1" x14ac:dyDescent="0.25">
      <c r="A3222" s="21" t="s">
        <v>423</v>
      </c>
      <c r="B3222" s="22"/>
      <c r="C3222" s="22"/>
      <c r="D3222" s="22"/>
      <c r="E3222" s="23"/>
      <c r="F3222" s="19" t="str">
        <f>"038088"</f>
        <v>038088</v>
      </c>
      <c r="G3222" s="19" t="s">
        <v>109</v>
      </c>
      <c r="H3222" s="20">
        <v>32.729999999999997</v>
      </c>
      <c r="I3222" s="24">
        <v>0.3044</v>
      </c>
      <c r="J3222" s="25"/>
      <c r="K3222" s="24">
        <v>9.9600000000000009</v>
      </c>
      <c r="L3222" s="25"/>
    </row>
    <row r="3223" spans="1:12" ht="15" customHeight="1" x14ac:dyDescent="0.25">
      <c r="A3223" s="15" t="s">
        <v>51</v>
      </c>
      <c r="B3223" s="16"/>
      <c r="C3223" s="16"/>
      <c r="D3223" s="16"/>
      <c r="E3223" s="16"/>
      <c r="F3223" s="16"/>
      <c r="G3223" s="16"/>
      <c r="H3223" s="16"/>
      <c r="I3223" s="16"/>
      <c r="J3223" s="17"/>
      <c r="K3223" s="15">
        <v>11.87</v>
      </c>
      <c r="L3223" s="17"/>
    </row>
    <row r="3224" spans="1:12" x14ac:dyDescent="0.25">
      <c r="A3224" s="18"/>
      <c r="B3224" s="18"/>
      <c r="C3224" s="18"/>
      <c r="D3224" s="18"/>
      <c r="E3224" s="18"/>
      <c r="F3224" s="18"/>
      <c r="G3224" s="18"/>
      <c r="H3224" s="18"/>
      <c r="I3224" s="18"/>
      <c r="J3224" s="18"/>
      <c r="K3224" s="18"/>
      <c r="L3224" s="18"/>
    </row>
    <row r="3225" spans="1:12" ht="15" customHeight="1" x14ac:dyDescent="0.25">
      <c r="A3225" s="10" t="s">
        <v>52</v>
      </c>
      <c r="B3225" s="11"/>
      <c r="C3225" s="11"/>
      <c r="D3225" s="11"/>
      <c r="E3225" s="12"/>
      <c r="F3225" s="8" t="s">
        <v>21</v>
      </c>
      <c r="G3225" s="8" t="s">
        <v>22</v>
      </c>
      <c r="H3225" s="9" t="s">
        <v>44</v>
      </c>
      <c r="I3225" s="13" t="s">
        <v>34</v>
      </c>
      <c r="J3225" s="14"/>
      <c r="K3225" s="13" t="s">
        <v>50</v>
      </c>
      <c r="L3225" s="14"/>
    </row>
    <row r="3226" spans="1:12" ht="15" customHeight="1" x14ac:dyDescent="0.25">
      <c r="A3226" s="15" t="s">
        <v>53</v>
      </c>
      <c r="B3226" s="16"/>
      <c r="C3226" s="16"/>
      <c r="D3226" s="16"/>
      <c r="E3226" s="16"/>
      <c r="F3226" s="16"/>
      <c r="G3226" s="16"/>
      <c r="H3226" s="16"/>
      <c r="I3226" s="16"/>
      <c r="J3226" s="17"/>
      <c r="K3226" s="15">
        <v>0</v>
      </c>
      <c r="L3226" s="17"/>
    </row>
    <row r="3227" spans="1:12" x14ac:dyDescent="0.25">
      <c r="A3227" s="18"/>
      <c r="B3227" s="18"/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</row>
    <row r="3228" spans="1:12" ht="15" customHeight="1" x14ac:dyDescent="0.25">
      <c r="A3228" s="10" t="s">
        <v>54</v>
      </c>
      <c r="B3228" s="11"/>
      <c r="C3228" s="12"/>
      <c r="D3228" s="8" t="s">
        <v>21</v>
      </c>
      <c r="E3228" s="8" t="s">
        <v>22</v>
      </c>
      <c r="F3228" s="9" t="s">
        <v>55</v>
      </c>
      <c r="G3228" s="8" t="s">
        <v>56</v>
      </c>
      <c r="H3228" s="8" t="s">
        <v>57</v>
      </c>
      <c r="I3228" s="8" t="s">
        <v>58</v>
      </c>
      <c r="J3228" s="9" t="s">
        <v>59</v>
      </c>
      <c r="K3228" s="9" t="s">
        <v>34</v>
      </c>
      <c r="L3228" s="9" t="s">
        <v>50</v>
      </c>
    </row>
    <row r="3229" spans="1:12" ht="15" customHeight="1" x14ac:dyDescent="0.25">
      <c r="A3229" s="15" t="s">
        <v>60</v>
      </c>
      <c r="B3229" s="16"/>
      <c r="C3229" s="16"/>
      <c r="D3229" s="16"/>
      <c r="E3229" s="16"/>
      <c r="F3229" s="16"/>
      <c r="G3229" s="16"/>
      <c r="H3229" s="16"/>
      <c r="I3229" s="16"/>
      <c r="J3229" s="17"/>
      <c r="K3229" s="15">
        <v>0</v>
      </c>
      <c r="L3229" s="17"/>
    </row>
    <row r="3230" spans="1:12" x14ac:dyDescent="0.25">
      <c r="A3230" s="18"/>
      <c r="B3230" s="18"/>
      <c r="C3230" s="18"/>
      <c r="D3230" s="18"/>
      <c r="E3230" s="18"/>
      <c r="F3230" s="18"/>
      <c r="G3230" s="18"/>
      <c r="H3230" s="18"/>
      <c r="I3230" s="18"/>
      <c r="J3230" s="18"/>
      <c r="K3230" s="18"/>
      <c r="L3230" s="18"/>
    </row>
    <row r="3231" spans="1:12" ht="15" customHeight="1" x14ac:dyDescent="0.25">
      <c r="A3231" s="27" t="s">
        <v>61</v>
      </c>
      <c r="B3231" s="27"/>
      <c r="C3231" s="27"/>
      <c r="D3231" s="27"/>
      <c r="E3231" s="27"/>
      <c r="F3231" s="27"/>
      <c r="G3231" s="27"/>
      <c r="H3231" s="27"/>
      <c r="I3231" s="27"/>
      <c r="J3231" s="27"/>
      <c r="K3231" s="27">
        <v>28.86</v>
      </c>
      <c r="L3231" s="27"/>
    </row>
    <row r="3232" spans="1:12" ht="15" customHeight="1" x14ac:dyDescent="0.25">
      <c r="A3232" s="27" t="s">
        <v>62</v>
      </c>
      <c r="B3232" s="27"/>
      <c r="C3232" s="27"/>
      <c r="D3232" s="27"/>
      <c r="E3232" s="27"/>
      <c r="F3232" s="27"/>
      <c r="G3232" s="27"/>
      <c r="H3232" s="27"/>
      <c r="I3232" s="27"/>
      <c r="J3232" s="27"/>
      <c r="K3232" s="27">
        <v>9.6</v>
      </c>
      <c r="L3232" s="27"/>
    </row>
    <row r="3233" spans="1:12" ht="15" customHeight="1" x14ac:dyDescent="0.25">
      <c r="A3233" s="27" t="s">
        <v>63</v>
      </c>
      <c r="B3233" s="27"/>
      <c r="C3233" s="27"/>
      <c r="D3233" s="27"/>
      <c r="E3233" s="27"/>
      <c r="F3233" s="27"/>
      <c r="G3233" s="27"/>
      <c r="H3233" s="27"/>
      <c r="I3233" s="27"/>
      <c r="J3233" s="27"/>
      <c r="K3233" s="27">
        <v>38.46</v>
      </c>
      <c r="L3233" s="27"/>
    </row>
    <row r="3234" spans="1:12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</row>
    <row r="3235" spans="1:12" ht="15" customHeight="1" x14ac:dyDescent="0.25">
      <c r="A3235" s="3" t="s">
        <v>8</v>
      </c>
      <c r="B3235" s="6" t="s">
        <v>9</v>
      </c>
      <c r="C3235" s="6"/>
      <c r="D3235" s="6"/>
      <c r="E3235" s="6"/>
      <c r="F3235" s="6"/>
      <c r="G3235" s="6"/>
      <c r="H3235" s="6"/>
      <c r="I3235" s="6"/>
      <c r="J3235" s="6"/>
      <c r="K3235" s="6"/>
      <c r="L3235" s="6"/>
    </row>
    <row r="3236" spans="1:12" ht="15" customHeight="1" x14ac:dyDescent="0.25">
      <c r="A3236" s="3" t="s">
        <v>10</v>
      </c>
      <c r="B3236" s="6" t="s">
        <v>424</v>
      </c>
      <c r="C3236" s="6"/>
      <c r="D3236" s="6"/>
      <c r="E3236" s="6"/>
      <c r="F3236" s="6"/>
      <c r="G3236" s="6"/>
      <c r="H3236" s="6"/>
      <c r="I3236" s="6"/>
      <c r="J3236" s="6"/>
      <c r="K3236" s="3" t="s">
        <v>12</v>
      </c>
      <c r="L3236" s="4" t="s">
        <v>13</v>
      </c>
    </row>
    <row r="3237" spans="1:12" ht="15" customHeight="1" x14ac:dyDescent="0.25">
      <c r="A3237" s="3" t="s">
        <v>14</v>
      </c>
      <c r="B3237" s="6" t="s">
        <v>15</v>
      </c>
      <c r="C3237" s="6"/>
      <c r="D3237" s="7" t="s">
        <v>16</v>
      </c>
      <c r="E3237" s="7"/>
      <c r="F3237" s="6" t="str">
        <f>"190802"</f>
        <v>190802</v>
      </c>
      <c r="G3237" s="6"/>
      <c r="H3237" s="3" t="s">
        <v>17</v>
      </c>
      <c r="I3237" s="6" t="s">
        <v>18</v>
      </c>
      <c r="J3237" s="6"/>
      <c r="K3237" s="3" t="s">
        <v>19</v>
      </c>
      <c r="L3237" s="5">
        <v>1</v>
      </c>
    </row>
    <row r="3238" spans="1:12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</row>
    <row r="3239" spans="1:12" ht="15" customHeight="1" x14ac:dyDescent="0.25">
      <c r="A3239" s="10" t="s">
        <v>20</v>
      </c>
      <c r="B3239" s="11"/>
      <c r="C3239" s="12"/>
      <c r="D3239" s="8" t="s">
        <v>21</v>
      </c>
      <c r="E3239" s="8" t="s">
        <v>22</v>
      </c>
      <c r="F3239" s="9" t="s">
        <v>23</v>
      </c>
      <c r="G3239" s="9" t="s">
        <v>24</v>
      </c>
      <c r="H3239" s="9" t="s">
        <v>25</v>
      </c>
      <c r="I3239" s="9" t="s">
        <v>26</v>
      </c>
      <c r="J3239" s="9" t="s">
        <v>27</v>
      </c>
      <c r="K3239" s="13" t="s">
        <v>28</v>
      </c>
      <c r="L3239" s="14"/>
    </row>
    <row r="3240" spans="1:12" ht="15" customHeight="1" x14ac:dyDescent="0.25">
      <c r="A3240" s="15" t="s">
        <v>29</v>
      </c>
      <c r="B3240" s="16"/>
      <c r="C3240" s="16"/>
      <c r="D3240" s="16"/>
      <c r="E3240" s="16"/>
      <c r="F3240" s="16"/>
      <c r="G3240" s="16"/>
      <c r="H3240" s="16"/>
      <c r="I3240" s="16"/>
      <c r="J3240" s="17"/>
      <c r="K3240" s="15">
        <v>0</v>
      </c>
      <c r="L3240" s="17"/>
    </row>
    <row r="3241" spans="1:12" x14ac:dyDescent="0.25">
      <c r="A3241" s="18"/>
      <c r="B3241" s="18"/>
      <c r="C3241" s="18"/>
      <c r="D3241" s="18"/>
      <c r="E3241" s="18"/>
      <c r="F3241" s="18"/>
      <c r="G3241" s="18"/>
      <c r="H3241" s="18"/>
      <c r="I3241" s="18"/>
      <c r="J3241" s="18"/>
      <c r="K3241" s="18"/>
      <c r="L3241" s="18"/>
    </row>
    <row r="3242" spans="1:12" ht="15" customHeight="1" x14ac:dyDescent="0.25">
      <c r="A3242" s="10" t="s">
        <v>30</v>
      </c>
      <c r="B3242" s="11"/>
      <c r="C3242" s="12"/>
      <c r="D3242" s="8" t="s">
        <v>21</v>
      </c>
      <c r="E3242" s="8" t="s">
        <v>22</v>
      </c>
      <c r="F3242" s="9" t="s">
        <v>31</v>
      </c>
      <c r="G3242" s="9" t="s">
        <v>32</v>
      </c>
      <c r="H3242" s="9" t="s">
        <v>33</v>
      </c>
      <c r="I3242" s="13" t="s">
        <v>34</v>
      </c>
      <c r="J3242" s="14"/>
      <c r="K3242" s="13" t="s">
        <v>28</v>
      </c>
      <c r="L3242" s="14"/>
    </row>
    <row r="3243" spans="1:12" ht="15" customHeight="1" x14ac:dyDescent="0.25">
      <c r="A3243" s="21" t="s">
        <v>79</v>
      </c>
      <c r="B3243" s="22"/>
      <c r="C3243" s="23"/>
      <c r="D3243" s="19" t="str">
        <f>"010140"</f>
        <v>010140</v>
      </c>
      <c r="E3243" s="19" t="s">
        <v>36</v>
      </c>
      <c r="F3243" s="20">
        <v>10.119999999999999</v>
      </c>
      <c r="G3243" s="20">
        <v>157.27000000000001</v>
      </c>
      <c r="H3243" s="20">
        <v>26.03</v>
      </c>
      <c r="I3243" s="24">
        <v>5.4100000000000002E-2</v>
      </c>
      <c r="J3243" s="25"/>
      <c r="K3243" s="24">
        <v>1.4</v>
      </c>
      <c r="L3243" s="25"/>
    </row>
    <row r="3244" spans="1:12" ht="15" customHeight="1" x14ac:dyDescent="0.25">
      <c r="A3244" s="15" t="s">
        <v>38</v>
      </c>
      <c r="B3244" s="16"/>
      <c r="C3244" s="16"/>
      <c r="D3244" s="16"/>
      <c r="E3244" s="16"/>
      <c r="F3244" s="16"/>
      <c r="G3244" s="16"/>
      <c r="H3244" s="16"/>
      <c r="I3244" s="16"/>
      <c r="J3244" s="17"/>
      <c r="K3244" s="15">
        <v>1.4</v>
      </c>
      <c r="L3244" s="17"/>
    </row>
    <row r="3245" spans="1:12" x14ac:dyDescent="0.25">
      <c r="A3245" s="18"/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8"/>
    </row>
    <row r="3246" spans="1:12" ht="15" customHeight="1" x14ac:dyDescent="0.25">
      <c r="A3246" s="10" t="s">
        <v>39</v>
      </c>
      <c r="B3246" s="11"/>
      <c r="C3246" s="12"/>
      <c r="D3246" s="8" t="s">
        <v>21</v>
      </c>
      <c r="E3246" s="13" t="s">
        <v>40</v>
      </c>
      <c r="F3246" s="14"/>
      <c r="G3246" s="8" t="s">
        <v>41</v>
      </c>
      <c r="H3246" s="8" t="s">
        <v>42</v>
      </c>
      <c r="I3246" s="8" t="s">
        <v>43</v>
      </c>
      <c r="J3246" s="13" t="s">
        <v>44</v>
      </c>
      <c r="K3246" s="26"/>
      <c r="L3246" s="14"/>
    </row>
    <row r="3247" spans="1:12" ht="15" customHeight="1" x14ac:dyDescent="0.25">
      <c r="A3247" s="15" t="s">
        <v>45</v>
      </c>
      <c r="B3247" s="16"/>
      <c r="C3247" s="16"/>
      <c r="D3247" s="16"/>
      <c r="E3247" s="16"/>
      <c r="F3247" s="16"/>
      <c r="G3247" s="16"/>
      <c r="H3247" s="16"/>
      <c r="I3247" s="16"/>
      <c r="J3247" s="17"/>
      <c r="K3247" s="15">
        <v>0</v>
      </c>
      <c r="L3247" s="17"/>
    </row>
    <row r="3248" spans="1:12" x14ac:dyDescent="0.25">
      <c r="A3248" s="18"/>
      <c r="B3248" s="18"/>
      <c r="C3248" s="18"/>
      <c r="D3248" s="18"/>
      <c r="E3248" s="18"/>
      <c r="F3248" s="18"/>
      <c r="G3248" s="18"/>
      <c r="H3248" s="18"/>
      <c r="I3248" s="18"/>
      <c r="J3248" s="18"/>
      <c r="K3248" s="18"/>
      <c r="L3248" s="18"/>
    </row>
    <row r="3249" spans="1:12" ht="15" customHeight="1" x14ac:dyDescent="0.25">
      <c r="A3249" s="27" t="s">
        <v>46</v>
      </c>
      <c r="B3249" s="27"/>
      <c r="C3249" s="27"/>
      <c r="D3249" s="27"/>
      <c r="E3249" s="27"/>
      <c r="F3249" s="27"/>
      <c r="G3249" s="27"/>
      <c r="H3249" s="27"/>
      <c r="I3249" s="27"/>
      <c r="J3249" s="27"/>
      <c r="K3249" s="27">
        <v>1.4</v>
      </c>
      <c r="L3249" s="27"/>
    </row>
    <row r="3250" spans="1:12" ht="15" customHeight="1" x14ac:dyDescent="0.25">
      <c r="A3250" s="27" t="s">
        <v>47</v>
      </c>
      <c r="B3250" s="27"/>
      <c r="C3250" s="27"/>
      <c r="D3250" s="27"/>
      <c r="E3250" s="27"/>
      <c r="F3250" s="27"/>
      <c r="G3250" s="27"/>
      <c r="H3250" s="27"/>
      <c r="I3250" s="27"/>
      <c r="J3250" s="27"/>
      <c r="K3250" s="27">
        <v>1</v>
      </c>
      <c r="L3250" s="27"/>
    </row>
    <row r="3251" spans="1:12" ht="15" customHeight="1" x14ac:dyDescent="0.25">
      <c r="A3251" s="27" t="s">
        <v>48</v>
      </c>
      <c r="B3251" s="27"/>
      <c r="C3251" s="27"/>
      <c r="D3251" s="27"/>
      <c r="E3251" s="27"/>
      <c r="F3251" s="27"/>
      <c r="G3251" s="27"/>
      <c r="H3251" s="27"/>
      <c r="I3251" s="27"/>
      <c r="J3251" s="27"/>
      <c r="K3251" s="27">
        <v>1.4</v>
      </c>
      <c r="L3251" s="27"/>
    </row>
    <row r="3252" spans="1:12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</row>
    <row r="3253" spans="1:12" ht="15" customHeight="1" x14ac:dyDescent="0.25">
      <c r="A3253" s="10" t="s">
        <v>49</v>
      </c>
      <c r="B3253" s="11"/>
      <c r="C3253" s="11"/>
      <c r="D3253" s="11"/>
      <c r="E3253" s="12"/>
      <c r="F3253" s="8" t="s">
        <v>21</v>
      </c>
      <c r="G3253" s="8" t="s">
        <v>22</v>
      </c>
      <c r="H3253" s="9" t="s">
        <v>44</v>
      </c>
      <c r="I3253" s="13" t="s">
        <v>34</v>
      </c>
      <c r="J3253" s="14"/>
      <c r="K3253" s="13" t="s">
        <v>50</v>
      </c>
      <c r="L3253" s="14"/>
    </row>
    <row r="3254" spans="1:12" ht="15" customHeight="1" x14ac:dyDescent="0.25">
      <c r="A3254" s="21" t="s">
        <v>80</v>
      </c>
      <c r="B3254" s="22"/>
      <c r="C3254" s="22"/>
      <c r="D3254" s="22"/>
      <c r="E3254" s="23"/>
      <c r="F3254" s="19" t="str">
        <f>"038013"</f>
        <v>038013</v>
      </c>
      <c r="G3254" s="19" t="s">
        <v>81</v>
      </c>
      <c r="H3254" s="20">
        <v>0.88</v>
      </c>
      <c r="I3254" s="24">
        <v>0.4</v>
      </c>
      <c r="J3254" s="25"/>
      <c r="K3254" s="24">
        <v>0.35</v>
      </c>
      <c r="L3254" s="25"/>
    </row>
    <row r="3255" spans="1:12" ht="15" customHeight="1" x14ac:dyDescent="0.25">
      <c r="A3255" s="15" t="s">
        <v>51</v>
      </c>
      <c r="B3255" s="16"/>
      <c r="C3255" s="16"/>
      <c r="D3255" s="16"/>
      <c r="E3255" s="16"/>
      <c r="F3255" s="16"/>
      <c r="G3255" s="16"/>
      <c r="H3255" s="16"/>
      <c r="I3255" s="16"/>
      <c r="J3255" s="17"/>
      <c r="K3255" s="15">
        <v>0.35</v>
      </c>
      <c r="L3255" s="17"/>
    </row>
    <row r="3256" spans="1:12" x14ac:dyDescent="0.25">
      <c r="A3256" s="18"/>
      <c r="B3256" s="18"/>
      <c r="C3256" s="18"/>
      <c r="D3256" s="18"/>
      <c r="E3256" s="18"/>
      <c r="F3256" s="18"/>
      <c r="G3256" s="18"/>
      <c r="H3256" s="18"/>
      <c r="I3256" s="18"/>
      <c r="J3256" s="18"/>
      <c r="K3256" s="18"/>
      <c r="L3256" s="18"/>
    </row>
    <row r="3257" spans="1:12" ht="15" customHeight="1" x14ac:dyDescent="0.25">
      <c r="A3257" s="10" t="s">
        <v>52</v>
      </c>
      <c r="B3257" s="11"/>
      <c r="C3257" s="11"/>
      <c r="D3257" s="11"/>
      <c r="E3257" s="12"/>
      <c r="F3257" s="8" t="s">
        <v>21</v>
      </c>
      <c r="G3257" s="8" t="s">
        <v>22</v>
      </c>
      <c r="H3257" s="9" t="s">
        <v>44</v>
      </c>
      <c r="I3257" s="13" t="s">
        <v>34</v>
      </c>
      <c r="J3257" s="14"/>
      <c r="K3257" s="13" t="s">
        <v>50</v>
      </c>
      <c r="L3257" s="14"/>
    </row>
    <row r="3258" spans="1:12" ht="15" customHeight="1" x14ac:dyDescent="0.25">
      <c r="A3258" s="15" t="s">
        <v>53</v>
      </c>
      <c r="B3258" s="16"/>
      <c r="C3258" s="16"/>
      <c r="D3258" s="16"/>
      <c r="E3258" s="16"/>
      <c r="F3258" s="16"/>
      <c r="G3258" s="16"/>
      <c r="H3258" s="16"/>
      <c r="I3258" s="16"/>
      <c r="J3258" s="17"/>
      <c r="K3258" s="15">
        <v>0</v>
      </c>
      <c r="L3258" s="17"/>
    </row>
    <row r="3259" spans="1:12" x14ac:dyDescent="0.25">
      <c r="A3259" s="18"/>
      <c r="B3259" s="18"/>
      <c r="C3259" s="18"/>
      <c r="D3259" s="18"/>
      <c r="E3259" s="18"/>
      <c r="F3259" s="18"/>
      <c r="G3259" s="18"/>
      <c r="H3259" s="18"/>
      <c r="I3259" s="18"/>
      <c r="J3259" s="18"/>
      <c r="K3259" s="18"/>
      <c r="L3259" s="18"/>
    </row>
    <row r="3260" spans="1:12" ht="15" customHeight="1" x14ac:dyDescent="0.25">
      <c r="A3260" s="10" t="s">
        <v>54</v>
      </c>
      <c r="B3260" s="11"/>
      <c r="C3260" s="12"/>
      <c r="D3260" s="8" t="s">
        <v>21</v>
      </c>
      <c r="E3260" s="8" t="s">
        <v>22</v>
      </c>
      <c r="F3260" s="9" t="s">
        <v>55</v>
      </c>
      <c r="G3260" s="8" t="s">
        <v>56</v>
      </c>
      <c r="H3260" s="8" t="s">
        <v>57</v>
      </c>
      <c r="I3260" s="8" t="s">
        <v>58</v>
      </c>
      <c r="J3260" s="9" t="s">
        <v>59</v>
      </c>
      <c r="K3260" s="9" t="s">
        <v>34</v>
      </c>
      <c r="L3260" s="9" t="s">
        <v>50</v>
      </c>
    </row>
    <row r="3261" spans="1:12" ht="15" customHeight="1" x14ac:dyDescent="0.25">
      <c r="A3261" s="15" t="s">
        <v>60</v>
      </c>
      <c r="B3261" s="16"/>
      <c r="C3261" s="16"/>
      <c r="D3261" s="16"/>
      <c r="E3261" s="16"/>
      <c r="F3261" s="16"/>
      <c r="G3261" s="16"/>
      <c r="H3261" s="16"/>
      <c r="I3261" s="16"/>
      <c r="J3261" s="17"/>
      <c r="K3261" s="15">
        <v>0</v>
      </c>
      <c r="L3261" s="17"/>
    </row>
    <row r="3262" spans="1:12" x14ac:dyDescent="0.25">
      <c r="A3262" s="18"/>
      <c r="B3262" s="18"/>
      <c r="C3262" s="18"/>
      <c r="D3262" s="18"/>
      <c r="E3262" s="18"/>
      <c r="F3262" s="18"/>
      <c r="G3262" s="18"/>
      <c r="H3262" s="18"/>
      <c r="I3262" s="18"/>
      <c r="J3262" s="18"/>
      <c r="K3262" s="18"/>
      <c r="L3262" s="18"/>
    </row>
    <row r="3263" spans="1:12" ht="15" customHeight="1" x14ac:dyDescent="0.25">
      <c r="A3263" s="27" t="s">
        <v>61</v>
      </c>
      <c r="B3263" s="27"/>
      <c r="C3263" s="27"/>
      <c r="D3263" s="27"/>
      <c r="E3263" s="27"/>
      <c r="F3263" s="27"/>
      <c r="G3263" s="27"/>
      <c r="H3263" s="27"/>
      <c r="I3263" s="27"/>
      <c r="J3263" s="27"/>
      <c r="K3263" s="27">
        <v>1.75</v>
      </c>
      <c r="L3263" s="27"/>
    </row>
    <row r="3264" spans="1:12" ht="15" customHeight="1" x14ac:dyDescent="0.25">
      <c r="A3264" s="27" t="s">
        <v>62</v>
      </c>
      <c r="B3264" s="27"/>
      <c r="C3264" s="27"/>
      <c r="D3264" s="27"/>
      <c r="E3264" s="27"/>
      <c r="F3264" s="27"/>
      <c r="G3264" s="27"/>
      <c r="H3264" s="27"/>
      <c r="I3264" s="27"/>
      <c r="J3264" s="27"/>
      <c r="K3264" s="27">
        <v>0.57999999999999996</v>
      </c>
      <c r="L3264" s="27"/>
    </row>
    <row r="3265" spans="1:12" ht="15" customHeight="1" x14ac:dyDescent="0.25">
      <c r="A3265" s="27" t="s">
        <v>63</v>
      </c>
      <c r="B3265" s="27"/>
      <c r="C3265" s="27"/>
      <c r="D3265" s="27"/>
      <c r="E3265" s="27"/>
      <c r="F3265" s="27"/>
      <c r="G3265" s="27"/>
      <c r="H3265" s="27"/>
      <c r="I3265" s="27"/>
      <c r="J3265" s="27"/>
      <c r="K3265" s="27">
        <v>2.33</v>
      </c>
      <c r="L3265" s="27"/>
    </row>
    <row r="3266" spans="1:12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</row>
    <row r="3267" spans="1:12" ht="15" customHeight="1" x14ac:dyDescent="0.25">
      <c r="A3267" s="3" t="s">
        <v>8</v>
      </c>
      <c r="B3267" s="6" t="s">
        <v>9</v>
      </c>
      <c r="C3267" s="6"/>
      <c r="D3267" s="6"/>
      <c r="E3267" s="6"/>
      <c r="F3267" s="6"/>
      <c r="G3267" s="6"/>
      <c r="H3267" s="6"/>
      <c r="I3267" s="6"/>
      <c r="J3267" s="6"/>
      <c r="K3267" s="6"/>
      <c r="L3267" s="6"/>
    </row>
    <row r="3268" spans="1:12" ht="15" customHeight="1" x14ac:dyDescent="0.25">
      <c r="A3268" s="3" t="s">
        <v>10</v>
      </c>
      <c r="B3268" s="6" t="s">
        <v>425</v>
      </c>
      <c r="C3268" s="6"/>
      <c r="D3268" s="6"/>
      <c r="E3268" s="6"/>
      <c r="F3268" s="6"/>
      <c r="G3268" s="6"/>
      <c r="H3268" s="6"/>
      <c r="I3268" s="6"/>
      <c r="J3268" s="6"/>
      <c r="K3268" s="3" t="s">
        <v>12</v>
      </c>
      <c r="L3268" s="4" t="s">
        <v>13</v>
      </c>
    </row>
    <row r="3269" spans="1:12" ht="15" customHeight="1" x14ac:dyDescent="0.25">
      <c r="A3269" s="3" t="s">
        <v>14</v>
      </c>
      <c r="B3269" s="6" t="s">
        <v>15</v>
      </c>
      <c r="C3269" s="6"/>
      <c r="D3269" s="7" t="s">
        <v>16</v>
      </c>
      <c r="E3269" s="7"/>
      <c r="F3269" s="6" t="str">
        <f>"190417"</f>
        <v>190417</v>
      </c>
      <c r="G3269" s="6"/>
      <c r="H3269" s="3" t="s">
        <v>17</v>
      </c>
      <c r="I3269" s="6" t="s">
        <v>18</v>
      </c>
      <c r="J3269" s="6"/>
      <c r="K3269" s="3" t="s">
        <v>19</v>
      </c>
      <c r="L3269" s="5">
        <v>1</v>
      </c>
    </row>
    <row r="3270" spans="1:12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</row>
    <row r="3271" spans="1:12" ht="15" customHeight="1" x14ac:dyDescent="0.25">
      <c r="A3271" s="10" t="s">
        <v>20</v>
      </c>
      <c r="B3271" s="11"/>
      <c r="C3271" s="12"/>
      <c r="D3271" s="8" t="s">
        <v>21</v>
      </c>
      <c r="E3271" s="8" t="s">
        <v>22</v>
      </c>
      <c r="F3271" s="9" t="s">
        <v>23</v>
      </c>
      <c r="G3271" s="9" t="s">
        <v>24</v>
      </c>
      <c r="H3271" s="9" t="s">
        <v>25</v>
      </c>
      <c r="I3271" s="9" t="s">
        <v>26</v>
      </c>
      <c r="J3271" s="9" t="s">
        <v>27</v>
      </c>
      <c r="K3271" s="13" t="s">
        <v>28</v>
      </c>
      <c r="L3271" s="14"/>
    </row>
    <row r="3272" spans="1:12" ht="15" customHeight="1" x14ac:dyDescent="0.25">
      <c r="A3272" s="15" t="s">
        <v>29</v>
      </c>
      <c r="B3272" s="16"/>
      <c r="C3272" s="16"/>
      <c r="D3272" s="16"/>
      <c r="E3272" s="16"/>
      <c r="F3272" s="16"/>
      <c r="G3272" s="16"/>
      <c r="H3272" s="16"/>
      <c r="I3272" s="16"/>
      <c r="J3272" s="17"/>
      <c r="K3272" s="15">
        <v>0</v>
      </c>
      <c r="L3272" s="17"/>
    </row>
    <row r="3273" spans="1:12" x14ac:dyDescent="0.25">
      <c r="A3273" s="18"/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8"/>
    </row>
    <row r="3274" spans="1:12" ht="15" customHeight="1" x14ac:dyDescent="0.25">
      <c r="A3274" s="10" t="s">
        <v>30</v>
      </c>
      <c r="B3274" s="11"/>
      <c r="C3274" s="12"/>
      <c r="D3274" s="8" t="s">
        <v>21</v>
      </c>
      <c r="E3274" s="8" t="s">
        <v>22</v>
      </c>
      <c r="F3274" s="9" t="s">
        <v>31</v>
      </c>
      <c r="G3274" s="9" t="s">
        <v>32</v>
      </c>
      <c r="H3274" s="9" t="s">
        <v>33</v>
      </c>
      <c r="I3274" s="13" t="s">
        <v>34</v>
      </c>
      <c r="J3274" s="14"/>
      <c r="K3274" s="13" t="s">
        <v>28</v>
      </c>
      <c r="L3274" s="14"/>
    </row>
    <row r="3275" spans="1:12" ht="15" customHeight="1" x14ac:dyDescent="0.25">
      <c r="A3275" s="21" t="s">
        <v>76</v>
      </c>
      <c r="B3275" s="22"/>
      <c r="C3275" s="23"/>
      <c r="D3275" s="19" t="str">
        <f>"010101"</f>
        <v>010101</v>
      </c>
      <c r="E3275" s="19" t="s">
        <v>36</v>
      </c>
      <c r="F3275" s="20">
        <v>8.5299999999999994</v>
      </c>
      <c r="G3275" s="20">
        <v>157.27000000000001</v>
      </c>
      <c r="H3275" s="20">
        <v>21.94</v>
      </c>
      <c r="I3275" s="24">
        <v>0.6</v>
      </c>
      <c r="J3275" s="25"/>
      <c r="K3275" s="24">
        <v>13.16</v>
      </c>
      <c r="L3275" s="25"/>
    </row>
    <row r="3276" spans="1:12" ht="15" customHeight="1" x14ac:dyDescent="0.25">
      <c r="A3276" s="21" t="s">
        <v>79</v>
      </c>
      <c r="B3276" s="22"/>
      <c r="C3276" s="23"/>
      <c r="D3276" s="19" t="str">
        <f>"010140"</f>
        <v>010140</v>
      </c>
      <c r="E3276" s="19" t="s">
        <v>36</v>
      </c>
      <c r="F3276" s="20">
        <v>10.119999999999999</v>
      </c>
      <c r="G3276" s="20">
        <v>157.27000000000001</v>
      </c>
      <c r="H3276" s="20">
        <v>26.03</v>
      </c>
      <c r="I3276" s="24">
        <v>0.5</v>
      </c>
      <c r="J3276" s="25"/>
      <c r="K3276" s="24">
        <v>13.01</v>
      </c>
      <c r="L3276" s="25"/>
    </row>
    <row r="3277" spans="1:12" ht="15" customHeight="1" x14ac:dyDescent="0.25">
      <c r="A3277" s="15" t="s">
        <v>38</v>
      </c>
      <c r="B3277" s="16"/>
      <c r="C3277" s="16"/>
      <c r="D3277" s="16"/>
      <c r="E3277" s="16"/>
      <c r="F3277" s="16"/>
      <c r="G3277" s="16"/>
      <c r="H3277" s="16"/>
      <c r="I3277" s="16"/>
      <c r="J3277" s="17"/>
      <c r="K3277" s="15">
        <v>26.17</v>
      </c>
      <c r="L3277" s="17"/>
    </row>
    <row r="3278" spans="1:12" x14ac:dyDescent="0.25">
      <c r="A3278" s="18"/>
      <c r="B3278" s="18"/>
      <c r="C3278" s="18"/>
      <c r="D3278" s="18"/>
      <c r="E3278" s="18"/>
      <c r="F3278" s="18"/>
      <c r="G3278" s="18"/>
      <c r="H3278" s="18"/>
      <c r="I3278" s="18"/>
      <c r="J3278" s="18"/>
      <c r="K3278" s="18"/>
      <c r="L3278" s="18"/>
    </row>
    <row r="3279" spans="1:12" ht="15" customHeight="1" x14ac:dyDescent="0.25">
      <c r="A3279" s="10" t="s">
        <v>39</v>
      </c>
      <c r="B3279" s="11"/>
      <c r="C3279" s="12"/>
      <c r="D3279" s="8" t="s">
        <v>21</v>
      </c>
      <c r="E3279" s="13" t="s">
        <v>40</v>
      </c>
      <c r="F3279" s="14"/>
      <c r="G3279" s="8" t="s">
        <v>41</v>
      </c>
      <c r="H3279" s="8" t="s">
        <v>42</v>
      </c>
      <c r="I3279" s="8" t="s">
        <v>43</v>
      </c>
      <c r="J3279" s="13" t="s">
        <v>44</v>
      </c>
      <c r="K3279" s="26"/>
      <c r="L3279" s="14"/>
    </row>
    <row r="3280" spans="1:12" ht="15" customHeight="1" x14ac:dyDescent="0.25">
      <c r="A3280" s="15" t="s">
        <v>45</v>
      </c>
      <c r="B3280" s="16"/>
      <c r="C3280" s="16"/>
      <c r="D3280" s="16"/>
      <c r="E3280" s="16"/>
      <c r="F3280" s="16"/>
      <c r="G3280" s="16"/>
      <c r="H3280" s="16"/>
      <c r="I3280" s="16"/>
      <c r="J3280" s="17"/>
      <c r="K3280" s="15">
        <v>0</v>
      </c>
      <c r="L3280" s="17"/>
    </row>
    <row r="3281" spans="1:12" x14ac:dyDescent="0.25">
      <c r="A3281" s="18"/>
      <c r="B3281" s="18"/>
      <c r="C3281" s="18"/>
      <c r="D3281" s="18"/>
      <c r="E3281" s="18"/>
      <c r="F3281" s="18"/>
      <c r="G3281" s="18"/>
      <c r="H3281" s="18"/>
      <c r="I3281" s="18"/>
      <c r="J3281" s="18"/>
      <c r="K3281" s="18"/>
      <c r="L3281" s="18"/>
    </row>
    <row r="3282" spans="1:12" ht="15" customHeight="1" x14ac:dyDescent="0.25">
      <c r="A3282" s="27" t="s">
        <v>46</v>
      </c>
      <c r="B3282" s="27"/>
      <c r="C3282" s="27"/>
      <c r="D3282" s="27"/>
      <c r="E3282" s="27"/>
      <c r="F3282" s="27"/>
      <c r="G3282" s="27"/>
      <c r="H3282" s="27"/>
      <c r="I3282" s="27"/>
      <c r="J3282" s="27"/>
      <c r="K3282" s="27">
        <v>26.17</v>
      </c>
      <c r="L3282" s="27"/>
    </row>
    <row r="3283" spans="1:12" ht="15" customHeight="1" x14ac:dyDescent="0.25">
      <c r="A3283" s="27" t="s">
        <v>47</v>
      </c>
      <c r="B3283" s="27"/>
      <c r="C3283" s="27"/>
      <c r="D3283" s="27"/>
      <c r="E3283" s="27"/>
      <c r="F3283" s="27"/>
      <c r="G3283" s="27"/>
      <c r="H3283" s="27"/>
      <c r="I3283" s="27"/>
      <c r="J3283" s="27"/>
      <c r="K3283" s="27">
        <v>1</v>
      </c>
      <c r="L3283" s="27"/>
    </row>
    <row r="3284" spans="1:12" ht="15" customHeight="1" x14ac:dyDescent="0.25">
      <c r="A3284" s="27" t="s">
        <v>48</v>
      </c>
      <c r="B3284" s="27"/>
      <c r="C3284" s="27"/>
      <c r="D3284" s="27"/>
      <c r="E3284" s="27"/>
      <c r="F3284" s="27"/>
      <c r="G3284" s="27"/>
      <c r="H3284" s="27"/>
      <c r="I3284" s="27"/>
      <c r="J3284" s="27"/>
      <c r="K3284" s="27">
        <v>26.17</v>
      </c>
      <c r="L3284" s="27"/>
    </row>
    <row r="3285" spans="1:12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</row>
    <row r="3286" spans="1:12" ht="15" customHeight="1" x14ac:dyDescent="0.25">
      <c r="A3286" s="10" t="s">
        <v>49</v>
      </c>
      <c r="B3286" s="11"/>
      <c r="C3286" s="11"/>
      <c r="D3286" s="11"/>
      <c r="E3286" s="12"/>
      <c r="F3286" s="8" t="s">
        <v>21</v>
      </c>
      <c r="G3286" s="8" t="s">
        <v>22</v>
      </c>
      <c r="H3286" s="9" t="s">
        <v>44</v>
      </c>
      <c r="I3286" s="13" t="s">
        <v>34</v>
      </c>
      <c r="J3286" s="14"/>
      <c r="K3286" s="13" t="s">
        <v>50</v>
      </c>
      <c r="L3286" s="14"/>
    </row>
    <row r="3287" spans="1:12" ht="15" customHeight="1" x14ac:dyDescent="0.25">
      <c r="A3287" s="21" t="s">
        <v>420</v>
      </c>
      <c r="B3287" s="22"/>
      <c r="C3287" s="22"/>
      <c r="D3287" s="22"/>
      <c r="E3287" s="23"/>
      <c r="F3287" s="19" t="str">
        <f>"037502"</f>
        <v>037502</v>
      </c>
      <c r="G3287" s="19" t="s">
        <v>109</v>
      </c>
      <c r="H3287" s="20">
        <v>39.24</v>
      </c>
      <c r="I3287" s="24">
        <v>0.18</v>
      </c>
      <c r="J3287" s="25"/>
      <c r="K3287" s="24">
        <v>7.06</v>
      </c>
      <c r="L3287" s="25"/>
    </row>
    <row r="3288" spans="1:12" ht="15" customHeight="1" x14ac:dyDescent="0.25">
      <c r="A3288" s="21" t="s">
        <v>421</v>
      </c>
      <c r="B3288" s="22"/>
      <c r="C3288" s="22"/>
      <c r="D3288" s="22"/>
      <c r="E3288" s="23"/>
      <c r="F3288" s="19" t="str">
        <f>"038001"</f>
        <v>038001</v>
      </c>
      <c r="G3288" s="19" t="s">
        <v>109</v>
      </c>
      <c r="H3288" s="20">
        <v>17.190000000000001</v>
      </c>
      <c r="I3288" s="24">
        <v>0.03</v>
      </c>
      <c r="J3288" s="25"/>
      <c r="K3288" s="24">
        <v>0.51</v>
      </c>
      <c r="L3288" s="25"/>
    </row>
    <row r="3289" spans="1:12" ht="15" customHeight="1" x14ac:dyDescent="0.25">
      <c r="A3289" s="21" t="s">
        <v>426</v>
      </c>
      <c r="B3289" s="22"/>
      <c r="C3289" s="22"/>
      <c r="D3289" s="22"/>
      <c r="E3289" s="23"/>
      <c r="F3289" s="19" t="str">
        <f>"150881"</f>
        <v>150881</v>
      </c>
      <c r="G3289" s="19" t="s">
        <v>81</v>
      </c>
      <c r="H3289" s="20">
        <v>2.37</v>
      </c>
      <c r="I3289" s="24">
        <v>0.3</v>
      </c>
      <c r="J3289" s="25"/>
      <c r="K3289" s="24">
        <v>0.71</v>
      </c>
      <c r="L3289" s="25"/>
    </row>
    <row r="3290" spans="1:12" ht="15" customHeight="1" x14ac:dyDescent="0.25">
      <c r="A3290" s="15" t="s">
        <v>51</v>
      </c>
      <c r="B3290" s="16"/>
      <c r="C3290" s="16"/>
      <c r="D3290" s="16"/>
      <c r="E3290" s="16"/>
      <c r="F3290" s="16"/>
      <c r="G3290" s="16"/>
      <c r="H3290" s="16"/>
      <c r="I3290" s="16"/>
      <c r="J3290" s="17"/>
      <c r="K3290" s="15">
        <v>8.2799999999999994</v>
      </c>
      <c r="L3290" s="17"/>
    </row>
    <row r="3291" spans="1:12" x14ac:dyDescent="0.25">
      <c r="A3291" s="18"/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8"/>
    </row>
    <row r="3292" spans="1:12" ht="15" customHeight="1" x14ac:dyDescent="0.25">
      <c r="A3292" s="10" t="s">
        <v>52</v>
      </c>
      <c r="B3292" s="11"/>
      <c r="C3292" s="11"/>
      <c r="D3292" s="11"/>
      <c r="E3292" s="12"/>
      <c r="F3292" s="8" t="s">
        <v>21</v>
      </c>
      <c r="G3292" s="8" t="s">
        <v>22</v>
      </c>
      <c r="H3292" s="9" t="s">
        <v>44</v>
      </c>
      <c r="I3292" s="13" t="s">
        <v>34</v>
      </c>
      <c r="J3292" s="14"/>
      <c r="K3292" s="13" t="s">
        <v>50</v>
      </c>
      <c r="L3292" s="14"/>
    </row>
    <row r="3293" spans="1:12" ht="15" customHeight="1" x14ac:dyDescent="0.25">
      <c r="A3293" s="21" t="s">
        <v>427</v>
      </c>
      <c r="B3293" s="22"/>
      <c r="C3293" s="22"/>
      <c r="D3293" s="22"/>
      <c r="E3293" s="23"/>
      <c r="F3293" s="19" t="s">
        <v>428</v>
      </c>
      <c r="G3293" s="19" t="s">
        <v>13</v>
      </c>
      <c r="H3293" s="20">
        <v>1</v>
      </c>
      <c r="I3293" s="24">
        <v>16.13</v>
      </c>
      <c r="J3293" s="25"/>
      <c r="K3293" s="24">
        <v>16.13</v>
      </c>
      <c r="L3293" s="25"/>
    </row>
    <row r="3294" spans="1:12" ht="15" customHeight="1" x14ac:dyDescent="0.25">
      <c r="A3294" s="15" t="s">
        <v>53</v>
      </c>
      <c r="B3294" s="16"/>
      <c r="C3294" s="16"/>
      <c r="D3294" s="16"/>
      <c r="E3294" s="16"/>
      <c r="F3294" s="16"/>
      <c r="G3294" s="16"/>
      <c r="H3294" s="16"/>
      <c r="I3294" s="16"/>
      <c r="J3294" s="17"/>
      <c r="K3294" s="15">
        <v>16.13</v>
      </c>
      <c r="L3294" s="17"/>
    </row>
    <row r="3295" spans="1:12" x14ac:dyDescent="0.25">
      <c r="A3295" s="18"/>
      <c r="B3295" s="18"/>
      <c r="C3295" s="18"/>
      <c r="D3295" s="18"/>
      <c r="E3295" s="18"/>
      <c r="F3295" s="18"/>
      <c r="G3295" s="18"/>
      <c r="H3295" s="18"/>
      <c r="I3295" s="18"/>
      <c r="J3295" s="18"/>
      <c r="K3295" s="18"/>
      <c r="L3295" s="18"/>
    </row>
    <row r="3296" spans="1:12" ht="15" customHeight="1" x14ac:dyDescent="0.25">
      <c r="A3296" s="10" t="s">
        <v>54</v>
      </c>
      <c r="B3296" s="11"/>
      <c r="C3296" s="12"/>
      <c r="D3296" s="8" t="s">
        <v>21</v>
      </c>
      <c r="E3296" s="8" t="s">
        <v>22</v>
      </c>
      <c r="F3296" s="9" t="s">
        <v>55</v>
      </c>
      <c r="G3296" s="8" t="s">
        <v>56</v>
      </c>
      <c r="H3296" s="8" t="s">
        <v>57</v>
      </c>
      <c r="I3296" s="8" t="s">
        <v>58</v>
      </c>
      <c r="J3296" s="9" t="s">
        <v>59</v>
      </c>
      <c r="K3296" s="9" t="s">
        <v>34</v>
      </c>
      <c r="L3296" s="9" t="s">
        <v>50</v>
      </c>
    </row>
    <row r="3297" spans="1:12" ht="15" customHeight="1" x14ac:dyDescent="0.25">
      <c r="A3297" s="15" t="s">
        <v>60</v>
      </c>
      <c r="B3297" s="16"/>
      <c r="C3297" s="16"/>
      <c r="D3297" s="16"/>
      <c r="E3297" s="16"/>
      <c r="F3297" s="16"/>
      <c r="G3297" s="16"/>
      <c r="H3297" s="16"/>
      <c r="I3297" s="16"/>
      <c r="J3297" s="17"/>
      <c r="K3297" s="15">
        <v>0</v>
      </c>
      <c r="L3297" s="17"/>
    </row>
    <row r="3298" spans="1:12" x14ac:dyDescent="0.25">
      <c r="A3298" s="18"/>
      <c r="B3298" s="18"/>
      <c r="C3298" s="18"/>
      <c r="D3298" s="18"/>
      <c r="E3298" s="18"/>
      <c r="F3298" s="18"/>
      <c r="G3298" s="18"/>
      <c r="H3298" s="18"/>
      <c r="I3298" s="18"/>
      <c r="J3298" s="18"/>
      <c r="K3298" s="18"/>
      <c r="L3298" s="18"/>
    </row>
    <row r="3299" spans="1:12" ht="15" customHeight="1" x14ac:dyDescent="0.25">
      <c r="A3299" s="27" t="s">
        <v>61</v>
      </c>
      <c r="B3299" s="27"/>
      <c r="C3299" s="27"/>
      <c r="D3299" s="27"/>
      <c r="E3299" s="27"/>
      <c r="F3299" s="27"/>
      <c r="G3299" s="27"/>
      <c r="H3299" s="27"/>
      <c r="I3299" s="27"/>
      <c r="J3299" s="27"/>
      <c r="K3299" s="27">
        <v>50.58</v>
      </c>
      <c r="L3299" s="27"/>
    </row>
    <row r="3300" spans="1:12" ht="15" customHeight="1" x14ac:dyDescent="0.25">
      <c r="A3300" s="27" t="s">
        <v>62</v>
      </c>
      <c r="B3300" s="27"/>
      <c r="C3300" s="27"/>
      <c r="D3300" s="27"/>
      <c r="E3300" s="27"/>
      <c r="F3300" s="27"/>
      <c r="G3300" s="27"/>
      <c r="H3300" s="27"/>
      <c r="I3300" s="27"/>
      <c r="J3300" s="27"/>
      <c r="K3300" s="27">
        <v>16.82</v>
      </c>
      <c r="L3300" s="27"/>
    </row>
    <row r="3301" spans="1:12" ht="15" customHeight="1" x14ac:dyDescent="0.25">
      <c r="A3301" s="27" t="s">
        <v>63</v>
      </c>
      <c r="B3301" s="27"/>
      <c r="C3301" s="27"/>
      <c r="D3301" s="27"/>
      <c r="E3301" s="27"/>
      <c r="F3301" s="27"/>
      <c r="G3301" s="27"/>
      <c r="H3301" s="27"/>
      <c r="I3301" s="27"/>
      <c r="J3301" s="27"/>
      <c r="K3301" s="27">
        <v>67.400000000000006</v>
      </c>
      <c r="L3301" s="27"/>
    </row>
    <row r="3302" spans="1:12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</row>
    <row r="3303" spans="1:12" ht="15" customHeight="1" x14ac:dyDescent="0.25">
      <c r="A3303" s="3" t="s">
        <v>8</v>
      </c>
      <c r="B3303" s="6" t="s">
        <v>9</v>
      </c>
      <c r="C3303" s="6"/>
      <c r="D3303" s="6"/>
      <c r="E3303" s="6"/>
      <c r="F3303" s="6"/>
      <c r="G3303" s="6"/>
      <c r="H3303" s="6"/>
      <c r="I3303" s="6"/>
      <c r="J3303" s="6"/>
      <c r="K3303" s="6"/>
      <c r="L3303" s="6"/>
    </row>
    <row r="3304" spans="1:12" ht="15" customHeight="1" x14ac:dyDescent="0.25">
      <c r="A3304" s="3" t="s">
        <v>10</v>
      </c>
      <c r="B3304" s="6" t="s">
        <v>429</v>
      </c>
      <c r="C3304" s="6"/>
      <c r="D3304" s="6"/>
      <c r="E3304" s="6"/>
      <c r="F3304" s="6"/>
      <c r="G3304" s="6"/>
      <c r="H3304" s="6"/>
      <c r="I3304" s="6"/>
      <c r="J3304" s="6"/>
      <c r="K3304" s="3" t="s">
        <v>12</v>
      </c>
      <c r="L3304" s="4" t="s">
        <v>13</v>
      </c>
    </row>
    <row r="3305" spans="1:12" ht="15" customHeight="1" x14ac:dyDescent="0.25">
      <c r="A3305" s="3" t="s">
        <v>14</v>
      </c>
      <c r="B3305" s="6" t="s">
        <v>15</v>
      </c>
      <c r="C3305" s="6"/>
      <c r="D3305" s="7" t="s">
        <v>16</v>
      </c>
      <c r="E3305" s="7"/>
      <c r="F3305" s="6" t="str">
        <f>"200401"</f>
        <v>200401</v>
      </c>
      <c r="G3305" s="6"/>
      <c r="H3305" s="3" t="s">
        <v>17</v>
      </c>
      <c r="I3305" s="6" t="s">
        <v>18</v>
      </c>
      <c r="J3305" s="6"/>
      <c r="K3305" s="3" t="s">
        <v>19</v>
      </c>
      <c r="L3305" s="5">
        <v>2</v>
      </c>
    </row>
    <row r="3306" spans="1:12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</row>
    <row r="3307" spans="1:12" ht="15" customHeight="1" x14ac:dyDescent="0.25">
      <c r="A3307" s="10" t="s">
        <v>20</v>
      </c>
      <c r="B3307" s="11"/>
      <c r="C3307" s="12"/>
      <c r="D3307" s="8" t="s">
        <v>21</v>
      </c>
      <c r="E3307" s="8" t="s">
        <v>22</v>
      </c>
      <c r="F3307" s="9" t="s">
        <v>23</v>
      </c>
      <c r="G3307" s="9" t="s">
        <v>24</v>
      </c>
      <c r="H3307" s="9" t="s">
        <v>25</v>
      </c>
      <c r="I3307" s="9" t="s">
        <v>26</v>
      </c>
      <c r="J3307" s="9" t="s">
        <v>27</v>
      </c>
      <c r="K3307" s="13" t="s">
        <v>28</v>
      </c>
      <c r="L3307" s="14"/>
    </row>
    <row r="3308" spans="1:12" ht="15" customHeight="1" x14ac:dyDescent="0.25">
      <c r="A3308" s="15" t="s">
        <v>29</v>
      </c>
      <c r="B3308" s="16"/>
      <c r="C3308" s="16"/>
      <c r="D3308" s="16"/>
      <c r="E3308" s="16"/>
      <c r="F3308" s="16"/>
      <c r="G3308" s="16"/>
      <c r="H3308" s="16"/>
      <c r="I3308" s="16"/>
      <c r="J3308" s="17"/>
      <c r="K3308" s="15">
        <v>0</v>
      </c>
      <c r="L3308" s="17"/>
    </row>
    <row r="3309" spans="1:12" x14ac:dyDescent="0.25">
      <c r="A3309" s="18"/>
      <c r="B3309" s="18"/>
      <c r="C3309" s="18"/>
      <c r="D3309" s="18"/>
      <c r="E3309" s="18"/>
      <c r="F3309" s="18"/>
      <c r="G3309" s="18"/>
      <c r="H3309" s="18"/>
      <c r="I3309" s="18"/>
      <c r="J3309" s="18"/>
      <c r="K3309" s="18"/>
      <c r="L3309" s="18"/>
    </row>
    <row r="3310" spans="1:12" ht="15" customHeight="1" x14ac:dyDescent="0.25">
      <c r="A3310" s="10" t="s">
        <v>30</v>
      </c>
      <c r="B3310" s="11"/>
      <c r="C3310" s="12"/>
      <c r="D3310" s="8" t="s">
        <v>21</v>
      </c>
      <c r="E3310" s="8" t="s">
        <v>22</v>
      </c>
      <c r="F3310" s="9" t="s">
        <v>31</v>
      </c>
      <c r="G3310" s="9" t="s">
        <v>32</v>
      </c>
      <c r="H3310" s="9" t="s">
        <v>33</v>
      </c>
      <c r="I3310" s="13" t="s">
        <v>34</v>
      </c>
      <c r="J3310" s="14"/>
      <c r="K3310" s="13" t="s">
        <v>28</v>
      </c>
      <c r="L3310" s="14"/>
    </row>
    <row r="3311" spans="1:12" ht="15" customHeight="1" x14ac:dyDescent="0.25">
      <c r="A3311" s="21" t="s">
        <v>37</v>
      </c>
      <c r="B3311" s="22"/>
      <c r="C3311" s="23"/>
      <c r="D3311" s="19" t="str">
        <f>"010146"</f>
        <v>010146</v>
      </c>
      <c r="E3311" s="19" t="s">
        <v>36</v>
      </c>
      <c r="F3311" s="20">
        <v>7.65</v>
      </c>
      <c r="G3311" s="20">
        <v>157.27000000000001</v>
      </c>
      <c r="H3311" s="20">
        <v>19.68</v>
      </c>
      <c r="I3311" s="24">
        <v>0.1</v>
      </c>
      <c r="J3311" s="25"/>
      <c r="K3311" s="24">
        <v>1.96</v>
      </c>
      <c r="L3311" s="25"/>
    </row>
    <row r="3312" spans="1:12" ht="15" customHeight="1" x14ac:dyDescent="0.25">
      <c r="A3312" s="15" t="s">
        <v>38</v>
      </c>
      <c r="B3312" s="16"/>
      <c r="C3312" s="16"/>
      <c r="D3312" s="16"/>
      <c r="E3312" s="16"/>
      <c r="F3312" s="16"/>
      <c r="G3312" s="16"/>
      <c r="H3312" s="16"/>
      <c r="I3312" s="16"/>
      <c r="J3312" s="17"/>
      <c r="K3312" s="15">
        <v>1.96</v>
      </c>
      <c r="L3312" s="17"/>
    </row>
    <row r="3313" spans="1:12" x14ac:dyDescent="0.25">
      <c r="A3313" s="18"/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8"/>
    </row>
    <row r="3314" spans="1:12" ht="15" customHeight="1" x14ac:dyDescent="0.25">
      <c r="A3314" s="10" t="s">
        <v>39</v>
      </c>
      <c r="B3314" s="11"/>
      <c r="C3314" s="12"/>
      <c r="D3314" s="8" t="s">
        <v>21</v>
      </c>
      <c r="E3314" s="13" t="s">
        <v>40</v>
      </c>
      <c r="F3314" s="14"/>
      <c r="G3314" s="8" t="s">
        <v>41</v>
      </c>
      <c r="H3314" s="8" t="s">
        <v>42</v>
      </c>
      <c r="I3314" s="8" t="s">
        <v>43</v>
      </c>
      <c r="J3314" s="13" t="s">
        <v>44</v>
      </c>
      <c r="K3314" s="26"/>
      <c r="L3314" s="14"/>
    </row>
    <row r="3315" spans="1:12" ht="15" customHeight="1" x14ac:dyDescent="0.25">
      <c r="A3315" s="15" t="s">
        <v>45</v>
      </c>
      <c r="B3315" s="16"/>
      <c r="C3315" s="16"/>
      <c r="D3315" s="16"/>
      <c r="E3315" s="16"/>
      <c r="F3315" s="16"/>
      <c r="G3315" s="16"/>
      <c r="H3315" s="16"/>
      <c r="I3315" s="16"/>
      <c r="J3315" s="17"/>
      <c r="K3315" s="15">
        <v>0</v>
      </c>
      <c r="L3315" s="17"/>
    </row>
    <row r="3316" spans="1:12" x14ac:dyDescent="0.25">
      <c r="A3316" s="18"/>
      <c r="B3316" s="18"/>
      <c r="C3316" s="18"/>
      <c r="D3316" s="18"/>
      <c r="E3316" s="18"/>
      <c r="F3316" s="18"/>
      <c r="G3316" s="18"/>
      <c r="H3316" s="18"/>
      <c r="I3316" s="18"/>
      <c r="J3316" s="18"/>
      <c r="K3316" s="18"/>
      <c r="L3316" s="18"/>
    </row>
    <row r="3317" spans="1:12" ht="15" customHeight="1" x14ac:dyDescent="0.25">
      <c r="A3317" s="27" t="s">
        <v>46</v>
      </c>
      <c r="B3317" s="27"/>
      <c r="C3317" s="27"/>
      <c r="D3317" s="27"/>
      <c r="E3317" s="27"/>
      <c r="F3317" s="27"/>
      <c r="G3317" s="27"/>
      <c r="H3317" s="27"/>
      <c r="I3317" s="27"/>
      <c r="J3317" s="27"/>
      <c r="K3317" s="27">
        <v>1.96</v>
      </c>
      <c r="L3317" s="27"/>
    </row>
    <row r="3318" spans="1:12" ht="15" customHeight="1" x14ac:dyDescent="0.25">
      <c r="A3318" s="27" t="s">
        <v>47</v>
      </c>
      <c r="B3318" s="27"/>
      <c r="C3318" s="27"/>
      <c r="D3318" s="27"/>
      <c r="E3318" s="27"/>
      <c r="F3318" s="27"/>
      <c r="G3318" s="27"/>
      <c r="H3318" s="27"/>
      <c r="I3318" s="27"/>
      <c r="J3318" s="27"/>
      <c r="K3318" s="27">
        <v>1</v>
      </c>
      <c r="L3318" s="27"/>
    </row>
    <row r="3319" spans="1:12" ht="15" customHeight="1" x14ac:dyDescent="0.25">
      <c r="A3319" s="27" t="s">
        <v>48</v>
      </c>
      <c r="B3319" s="27"/>
      <c r="C3319" s="27"/>
      <c r="D3319" s="27"/>
      <c r="E3319" s="27"/>
      <c r="F3319" s="27"/>
      <c r="G3319" s="27"/>
      <c r="H3319" s="27"/>
      <c r="I3319" s="27"/>
      <c r="J3319" s="27"/>
      <c r="K3319" s="27">
        <v>1.96</v>
      </c>
      <c r="L3319" s="27"/>
    </row>
    <row r="3320" spans="1:12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</row>
    <row r="3321" spans="1:12" ht="15" customHeight="1" x14ac:dyDescent="0.25">
      <c r="A3321" s="10" t="s">
        <v>49</v>
      </c>
      <c r="B3321" s="11"/>
      <c r="C3321" s="11"/>
      <c r="D3321" s="11"/>
      <c r="E3321" s="12"/>
      <c r="F3321" s="8" t="s">
        <v>21</v>
      </c>
      <c r="G3321" s="8" t="s">
        <v>22</v>
      </c>
      <c r="H3321" s="9" t="s">
        <v>44</v>
      </c>
      <c r="I3321" s="13" t="s">
        <v>34</v>
      </c>
      <c r="J3321" s="14"/>
      <c r="K3321" s="13" t="s">
        <v>50</v>
      </c>
      <c r="L3321" s="14"/>
    </row>
    <row r="3322" spans="1:12" ht="15" customHeight="1" x14ac:dyDescent="0.25">
      <c r="A3322" s="15" t="s">
        <v>51</v>
      </c>
      <c r="B3322" s="16"/>
      <c r="C3322" s="16"/>
      <c r="D3322" s="16"/>
      <c r="E3322" s="16"/>
      <c r="F3322" s="16"/>
      <c r="G3322" s="16"/>
      <c r="H3322" s="16"/>
      <c r="I3322" s="16"/>
      <c r="J3322" s="17"/>
      <c r="K3322" s="15">
        <v>0</v>
      </c>
      <c r="L3322" s="17"/>
    </row>
    <row r="3323" spans="1:12" x14ac:dyDescent="0.25">
      <c r="A3323" s="18"/>
      <c r="B3323" s="18"/>
      <c r="C3323" s="18"/>
      <c r="D3323" s="18"/>
      <c r="E3323" s="18"/>
      <c r="F3323" s="18"/>
      <c r="G3323" s="18"/>
      <c r="H3323" s="18"/>
      <c r="I3323" s="18"/>
      <c r="J3323" s="18"/>
      <c r="K3323" s="18"/>
      <c r="L3323" s="18"/>
    </row>
    <row r="3324" spans="1:12" ht="15" customHeight="1" x14ac:dyDescent="0.25">
      <c r="A3324" s="10" t="s">
        <v>52</v>
      </c>
      <c r="B3324" s="11"/>
      <c r="C3324" s="11"/>
      <c r="D3324" s="11"/>
      <c r="E3324" s="12"/>
      <c r="F3324" s="8" t="s">
        <v>21</v>
      </c>
      <c r="G3324" s="8" t="s">
        <v>22</v>
      </c>
      <c r="H3324" s="9" t="s">
        <v>44</v>
      </c>
      <c r="I3324" s="13" t="s">
        <v>34</v>
      </c>
      <c r="J3324" s="14"/>
      <c r="K3324" s="13" t="s">
        <v>50</v>
      </c>
      <c r="L3324" s="14"/>
    </row>
    <row r="3325" spans="1:12" ht="15" customHeight="1" x14ac:dyDescent="0.25">
      <c r="A3325" s="21" t="s">
        <v>430</v>
      </c>
      <c r="B3325" s="22"/>
      <c r="C3325" s="22"/>
      <c r="D3325" s="22"/>
      <c r="E3325" s="23"/>
      <c r="F3325" s="19" t="s">
        <v>431</v>
      </c>
      <c r="G3325" s="19" t="s">
        <v>13</v>
      </c>
      <c r="H3325" s="20">
        <v>1</v>
      </c>
      <c r="I3325" s="24">
        <v>0.49</v>
      </c>
      <c r="J3325" s="25"/>
      <c r="K3325" s="24">
        <v>0.49</v>
      </c>
      <c r="L3325" s="25"/>
    </row>
    <row r="3326" spans="1:12" ht="15" customHeight="1" x14ac:dyDescent="0.25">
      <c r="A3326" s="21" t="s">
        <v>432</v>
      </c>
      <c r="B3326" s="22"/>
      <c r="C3326" s="22"/>
      <c r="D3326" s="22"/>
      <c r="E3326" s="23"/>
      <c r="F3326" s="19" t="s">
        <v>433</v>
      </c>
      <c r="G3326" s="19" t="s">
        <v>13</v>
      </c>
      <c r="H3326" s="20">
        <v>1</v>
      </c>
      <c r="I3326" s="24">
        <v>4.93</v>
      </c>
      <c r="J3326" s="25"/>
      <c r="K3326" s="24">
        <v>4.93</v>
      </c>
      <c r="L3326" s="25"/>
    </row>
    <row r="3327" spans="1:12" ht="15" customHeight="1" x14ac:dyDescent="0.25">
      <c r="A3327" s="21" t="s">
        <v>434</v>
      </c>
      <c r="B3327" s="22"/>
      <c r="C3327" s="22"/>
      <c r="D3327" s="22"/>
      <c r="E3327" s="23"/>
      <c r="F3327" s="19" t="s">
        <v>435</v>
      </c>
      <c r="G3327" s="19" t="s">
        <v>13</v>
      </c>
      <c r="H3327" s="20">
        <v>0.5</v>
      </c>
      <c r="I3327" s="24">
        <v>1.48</v>
      </c>
      <c r="J3327" s="25"/>
      <c r="K3327" s="24">
        <v>0.74</v>
      </c>
      <c r="L3327" s="25"/>
    </row>
    <row r="3328" spans="1:12" ht="15" customHeight="1" x14ac:dyDescent="0.25">
      <c r="A3328" s="21" t="s">
        <v>436</v>
      </c>
      <c r="B3328" s="22"/>
      <c r="C3328" s="22"/>
      <c r="D3328" s="22"/>
      <c r="E3328" s="23"/>
      <c r="F3328" s="19" t="s">
        <v>437</v>
      </c>
      <c r="G3328" s="19" t="s">
        <v>13</v>
      </c>
      <c r="H3328" s="20">
        <v>1</v>
      </c>
      <c r="I3328" s="24">
        <v>1.77</v>
      </c>
      <c r="J3328" s="25"/>
      <c r="K3328" s="24">
        <v>1.77</v>
      </c>
      <c r="L3328" s="25"/>
    </row>
    <row r="3329" spans="1:12" ht="15" customHeight="1" x14ac:dyDescent="0.25">
      <c r="A3329" s="15" t="s">
        <v>53</v>
      </c>
      <c r="B3329" s="16"/>
      <c r="C3329" s="16"/>
      <c r="D3329" s="16"/>
      <c r="E3329" s="16"/>
      <c r="F3329" s="16"/>
      <c r="G3329" s="16"/>
      <c r="H3329" s="16"/>
      <c r="I3329" s="16"/>
      <c r="J3329" s="17"/>
      <c r="K3329" s="15">
        <v>7.93</v>
      </c>
      <c r="L3329" s="17"/>
    </row>
    <row r="3330" spans="1:12" x14ac:dyDescent="0.25">
      <c r="A3330" s="18"/>
      <c r="B3330" s="18"/>
      <c r="C3330" s="18"/>
      <c r="D3330" s="18"/>
      <c r="E3330" s="18"/>
      <c r="F3330" s="18"/>
      <c r="G3330" s="18"/>
      <c r="H3330" s="18"/>
      <c r="I3330" s="18"/>
      <c r="J3330" s="18"/>
      <c r="K3330" s="18"/>
      <c r="L3330" s="18"/>
    </row>
    <row r="3331" spans="1:12" ht="15" customHeight="1" x14ac:dyDescent="0.25">
      <c r="A3331" s="10" t="s">
        <v>54</v>
      </c>
      <c r="B3331" s="11"/>
      <c r="C3331" s="12"/>
      <c r="D3331" s="8" t="s">
        <v>21</v>
      </c>
      <c r="E3331" s="8" t="s">
        <v>22</v>
      </c>
      <c r="F3331" s="9" t="s">
        <v>55</v>
      </c>
      <c r="G3331" s="8" t="s">
        <v>56</v>
      </c>
      <c r="H3331" s="8" t="s">
        <v>57</v>
      </c>
      <c r="I3331" s="8" t="s">
        <v>58</v>
      </c>
      <c r="J3331" s="9" t="s">
        <v>59</v>
      </c>
      <c r="K3331" s="9" t="s">
        <v>34</v>
      </c>
      <c r="L3331" s="9" t="s">
        <v>50</v>
      </c>
    </row>
    <row r="3332" spans="1:12" ht="15" customHeight="1" x14ac:dyDescent="0.25">
      <c r="A3332" s="15" t="s">
        <v>60</v>
      </c>
      <c r="B3332" s="16"/>
      <c r="C3332" s="16"/>
      <c r="D3332" s="16"/>
      <c r="E3332" s="16"/>
      <c r="F3332" s="16"/>
      <c r="G3332" s="16"/>
      <c r="H3332" s="16"/>
      <c r="I3332" s="16"/>
      <c r="J3332" s="17"/>
      <c r="K3332" s="15">
        <v>0</v>
      </c>
      <c r="L3332" s="17"/>
    </row>
    <row r="3333" spans="1:12" x14ac:dyDescent="0.25">
      <c r="A3333" s="18"/>
      <c r="B3333" s="18"/>
      <c r="C3333" s="18"/>
      <c r="D3333" s="18"/>
      <c r="E3333" s="18"/>
      <c r="F3333" s="18"/>
      <c r="G3333" s="18"/>
      <c r="H3333" s="18"/>
      <c r="I3333" s="18"/>
      <c r="J3333" s="18"/>
      <c r="K3333" s="18"/>
      <c r="L3333" s="18"/>
    </row>
    <row r="3334" spans="1:12" ht="15" customHeight="1" x14ac:dyDescent="0.25">
      <c r="A3334" s="27" t="s">
        <v>61</v>
      </c>
      <c r="B3334" s="27"/>
      <c r="C3334" s="27"/>
      <c r="D3334" s="27"/>
      <c r="E3334" s="27"/>
      <c r="F3334" s="27"/>
      <c r="G3334" s="27"/>
      <c r="H3334" s="27"/>
      <c r="I3334" s="27"/>
      <c r="J3334" s="27"/>
      <c r="K3334" s="27">
        <v>9.89</v>
      </c>
      <c r="L3334" s="27"/>
    </row>
    <row r="3335" spans="1:12" ht="15" customHeight="1" x14ac:dyDescent="0.25">
      <c r="A3335" s="27" t="s">
        <v>62</v>
      </c>
      <c r="B3335" s="27"/>
      <c r="C3335" s="27"/>
      <c r="D3335" s="27"/>
      <c r="E3335" s="27"/>
      <c r="F3335" s="27"/>
      <c r="G3335" s="27"/>
      <c r="H3335" s="27"/>
      <c r="I3335" s="27"/>
      <c r="J3335" s="27"/>
      <c r="K3335" s="27">
        <v>3.29</v>
      </c>
      <c r="L3335" s="27"/>
    </row>
    <row r="3336" spans="1:12" ht="15" customHeight="1" x14ac:dyDescent="0.25">
      <c r="A3336" s="27" t="s">
        <v>63</v>
      </c>
      <c r="B3336" s="27"/>
      <c r="C3336" s="27"/>
      <c r="D3336" s="27"/>
      <c r="E3336" s="27"/>
      <c r="F3336" s="27"/>
      <c r="G3336" s="27"/>
      <c r="H3336" s="27"/>
      <c r="I3336" s="27"/>
      <c r="J3336" s="27"/>
      <c r="K3336" s="27">
        <v>13.18</v>
      </c>
      <c r="L3336" s="27"/>
    </row>
    <row r="3337" spans="1:12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</row>
    <row r="3338" spans="1:12" ht="15" customHeight="1" x14ac:dyDescent="0.25">
      <c r="A3338" s="3" t="s">
        <v>8</v>
      </c>
      <c r="B3338" s="6" t="s">
        <v>9</v>
      </c>
      <c r="C3338" s="6"/>
      <c r="D3338" s="6"/>
      <c r="E3338" s="6"/>
      <c r="F3338" s="6"/>
      <c r="G3338" s="6"/>
      <c r="H3338" s="6"/>
      <c r="I3338" s="6"/>
      <c r="J3338" s="6"/>
      <c r="K3338" s="6"/>
      <c r="L3338" s="6"/>
    </row>
    <row r="3339" spans="1:12" ht="15" customHeight="1" x14ac:dyDescent="0.25">
      <c r="A3339" s="3" t="s">
        <v>10</v>
      </c>
      <c r="B3339" s="6" t="s">
        <v>438</v>
      </c>
      <c r="C3339" s="6"/>
      <c r="D3339" s="6"/>
      <c r="E3339" s="6"/>
      <c r="F3339" s="6"/>
      <c r="G3339" s="6"/>
      <c r="H3339" s="6"/>
      <c r="I3339" s="6"/>
      <c r="J3339" s="6"/>
      <c r="K3339" s="3" t="s">
        <v>12</v>
      </c>
      <c r="L3339" s="4" t="s">
        <v>87</v>
      </c>
    </row>
    <row r="3340" spans="1:12" ht="15" customHeight="1" x14ac:dyDescent="0.25">
      <c r="A3340" s="3" t="s">
        <v>14</v>
      </c>
      <c r="B3340" s="6" t="s">
        <v>88</v>
      </c>
      <c r="C3340" s="6"/>
      <c r="D3340" s="7" t="s">
        <v>16</v>
      </c>
      <c r="E3340" s="7"/>
      <c r="F3340" s="6" t="str">
        <f>"37DC.000128"</f>
        <v>37DC.000128</v>
      </c>
      <c r="G3340" s="6"/>
      <c r="H3340" s="3" t="s">
        <v>17</v>
      </c>
      <c r="I3340" s="6" t="s">
        <v>89</v>
      </c>
      <c r="J3340" s="6"/>
      <c r="K3340" s="3" t="s">
        <v>19</v>
      </c>
      <c r="L3340" s="5">
        <v>1</v>
      </c>
    </row>
    <row r="3341" spans="1:12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</row>
    <row r="3342" spans="1:12" ht="15" customHeight="1" x14ac:dyDescent="0.25">
      <c r="A3342" s="10" t="s">
        <v>20</v>
      </c>
      <c r="B3342" s="11"/>
      <c r="C3342" s="12"/>
      <c r="D3342" s="8" t="s">
        <v>21</v>
      </c>
      <c r="E3342" s="8" t="s">
        <v>22</v>
      </c>
      <c r="F3342" s="9" t="s">
        <v>23</v>
      </c>
      <c r="G3342" s="9" t="s">
        <v>24</v>
      </c>
      <c r="H3342" s="9" t="s">
        <v>25</v>
      </c>
      <c r="I3342" s="9" t="s">
        <v>26</v>
      </c>
      <c r="J3342" s="9" t="s">
        <v>27</v>
      </c>
      <c r="K3342" s="13" t="s">
        <v>28</v>
      </c>
      <c r="L3342" s="14"/>
    </row>
    <row r="3343" spans="1:12" ht="15" customHeight="1" x14ac:dyDescent="0.25">
      <c r="A3343" s="15" t="s">
        <v>29</v>
      </c>
      <c r="B3343" s="16"/>
      <c r="C3343" s="16"/>
      <c r="D3343" s="16"/>
      <c r="E3343" s="16"/>
      <c r="F3343" s="16"/>
      <c r="G3343" s="16"/>
      <c r="H3343" s="16"/>
      <c r="I3343" s="16"/>
      <c r="J3343" s="17"/>
      <c r="K3343" s="15">
        <v>0</v>
      </c>
      <c r="L3343" s="17"/>
    </row>
    <row r="3344" spans="1:12" x14ac:dyDescent="0.25">
      <c r="A3344" s="18"/>
      <c r="B3344" s="18"/>
      <c r="C3344" s="18"/>
      <c r="D3344" s="18"/>
      <c r="E3344" s="18"/>
      <c r="F3344" s="18"/>
      <c r="G3344" s="18"/>
      <c r="H3344" s="18"/>
      <c r="I3344" s="18"/>
      <c r="J3344" s="18"/>
      <c r="K3344" s="18"/>
      <c r="L3344" s="18"/>
    </row>
    <row r="3345" spans="1:12" ht="15" customHeight="1" x14ac:dyDescent="0.25">
      <c r="A3345" s="10" t="s">
        <v>30</v>
      </c>
      <c r="B3345" s="11"/>
      <c r="C3345" s="12"/>
      <c r="D3345" s="8" t="s">
        <v>21</v>
      </c>
      <c r="E3345" s="8" t="s">
        <v>22</v>
      </c>
      <c r="F3345" s="9" t="s">
        <v>31</v>
      </c>
      <c r="G3345" s="9" t="s">
        <v>32</v>
      </c>
      <c r="H3345" s="9" t="s">
        <v>33</v>
      </c>
      <c r="I3345" s="13" t="s">
        <v>34</v>
      </c>
      <c r="J3345" s="14"/>
      <c r="K3345" s="13" t="s">
        <v>28</v>
      </c>
      <c r="L3345" s="14"/>
    </row>
    <row r="3346" spans="1:12" ht="15" customHeight="1" x14ac:dyDescent="0.25">
      <c r="A3346" s="15" t="s">
        <v>38</v>
      </c>
      <c r="B3346" s="16"/>
      <c r="C3346" s="16"/>
      <c r="D3346" s="16"/>
      <c r="E3346" s="16"/>
      <c r="F3346" s="16"/>
      <c r="G3346" s="16"/>
      <c r="H3346" s="16"/>
      <c r="I3346" s="16"/>
      <c r="J3346" s="17"/>
      <c r="K3346" s="15">
        <v>0</v>
      </c>
      <c r="L3346" s="17"/>
    </row>
    <row r="3347" spans="1:12" x14ac:dyDescent="0.25">
      <c r="A3347" s="18"/>
      <c r="B3347" s="18"/>
      <c r="C3347" s="18"/>
      <c r="D3347" s="18"/>
      <c r="E3347" s="18"/>
      <c r="F3347" s="18"/>
      <c r="G3347" s="18"/>
      <c r="H3347" s="18"/>
      <c r="I3347" s="18"/>
      <c r="J3347" s="18"/>
      <c r="K3347" s="18"/>
      <c r="L3347" s="18"/>
    </row>
    <row r="3348" spans="1:12" ht="15" customHeight="1" x14ac:dyDescent="0.25">
      <c r="A3348" s="10" t="s">
        <v>39</v>
      </c>
      <c r="B3348" s="11"/>
      <c r="C3348" s="12"/>
      <c r="D3348" s="8" t="s">
        <v>21</v>
      </c>
      <c r="E3348" s="13" t="s">
        <v>40</v>
      </c>
      <c r="F3348" s="14"/>
      <c r="G3348" s="8" t="s">
        <v>41</v>
      </c>
      <c r="H3348" s="8" t="s">
        <v>42</v>
      </c>
      <c r="I3348" s="8" t="s">
        <v>43</v>
      </c>
      <c r="J3348" s="13" t="s">
        <v>44</v>
      </c>
      <c r="K3348" s="26"/>
      <c r="L3348" s="14"/>
    </row>
    <row r="3349" spans="1:12" ht="15" customHeight="1" x14ac:dyDescent="0.25">
      <c r="A3349" s="15" t="s">
        <v>45</v>
      </c>
      <c r="B3349" s="16"/>
      <c r="C3349" s="16"/>
      <c r="D3349" s="16"/>
      <c r="E3349" s="16"/>
      <c r="F3349" s="16"/>
      <c r="G3349" s="16"/>
      <c r="H3349" s="16"/>
      <c r="I3349" s="16"/>
      <c r="J3349" s="17"/>
      <c r="K3349" s="15">
        <v>0</v>
      </c>
      <c r="L3349" s="17"/>
    </row>
    <row r="3350" spans="1:12" x14ac:dyDescent="0.25">
      <c r="A3350" s="18"/>
      <c r="B3350" s="18"/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</row>
    <row r="3351" spans="1:12" ht="15" customHeight="1" x14ac:dyDescent="0.25">
      <c r="A3351" s="27" t="s">
        <v>46</v>
      </c>
      <c r="B3351" s="27"/>
      <c r="C3351" s="27"/>
      <c r="D3351" s="27"/>
      <c r="E3351" s="27"/>
      <c r="F3351" s="27"/>
      <c r="G3351" s="27"/>
      <c r="H3351" s="27"/>
      <c r="I3351" s="27"/>
      <c r="J3351" s="27"/>
      <c r="K3351" s="27">
        <v>0</v>
      </c>
      <c r="L3351" s="27"/>
    </row>
    <row r="3352" spans="1:12" ht="15" customHeight="1" x14ac:dyDescent="0.25">
      <c r="A3352" s="27" t="s">
        <v>47</v>
      </c>
      <c r="B3352" s="27"/>
      <c r="C3352" s="27"/>
      <c r="D3352" s="27"/>
      <c r="E3352" s="27"/>
      <c r="F3352" s="27"/>
      <c r="G3352" s="27"/>
      <c r="H3352" s="27"/>
      <c r="I3352" s="27"/>
      <c r="J3352" s="27"/>
      <c r="K3352" s="27">
        <v>1</v>
      </c>
      <c r="L3352" s="27"/>
    </row>
    <row r="3353" spans="1:12" ht="15" customHeight="1" x14ac:dyDescent="0.25">
      <c r="A3353" s="27" t="s">
        <v>48</v>
      </c>
      <c r="B3353" s="27"/>
      <c r="C3353" s="27"/>
      <c r="D3353" s="27"/>
      <c r="E3353" s="27"/>
      <c r="F3353" s="27"/>
      <c r="G3353" s="27"/>
      <c r="H3353" s="27"/>
      <c r="I3353" s="27"/>
      <c r="J3353" s="27"/>
      <c r="K3353" s="27">
        <v>0</v>
      </c>
      <c r="L3353" s="27"/>
    </row>
    <row r="3354" spans="1:12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</row>
    <row r="3355" spans="1:12" ht="15" customHeight="1" x14ac:dyDescent="0.25">
      <c r="A3355" s="10" t="s">
        <v>49</v>
      </c>
      <c r="B3355" s="11"/>
      <c r="C3355" s="11"/>
      <c r="D3355" s="11"/>
      <c r="E3355" s="12"/>
      <c r="F3355" s="8" t="s">
        <v>21</v>
      </c>
      <c r="G3355" s="8" t="s">
        <v>22</v>
      </c>
      <c r="H3355" s="9" t="s">
        <v>44</v>
      </c>
      <c r="I3355" s="13" t="s">
        <v>34</v>
      </c>
      <c r="J3355" s="14"/>
      <c r="K3355" s="13" t="s">
        <v>50</v>
      </c>
      <c r="L3355" s="14"/>
    </row>
    <row r="3356" spans="1:12" ht="15" customHeight="1" x14ac:dyDescent="0.25">
      <c r="A3356" s="15" t="s">
        <v>51</v>
      </c>
      <c r="B3356" s="16"/>
      <c r="C3356" s="16"/>
      <c r="D3356" s="16"/>
      <c r="E3356" s="16"/>
      <c r="F3356" s="16"/>
      <c r="G3356" s="16"/>
      <c r="H3356" s="16"/>
      <c r="I3356" s="16"/>
      <c r="J3356" s="17"/>
      <c r="K3356" s="15">
        <v>0</v>
      </c>
      <c r="L3356" s="17"/>
    </row>
    <row r="3357" spans="1:12" x14ac:dyDescent="0.25">
      <c r="A3357" s="18"/>
      <c r="B3357" s="18"/>
      <c r="C3357" s="18"/>
      <c r="D3357" s="18"/>
      <c r="E3357" s="18"/>
      <c r="F3357" s="18"/>
      <c r="G3357" s="18"/>
      <c r="H3357" s="18"/>
      <c r="I3357" s="18"/>
      <c r="J3357" s="18"/>
      <c r="K3357" s="18"/>
      <c r="L3357" s="18"/>
    </row>
    <row r="3358" spans="1:12" ht="15" customHeight="1" x14ac:dyDescent="0.25">
      <c r="A3358" s="10" t="s">
        <v>52</v>
      </c>
      <c r="B3358" s="11"/>
      <c r="C3358" s="11"/>
      <c r="D3358" s="11"/>
      <c r="E3358" s="12"/>
      <c r="F3358" s="8" t="s">
        <v>21</v>
      </c>
      <c r="G3358" s="8" t="s">
        <v>22</v>
      </c>
      <c r="H3358" s="9" t="s">
        <v>44</v>
      </c>
      <c r="I3358" s="13" t="s">
        <v>34</v>
      </c>
      <c r="J3358" s="14"/>
      <c r="K3358" s="13" t="s">
        <v>50</v>
      </c>
      <c r="L3358" s="14"/>
    </row>
    <row r="3359" spans="1:12" ht="30" customHeight="1" x14ac:dyDescent="0.25">
      <c r="A3359" s="21" t="s">
        <v>352</v>
      </c>
      <c r="B3359" s="22"/>
      <c r="C3359" s="22"/>
      <c r="D3359" s="22"/>
      <c r="E3359" s="23"/>
      <c r="F3359" s="19" t="s">
        <v>353</v>
      </c>
      <c r="G3359" s="19" t="s">
        <v>13</v>
      </c>
      <c r="H3359" s="20">
        <v>9.2999999999999999E-2</v>
      </c>
      <c r="I3359" s="24">
        <v>43.82</v>
      </c>
      <c r="J3359" s="25"/>
      <c r="K3359" s="24">
        <v>4.07</v>
      </c>
      <c r="L3359" s="25"/>
    </row>
    <row r="3360" spans="1:12" ht="15" customHeight="1" x14ac:dyDescent="0.25">
      <c r="A3360" s="21" t="s">
        <v>439</v>
      </c>
      <c r="B3360" s="22"/>
      <c r="C3360" s="22"/>
      <c r="D3360" s="22"/>
      <c r="E3360" s="23"/>
      <c r="F3360" s="19" t="s">
        <v>440</v>
      </c>
      <c r="G3360" s="19" t="s">
        <v>13</v>
      </c>
      <c r="H3360" s="20">
        <v>0.52</v>
      </c>
      <c r="I3360" s="24">
        <v>360.83</v>
      </c>
      <c r="J3360" s="25"/>
      <c r="K3360" s="24">
        <v>187.63</v>
      </c>
      <c r="L3360" s="25"/>
    </row>
    <row r="3361" spans="1:12" ht="15" customHeight="1" x14ac:dyDescent="0.25">
      <c r="A3361" s="21" t="s">
        <v>354</v>
      </c>
      <c r="B3361" s="22"/>
      <c r="C3361" s="22"/>
      <c r="D3361" s="22"/>
      <c r="E3361" s="23"/>
      <c r="F3361" s="19" t="s">
        <v>441</v>
      </c>
      <c r="G3361" s="19" t="s">
        <v>87</v>
      </c>
      <c r="H3361" s="20">
        <v>0.61</v>
      </c>
      <c r="I3361" s="24" t="s">
        <v>164</v>
      </c>
      <c r="J3361" s="25"/>
      <c r="K3361" s="24" t="s">
        <v>164</v>
      </c>
      <c r="L3361" s="25"/>
    </row>
    <row r="3362" spans="1:12" ht="15" customHeight="1" x14ac:dyDescent="0.25">
      <c r="A3362" s="15" t="s">
        <v>53</v>
      </c>
      <c r="B3362" s="16"/>
      <c r="C3362" s="16"/>
      <c r="D3362" s="16"/>
      <c r="E3362" s="16"/>
      <c r="F3362" s="16"/>
      <c r="G3362" s="16"/>
      <c r="H3362" s="16"/>
      <c r="I3362" s="16"/>
      <c r="J3362" s="17"/>
      <c r="K3362" s="15">
        <v>263.20999999999998</v>
      </c>
      <c r="L3362" s="17"/>
    </row>
    <row r="3363" spans="1:12" x14ac:dyDescent="0.25">
      <c r="A3363" s="18"/>
      <c r="B3363" s="18"/>
      <c r="C3363" s="18"/>
      <c r="D3363" s="18"/>
      <c r="E3363" s="18"/>
      <c r="F3363" s="18"/>
      <c r="G3363" s="18"/>
      <c r="H3363" s="18"/>
      <c r="I3363" s="18"/>
      <c r="J3363" s="18"/>
      <c r="K3363" s="18"/>
      <c r="L3363" s="18"/>
    </row>
    <row r="3364" spans="1:12" ht="15" customHeight="1" x14ac:dyDescent="0.25">
      <c r="A3364" s="10" t="s">
        <v>54</v>
      </c>
      <c r="B3364" s="11"/>
      <c r="C3364" s="12"/>
      <c r="D3364" s="8" t="s">
        <v>21</v>
      </c>
      <c r="E3364" s="8" t="s">
        <v>22</v>
      </c>
      <c r="F3364" s="9" t="s">
        <v>55</v>
      </c>
      <c r="G3364" s="8" t="s">
        <v>56</v>
      </c>
      <c r="H3364" s="8" t="s">
        <v>57</v>
      </c>
      <c r="I3364" s="8" t="s">
        <v>58</v>
      </c>
      <c r="J3364" s="9" t="s">
        <v>59</v>
      </c>
      <c r="K3364" s="9" t="s">
        <v>34</v>
      </c>
      <c r="L3364" s="9" t="s">
        <v>50</v>
      </c>
    </row>
    <row r="3365" spans="1:12" ht="15" customHeight="1" x14ac:dyDescent="0.25">
      <c r="A3365" s="15" t="s">
        <v>60</v>
      </c>
      <c r="B3365" s="16"/>
      <c r="C3365" s="16"/>
      <c r="D3365" s="16"/>
      <c r="E3365" s="16"/>
      <c r="F3365" s="16"/>
      <c r="G3365" s="16"/>
      <c r="H3365" s="16"/>
      <c r="I3365" s="16"/>
      <c r="J3365" s="17"/>
      <c r="K3365" s="15">
        <v>0</v>
      </c>
      <c r="L3365" s="17"/>
    </row>
    <row r="3366" spans="1:12" x14ac:dyDescent="0.25">
      <c r="A3366" s="18"/>
      <c r="B3366" s="18"/>
      <c r="C3366" s="18"/>
      <c r="D3366" s="18"/>
      <c r="E3366" s="18"/>
      <c r="F3366" s="18"/>
      <c r="G3366" s="18"/>
      <c r="H3366" s="18"/>
      <c r="I3366" s="18"/>
      <c r="J3366" s="18"/>
      <c r="K3366" s="18"/>
      <c r="L3366" s="18"/>
    </row>
    <row r="3367" spans="1:12" ht="15" customHeight="1" x14ac:dyDescent="0.25">
      <c r="A3367" s="27" t="s">
        <v>61</v>
      </c>
      <c r="B3367" s="27"/>
      <c r="C3367" s="27"/>
      <c r="D3367" s="27"/>
      <c r="E3367" s="27"/>
      <c r="F3367" s="27"/>
      <c r="G3367" s="27"/>
      <c r="H3367" s="27"/>
      <c r="I3367" s="27"/>
      <c r="J3367" s="27"/>
      <c r="K3367" s="27">
        <v>263.20999999999998</v>
      </c>
      <c r="L3367" s="27"/>
    </row>
    <row r="3368" spans="1:12" ht="15" customHeight="1" x14ac:dyDescent="0.25">
      <c r="A3368" s="27" t="s">
        <v>62</v>
      </c>
      <c r="B3368" s="27"/>
      <c r="C3368" s="27"/>
      <c r="D3368" s="27"/>
      <c r="E3368" s="27"/>
      <c r="F3368" s="27"/>
      <c r="G3368" s="27"/>
      <c r="H3368" s="27"/>
      <c r="I3368" s="27"/>
      <c r="J3368" s="27"/>
      <c r="K3368" s="27">
        <v>87.52</v>
      </c>
      <c r="L3368" s="27"/>
    </row>
    <row r="3369" spans="1:12" ht="15" customHeight="1" x14ac:dyDescent="0.25">
      <c r="A3369" s="27" t="s">
        <v>63</v>
      </c>
      <c r="B3369" s="27"/>
      <c r="C3369" s="27"/>
      <c r="D3369" s="27"/>
      <c r="E3369" s="27"/>
      <c r="F3369" s="27"/>
      <c r="G3369" s="27"/>
      <c r="H3369" s="27"/>
      <c r="I3369" s="27"/>
      <c r="J3369" s="27"/>
      <c r="K3369" s="27">
        <v>350.73</v>
      </c>
      <c r="L3369" s="27"/>
    </row>
    <row r="3370" spans="1:12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</row>
    <row r="3371" spans="1:12" ht="15" customHeight="1" x14ac:dyDescent="0.25">
      <c r="A3371" s="3" t="s">
        <v>8</v>
      </c>
      <c r="B3371" s="6" t="s">
        <v>9</v>
      </c>
      <c r="C3371" s="6"/>
      <c r="D3371" s="6"/>
      <c r="E3371" s="6"/>
      <c r="F3371" s="6"/>
      <c r="G3371" s="6"/>
      <c r="H3371" s="6"/>
      <c r="I3371" s="6"/>
      <c r="J3371" s="6"/>
      <c r="K3371" s="6"/>
      <c r="L3371" s="6"/>
    </row>
    <row r="3372" spans="1:12" ht="15" customHeight="1" x14ac:dyDescent="0.25">
      <c r="A3372" s="3" t="s">
        <v>10</v>
      </c>
      <c r="B3372" s="6" t="s">
        <v>442</v>
      </c>
      <c r="C3372" s="6"/>
      <c r="D3372" s="6"/>
      <c r="E3372" s="6"/>
      <c r="F3372" s="6"/>
      <c r="G3372" s="6"/>
      <c r="H3372" s="6"/>
      <c r="I3372" s="6"/>
      <c r="J3372" s="6"/>
      <c r="K3372" s="3" t="s">
        <v>12</v>
      </c>
      <c r="L3372" s="4" t="s">
        <v>87</v>
      </c>
    </row>
    <row r="3373" spans="1:12" ht="15" customHeight="1" x14ac:dyDescent="0.25">
      <c r="A3373" s="3" t="s">
        <v>14</v>
      </c>
      <c r="B3373" s="6" t="s">
        <v>88</v>
      </c>
      <c r="C3373" s="6"/>
      <c r="D3373" s="7" t="s">
        <v>16</v>
      </c>
      <c r="E3373" s="7"/>
      <c r="F3373" s="6" t="str">
        <f>"37DC.000129"</f>
        <v>37DC.000129</v>
      </c>
      <c r="G3373" s="6"/>
      <c r="H3373" s="3" t="s">
        <v>17</v>
      </c>
      <c r="I3373" s="6" t="s">
        <v>89</v>
      </c>
      <c r="J3373" s="6"/>
      <c r="K3373" s="3" t="s">
        <v>19</v>
      </c>
      <c r="L3373" s="5">
        <v>1</v>
      </c>
    </row>
    <row r="3374" spans="1:12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</row>
    <row r="3375" spans="1:12" ht="15" customHeight="1" x14ac:dyDescent="0.25">
      <c r="A3375" s="10" t="s">
        <v>20</v>
      </c>
      <c r="B3375" s="11"/>
      <c r="C3375" s="12"/>
      <c r="D3375" s="8" t="s">
        <v>21</v>
      </c>
      <c r="E3375" s="8" t="s">
        <v>22</v>
      </c>
      <c r="F3375" s="9" t="s">
        <v>23</v>
      </c>
      <c r="G3375" s="9" t="s">
        <v>24</v>
      </c>
      <c r="H3375" s="9" t="s">
        <v>25</v>
      </c>
      <c r="I3375" s="9" t="s">
        <v>26</v>
      </c>
      <c r="J3375" s="9" t="s">
        <v>27</v>
      </c>
      <c r="K3375" s="13" t="s">
        <v>28</v>
      </c>
      <c r="L3375" s="14"/>
    </row>
    <row r="3376" spans="1:12" ht="15" customHeight="1" x14ac:dyDescent="0.25">
      <c r="A3376" s="15" t="s">
        <v>29</v>
      </c>
      <c r="B3376" s="16"/>
      <c r="C3376" s="16"/>
      <c r="D3376" s="16"/>
      <c r="E3376" s="16"/>
      <c r="F3376" s="16"/>
      <c r="G3376" s="16"/>
      <c r="H3376" s="16"/>
      <c r="I3376" s="16"/>
      <c r="J3376" s="17"/>
      <c r="K3376" s="15">
        <v>0</v>
      </c>
      <c r="L3376" s="17"/>
    </row>
    <row r="3377" spans="1:12" x14ac:dyDescent="0.25">
      <c r="A3377" s="18"/>
      <c r="B3377" s="18"/>
      <c r="C3377" s="18"/>
      <c r="D3377" s="18"/>
      <c r="E3377" s="18"/>
      <c r="F3377" s="18"/>
      <c r="G3377" s="18"/>
      <c r="H3377" s="18"/>
      <c r="I3377" s="18"/>
      <c r="J3377" s="18"/>
      <c r="K3377" s="18"/>
      <c r="L3377" s="18"/>
    </row>
    <row r="3378" spans="1:12" ht="15" customHeight="1" x14ac:dyDescent="0.25">
      <c r="A3378" s="10" t="s">
        <v>30</v>
      </c>
      <c r="B3378" s="11"/>
      <c r="C3378" s="12"/>
      <c r="D3378" s="8" t="s">
        <v>21</v>
      </c>
      <c r="E3378" s="8" t="s">
        <v>22</v>
      </c>
      <c r="F3378" s="9" t="s">
        <v>31</v>
      </c>
      <c r="G3378" s="9" t="s">
        <v>32</v>
      </c>
      <c r="H3378" s="9" t="s">
        <v>33</v>
      </c>
      <c r="I3378" s="13" t="s">
        <v>34</v>
      </c>
      <c r="J3378" s="14"/>
      <c r="K3378" s="13" t="s">
        <v>28</v>
      </c>
      <c r="L3378" s="14"/>
    </row>
    <row r="3379" spans="1:12" ht="15" customHeight="1" x14ac:dyDescent="0.25">
      <c r="A3379" s="15" t="s">
        <v>38</v>
      </c>
      <c r="B3379" s="16"/>
      <c r="C3379" s="16"/>
      <c r="D3379" s="16"/>
      <c r="E3379" s="16"/>
      <c r="F3379" s="16"/>
      <c r="G3379" s="16"/>
      <c r="H3379" s="16"/>
      <c r="I3379" s="16"/>
      <c r="J3379" s="17"/>
      <c r="K3379" s="15">
        <v>0</v>
      </c>
      <c r="L3379" s="17"/>
    </row>
    <row r="3380" spans="1:12" x14ac:dyDescent="0.25">
      <c r="A3380" s="18"/>
      <c r="B3380" s="18"/>
      <c r="C3380" s="18"/>
      <c r="D3380" s="18"/>
      <c r="E3380" s="18"/>
      <c r="F3380" s="18"/>
      <c r="G3380" s="18"/>
      <c r="H3380" s="18"/>
      <c r="I3380" s="18"/>
      <c r="J3380" s="18"/>
      <c r="K3380" s="18"/>
      <c r="L3380" s="18"/>
    </row>
    <row r="3381" spans="1:12" ht="15" customHeight="1" x14ac:dyDescent="0.25">
      <c r="A3381" s="10" t="s">
        <v>39</v>
      </c>
      <c r="B3381" s="11"/>
      <c r="C3381" s="12"/>
      <c r="D3381" s="8" t="s">
        <v>21</v>
      </c>
      <c r="E3381" s="13" t="s">
        <v>40</v>
      </c>
      <c r="F3381" s="14"/>
      <c r="G3381" s="8" t="s">
        <v>41</v>
      </c>
      <c r="H3381" s="8" t="s">
        <v>42</v>
      </c>
      <c r="I3381" s="8" t="s">
        <v>43</v>
      </c>
      <c r="J3381" s="13" t="s">
        <v>44</v>
      </c>
      <c r="K3381" s="26"/>
      <c r="L3381" s="14"/>
    </row>
    <row r="3382" spans="1:12" ht="15" customHeight="1" x14ac:dyDescent="0.25">
      <c r="A3382" s="15" t="s">
        <v>45</v>
      </c>
      <c r="B3382" s="16"/>
      <c r="C3382" s="16"/>
      <c r="D3382" s="16"/>
      <c r="E3382" s="16"/>
      <c r="F3382" s="16"/>
      <c r="G3382" s="16"/>
      <c r="H3382" s="16"/>
      <c r="I3382" s="16"/>
      <c r="J3382" s="17"/>
      <c r="K3382" s="15">
        <v>0</v>
      </c>
      <c r="L3382" s="17"/>
    </row>
    <row r="3383" spans="1:12" x14ac:dyDescent="0.25">
      <c r="A3383" s="18"/>
      <c r="B3383" s="18"/>
      <c r="C3383" s="18"/>
      <c r="D3383" s="18"/>
      <c r="E3383" s="18"/>
      <c r="F3383" s="18"/>
      <c r="G3383" s="18"/>
      <c r="H3383" s="18"/>
      <c r="I3383" s="18"/>
      <c r="J3383" s="18"/>
      <c r="K3383" s="18"/>
      <c r="L3383" s="18"/>
    </row>
    <row r="3384" spans="1:12" ht="15" customHeight="1" x14ac:dyDescent="0.25">
      <c r="A3384" s="27" t="s">
        <v>46</v>
      </c>
      <c r="B3384" s="27"/>
      <c r="C3384" s="27"/>
      <c r="D3384" s="27"/>
      <c r="E3384" s="27"/>
      <c r="F3384" s="27"/>
      <c r="G3384" s="27"/>
      <c r="H3384" s="27"/>
      <c r="I3384" s="27"/>
      <c r="J3384" s="27"/>
      <c r="K3384" s="27">
        <v>0</v>
      </c>
      <c r="L3384" s="27"/>
    </row>
    <row r="3385" spans="1:12" ht="15" customHeight="1" x14ac:dyDescent="0.25">
      <c r="A3385" s="27" t="s">
        <v>47</v>
      </c>
      <c r="B3385" s="27"/>
      <c r="C3385" s="27"/>
      <c r="D3385" s="27"/>
      <c r="E3385" s="27"/>
      <c r="F3385" s="27"/>
      <c r="G3385" s="27"/>
      <c r="H3385" s="27"/>
      <c r="I3385" s="27"/>
      <c r="J3385" s="27"/>
      <c r="K3385" s="27">
        <v>1</v>
      </c>
      <c r="L3385" s="27"/>
    </row>
    <row r="3386" spans="1:12" ht="15" customHeight="1" x14ac:dyDescent="0.25">
      <c r="A3386" s="27" t="s">
        <v>48</v>
      </c>
      <c r="B3386" s="27"/>
      <c r="C3386" s="27"/>
      <c r="D3386" s="27"/>
      <c r="E3386" s="27"/>
      <c r="F3386" s="27"/>
      <c r="G3386" s="27"/>
      <c r="H3386" s="27"/>
      <c r="I3386" s="27"/>
      <c r="J3386" s="27"/>
      <c r="K3386" s="27">
        <v>0</v>
      </c>
      <c r="L3386" s="27"/>
    </row>
    <row r="3387" spans="1:12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</row>
    <row r="3388" spans="1:12" ht="15" customHeight="1" x14ac:dyDescent="0.25">
      <c r="A3388" s="10" t="s">
        <v>49</v>
      </c>
      <c r="B3388" s="11"/>
      <c r="C3388" s="11"/>
      <c r="D3388" s="11"/>
      <c r="E3388" s="12"/>
      <c r="F3388" s="8" t="s">
        <v>21</v>
      </c>
      <c r="G3388" s="8" t="s">
        <v>22</v>
      </c>
      <c r="H3388" s="9" t="s">
        <v>44</v>
      </c>
      <c r="I3388" s="13" t="s">
        <v>34</v>
      </c>
      <c r="J3388" s="14"/>
      <c r="K3388" s="13" t="s">
        <v>50</v>
      </c>
      <c r="L3388" s="14"/>
    </row>
    <row r="3389" spans="1:12" ht="15" customHeight="1" x14ac:dyDescent="0.25">
      <c r="A3389" s="15" t="s">
        <v>51</v>
      </c>
      <c r="B3389" s="16"/>
      <c r="C3389" s="16"/>
      <c r="D3389" s="16"/>
      <c r="E3389" s="16"/>
      <c r="F3389" s="16"/>
      <c r="G3389" s="16"/>
      <c r="H3389" s="16"/>
      <c r="I3389" s="16"/>
      <c r="J3389" s="17"/>
      <c r="K3389" s="15">
        <v>0</v>
      </c>
      <c r="L3389" s="17"/>
    </row>
    <row r="3390" spans="1:12" x14ac:dyDescent="0.25">
      <c r="A3390" s="18"/>
      <c r="B3390" s="18"/>
      <c r="C3390" s="18"/>
      <c r="D3390" s="18"/>
      <c r="E3390" s="18"/>
      <c r="F3390" s="18"/>
      <c r="G3390" s="18"/>
      <c r="H3390" s="18"/>
      <c r="I3390" s="18"/>
      <c r="J3390" s="18"/>
      <c r="K3390" s="18"/>
      <c r="L3390" s="18"/>
    </row>
    <row r="3391" spans="1:12" ht="15" customHeight="1" x14ac:dyDescent="0.25">
      <c r="A3391" s="10" t="s">
        <v>52</v>
      </c>
      <c r="B3391" s="11"/>
      <c r="C3391" s="11"/>
      <c r="D3391" s="11"/>
      <c r="E3391" s="12"/>
      <c r="F3391" s="8" t="s">
        <v>21</v>
      </c>
      <c r="G3391" s="8" t="s">
        <v>22</v>
      </c>
      <c r="H3391" s="9" t="s">
        <v>44</v>
      </c>
      <c r="I3391" s="13" t="s">
        <v>34</v>
      </c>
      <c r="J3391" s="14"/>
      <c r="K3391" s="13" t="s">
        <v>50</v>
      </c>
      <c r="L3391" s="14"/>
    </row>
    <row r="3392" spans="1:12" ht="45" customHeight="1" x14ac:dyDescent="0.25">
      <c r="A3392" s="21" t="s">
        <v>443</v>
      </c>
      <c r="B3392" s="22"/>
      <c r="C3392" s="22"/>
      <c r="D3392" s="22"/>
      <c r="E3392" s="23"/>
      <c r="F3392" s="19" t="s">
        <v>444</v>
      </c>
      <c r="G3392" s="19" t="s">
        <v>13</v>
      </c>
      <c r="H3392" s="20">
        <v>0.48</v>
      </c>
      <c r="I3392" s="24">
        <v>50.38</v>
      </c>
      <c r="J3392" s="25"/>
      <c r="K3392" s="24">
        <v>24.18</v>
      </c>
      <c r="L3392" s="25"/>
    </row>
    <row r="3393" spans="1:12" ht="30" customHeight="1" x14ac:dyDescent="0.25">
      <c r="A3393" s="21" t="s">
        <v>445</v>
      </c>
      <c r="B3393" s="22"/>
      <c r="C3393" s="22"/>
      <c r="D3393" s="22"/>
      <c r="E3393" s="23"/>
      <c r="F3393" s="19" t="s">
        <v>446</v>
      </c>
      <c r="G3393" s="19" t="s">
        <v>13</v>
      </c>
      <c r="H3393" s="20">
        <v>0.48</v>
      </c>
      <c r="I3393" s="24" t="s">
        <v>164</v>
      </c>
      <c r="J3393" s="25"/>
      <c r="K3393" s="24" t="s">
        <v>164</v>
      </c>
      <c r="L3393" s="25"/>
    </row>
    <row r="3394" spans="1:12" ht="15" customHeight="1" x14ac:dyDescent="0.25">
      <c r="A3394" s="15" t="s">
        <v>53</v>
      </c>
      <c r="B3394" s="16"/>
      <c r="C3394" s="16"/>
      <c r="D3394" s="16"/>
      <c r="E3394" s="16"/>
      <c r="F3394" s="16"/>
      <c r="G3394" s="16"/>
      <c r="H3394" s="16"/>
      <c r="I3394" s="16"/>
      <c r="J3394" s="17"/>
      <c r="K3394" s="15">
        <v>174.29</v>
      </c>
      <c r="L3394" s="17"/>
    </row>
    <row r="3395" spans="1:12" x14ac:dyDescent="0.25">
      <c r="A3395" s="18"/>
      <c r="B3395" s="18"/>
      <c r="C3395" s="18"/>
      <c r="D3395" s="18"/>
      <c r="E3395" s="18"/>
      <c r="F3395" s="18"/>
      <c r="G3395" s="18"/>
      <c r="H3395" s="18"/>
      <c r="I3395" s="18"/>
      <c r="J3395" s="18"/>
      <c r="K3395" s="18"/>
      <c r="L3395" s="18"/>
    </row>
    <row r="3396" spans="1:12" ht="15" customHeight="1" x14ac:dyDescent="0.25">
      <c r="A3396" s="10" t="s">
        <v>54</v>
      </c>
      <c r="B3396" s="11"/>
      <c r="C3396" s="12"/>
      <c r="D3396" s="8" t="s">
        <v>21</v>
      </c>
      <c r="E3396" s="8" t="s">
        <v>22</v>
      </c>
      <c r="F3396" s="9" t="s">
        <v>55</v>
      </c>
      <c r="G3396" s="8" t="s">
        <v>56</v>
      </c>
      <c r="H3396" s="8" t="s">
        <v>57</v>
      </c>
      <c r="I3396" s="8" t="s">
        <v>58</v>
      </c>
      <c r="J3396" s="9" t="s">
        <v>59</v>
      </c>
      <c r="K3396" s="9" t="s">
        <v>34</v>
      </c>
      <c r="L3396" s="9" t="s">
        <v>50</v>
      </c>
    </row>
    <row r="3397" spans="1:12" ht="15" customHeight="1" x14ac:dyDescent="0.25">
      <c r="A3397" s="15" t="s">
        <v>60</v>
      </c>
      <c r="B3397" s="16"/>
      <c r="C3397" s="16"/>
      <c r="D3397" s="16"/>
      <c r="E3397" s="16"/>
      <c r="F3397" s="16"/>
      <c r="G3397" s="16"/>
      <c r="H3397" s="16"/>
      <c r="I3397" s="16"/>
      <c r="J3397" s="17"/>
      <c r="K3397" s="15">
        <v>0</v>
      </c>
      <c r="L3397" s="17"/>
    </row>
    <row r="3398" spans="1:12" x14ac:dyDescent="0.25">
      <c r="A3398" s="18"/>
      <c r="B3398" s="18"/>
      <c r="C3398" s="18"/>
      <c r="D3398" s="18"/>
      <c r="E3398" s="18"/>
      <c r="F3398" s="18"/>
      <c r="G3398" s="18"/>
      <c r="H3398" s="18"/>
      <c r="I3398" s="18"/>
      <c r="J3398" s="18"/>
      <c r="K3398" s="18"/>
      <c r="L3398" s="18"/>
    </row>
    <row r="3399" spans="1:12" ht="15" customHeight="1" x14ac:dyDescent="0.25">
      <c r="A3399" s="27" t="s">
        <v>61</v>
      </c>
      <c r="B3399" s="27"/>
      <c r="C3399" s="27"/>
      <c r="D3399" s="27"/>
      <c r="E3399" s="27"/>
      <c r="F3399" s="27"/>
      <c r="G3399" s="27"/>
      <c r="H3399" s="27"/>
      <c r="I3399" s="27"/>
      <c r="J3399" s="27"/>
      <c r="K3399" s="27">
        <v>174.29</v>
      </c>
      <c r="L3399" s="27"/>
    </row>
    <row r="3400" spans="1:12" ht="15" customHeight="1" x14ac:dyDescent="0.25">
      <c r="A3400" s="27" t="s">
        <v>62</v>
      </c>
      <c r="B3400" s="27"/>
      <c r="C3400" s="27"/>
      <c r="D3400" s="27"/>
      <c r="E3400" s="27"/>
      <c r="F3400" s="27"/>
      <c r="G3400" s="27"/>
      <c r="H3400" s="27"/>
      <c r="I3400" s="27"/>
      <c r="J3400" s="27"/>
      <c r="K3400" s="27">
        <v>57.95</v>
      </c>
      <c r="L3400" s="27"/>
    </row>
    <row r="3401" spans="1:12" ht="15" customHeight="1" x14ac:dyDescent="0.25">
      <c r="A3401" s="27" t="s">
        <v>63</v>
      </c>
      <c r="B3401" s="27"/>
      <c r="C3401" s="27"/>
      <c r="D3401" s="27"/>
      <c r="E3401" s="27"/>
      <c r="F3401" s="27"/>
      <c r="G3401" s="27"/>
      <c r="H3401" s="27"/>
      <c r="I3401" s="27"/>
      <c r="J3401" s="27"/>
      <c r="K3401" s="27">
        <v>232.24</v>
      </c>
      <c r="L3401" s="27"/>
    </row>
    <row r="3402" spans="1:12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</row>
    <row r="3403" spans="1:12" ht="15" customHeight="1" x14ac:dyDescent="0.25">
      <c r="A3403" s="3" t="s">
        <v>8</v>
      </c>
      <c r="B3403" s="6" t="s">
        <v>9</v>
      </c>
      <c r="C3403" s="6"/>
      <c r="D3403" s="6"/>
      <c r="E3403" s="6"/>
      <c r="F3403" s="6"/>
      <c r="G3403" s="6"/>
      <c r="H3403" s="6"/>
      <c r="I3403" s="6"/>
      <c r="J3403" s="6"/>
      <c r="K3403" s="6"/>
      <c r="L3403" s="6"/>
    </row>
    <row r="3404" spans="1:12" ht="30" customHeight="1" x14ac:dyDescent="0.25">
      <c r="A3404" s="3" t="s">
        <v>10</v>
      </c>
      <c r="B3404" s="6" t="s">
        <v>447</v>
      </c>
      <c r="C3404" s="6"/>
      <c r="D3404" s="6"/>
      <c r="E3404" s="6"/>
      <c r="F3404" s="6"/>
      <c r="G3404" s="6"/>
      <c r="H3404" s="6"/>
      <c r="I3404" s="6"/>
      <c r="J3404" s="6"/>
      <c r="K3404" s="3" t="s">
        <v>12</v>
      </c>
      <c r="L3404" s="4" t="s">
        <v>84</v>
      </c>
    </row>
    <row r="3405" spans="1:12" ht="15" customHeight="1" x14ac:dyDescent="0.25">
      <c r="A3405" s="3" t="s">
        <v>14</v>
      </c>
      <c r="B3405" s="6" t="s">
        <v>88</v>
      </c>
      <c r="C3405" s="6"/>
      <c r="D3405" s="7" t="s">
        <v>16</v>
      </c>
      <c r="E3405" s="7"/>
      <c r="F3405" s="6" t="str">
        <f>"2F9A.000409"</f>
        <v>2F9A.000409</v>
      </c>
      <c r="G3405" s="6"/>
      <c r="H3405" s="3" t="s">
        <v>17</v>
      </c>
      <c r="I3405" s="6" t="s">
        <v>89</v>
      </c>
      <c r="J3405" s="6"/>
      <c r="K3405" s="3" t="s">
        <v>19</v>
      </c>
      <c r="L3405" s="5">
        <v>1</v>
      </c>
    </row>
    <row r="3406" spans="1:12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</row>
    <row r="3407" spans="1:12" ht="15" customHeight="1" x14ac:dyDescent="0.25">
      <c r="A3407" s="10" t="s">
        <v>20</v>
      </c>
      <c r="B3407" s="11"/>
      <c r="C3407" s="12"/>
      <c r="D3407" s="8" t="s">
        <v>21</v>
      </c>
      <c r="E3407" s="8" t="s">
        <v>22</v>
      </c>
      <c r="F3407" s="9" t="s">
        <v>23</v>
      </c>
      <c r="G3407" s="9" t="s">
        <v>24</v>
      </c>
      <c r="H3407" s="9" t="s">
        <v>25</v>
      </c>
      <c r="I3407" s="9" t="s">
        <v>26</v>
      </c>
      <c r="J3407" s="9" t="s">
        <v>27</v>
      </c>
      <c r="K3407" s="13" t="s">
        <v>28</v>
      </c>
      <c r="L3407" s="14"/>
    </row>
    <row r="3408" spans="1:12" ht="15" customHeight="1" x14ac:dyDescent="0.25">
      <c r="A3408" s="15" t="s">
        <v>29</v>
      </c>
      <c r="B3408" s="16"/>
      <c r="C3408" s="16"/>
      <c r="D3408" s="16"/>
      <c r="E3408" s="16"/>
      <c r="F3408" s="16"/>
      <c r="G3408" s="16"/>
      <c r="H3408" s="16"/>
      <c r="I3408" s="16"/>
      <c r="J3408" s="17"/>
      <c r="K3408" s="15">
        <v>0</v>
      </c>
      <c r="L3408" s="17"/>
    </row>
    <row r="3409" spans="1:12" x14ac:dyDescent="0.25">
      <c r="A3409" s="18"/>
      <c r="B3409" s="18"/>
      <c r="C3409" s="18"/>
      <c r="D3409" s="18"/>
      <c r="E3409" s="18"/>
      <c r="F3409" s="18"/>
      <c r="G3409" s="18"/>
      <c r="H3409" s="18"/>
      <c r="I3409" s="18"/>
      <c r="J3409" s="18"/>
      <c r="K3409" s="18"/>
      <c r="L3409" s="18"/>
    </row>
    <row r="3410" spans="1:12" ht="15" customHeight="1" x14ac:dyDescent="0.25">
      <c r="A3410" s="10" t="s">
        <v>30</v>
      </c>
      <c r="B3410" s="11"/>
      <c r="C3410" s="12"/>
      <c r="D3410" s="8" t="s">
        <v>21</v>
      </c>
      <c r="E3410" s="8" t="s">
        <v>22</v>
      </c>
      <c r="F3410" s="9" t="s">
        <v>31</v>
      </c>
      <c r="G3410" s="9" t="s">
        <v>32</v>
      </c>
      <c r="H3410" s="9" t="s">
        <v>33</v>
      </c>
      <c r="I3410" s="13" t="s">
        <v>34</v>
      </c>
      <c r="J3410" s="14"/>
      <c r="K3410" s="13" t="s">
        <v>28</v>
      </c>
      <c r="L3410" s="14"/>
    </row>
    <row r="3411" spans="1:12" ht="15" customHeight="1" x14ac:dyDescent="0.25">
      <c r="A3411" s="15" t="s">
        <v>38</v>
      </c>
      <c r="B3411" s="16"/>
      <c r="C3411" s="16"/>
      <c r="D3411" s="16"/>
      <c r="E3411" s="16"/>
      <c r="F3411" s="16"/>
      <c r="G3411" s="16"/>
      <c r="H3411" s="16"/>
      <c r="I3411" s="16"/>
      <c r="J3411" s="17"/>
      <c r="K3411" s="15">
        <v>0</v>
      </c>
      <c r="L3411" s="17"/>
    </row>
    <row r="3412" spans="1:12" x14ac:dyDescent="0.25">
      <c r="A3412" s="18"/>
      <c r="B3412" s="18"/>
      <c r="C3412" s="18"/>
      <c r="D3412" s="18"/>
      <c r="E3412" s="18"/>
      <c r="F3412" s="18"/>
      <c r="G3412" s="18"/>
      <c r="H3412" s="18"/>
      <c r="I3412" s="18"/>
      <c r="J3412" s="18"/>
      <c r="K3412" s="18"/>
      <c r="L3412" s="18"/>
    </row>
    <row r="3413" spans="1:12" ht="15" customHeight="1" x14ac:dyDescent="0.25">
      <c r="A3413" s="10" t="s">
        <v>39</v>
      </c>
      <c r="B3413" s="11"/>
      <c r="C3413" s="12"/>
      <c r="D3413" s="8" t="s">
        <v>21</v>
      </c>
      <c r="E3413" s="13" t="s">
        <v>40</v>
      </c>
      <c r="F3413" s="14"/>
      <c r="G3413" s="8" t="s">
        <v>41</v>
      </c>
      <c r="H3413" s="8" t="s">
        <v>42</v>
      </c>
      <c r="I3413" s="8" t="s">
        <v>43</v>
      </c>
      <c r="J3413" s="13" t="s">
        <v>44</v>
      </c>
      <c r="K3413" s="26"/>
      <c r="L3413" s="14"/>
    </row>
    <row r="3414" spans="1:12" ht="15" customHeight="1" x14ac:dyDescent="0.25">
      <c r="A3414" s="15" t="s">
        <v>45</v>
      </c>
      <c r="B3414" s="16"/>
      <c r="C3414" s="16"/>
      <c r="D3414" s="16"/>
      <c r="E3414" s="16"/>
      <c r="F3414" s="16"/>
      <c r="G3414" s="16"/>
      <c r="H3414" s="16"/>
      <c r="I3414" s="16"/>
      <c r="J3414" s="17"/>
      <c r="K3414" s="15">
        <v>0</v>
      </c>
      <c r="L3414" s="17"/>
    </row>
    <row r="3415" spans="1:12" x14ac:dyDescent="0.25">
      <c r="A3415" s="18"/>
      <c r="B3415" s="18"/>
      <c r="C3415" s="18"/>
      <c r="D3415" s="18"/>
      <c r="E3415" s="18"/>
      <c r="F3415" s="18"/>
      <c r="G3415" s="18"/>
      <c r="H3415" s="18"/>
      <c r="I3415" s="18"/>
      <c r="J3415" s="18"/>
      <c r="K3415" s="18"/>
      <c r="L3415" s="18"/>
    </row>
    <row r="3416" spans="1:12" ht="15" customHeight="1" x14ac:dyDescent="0.25">
      <c r="A3416" s="27" t="s">
        <v>46</v>
      </c>
      <c r="B3416" s="27"/>
      <c r="C3416" s="27"/>
      <c r="D3416" s="27"/>
      <c r="E3416" s="27"/>
      <c r="F3416" s="27"/>
      <c r="G3416" s="27"/>
      <c r="H3416" s="27"/>
      <c r="I3416" s="27"/>
      <c r="J3416" s="27"/>
      <c r="K3416" s="27">
        <v>0</v>
      </c>
      <c r="L3416" s="27"/>
    </row>
    <row r="3417" spans="1:12" ht="15" customHeight="1" x14ac:dyDescent="0.25">
      <c r="A3417" s="27" t="s">
        <v>47</v>
      </c>
      <c r="B3417" s="27"/>
      <c r="C3417" s="27"/>
      <c r="D3417" s="27"/>
      <c r="E3417" s="27"/>
      <c r="F3417" s="27"/>
      <c r="G3417" s="27"/>
      <c r="H3417" s="27"/>
      <c r="I3417" s="27"/>
      <c r="J3417" s="27"/>
      <c r="K3417" s="27">
        <v>1</v>
      </c>
      <c r="L3417" s="27"/>
    </row>
    <row r="3418" spans="1:12" ht="15" customHeight="1" x14ac:dyDescent="0.25">
      <c r="A3418" s="27" t="s">
        <v>48</v>
      </c>
      <c r="B3418" s="27"/>
      <c r="C3418" s="27"/>
      <c r="D3418" s="27"/>
      <c r="E3418" s="27"/>
      <c r="F3418" s="27"/>
      <c r="G3418" s="27"/>
      <c r="H3418" s="27"/>
      <c r="I3418" s="27"/>
      <c r="J3418" s="27"/>
      <c r="K3418" s="27">
        <v>0</v>
      </c>
      <c r="L3418" s="27"/>
    </row>
    <row r="3419" spans="1:12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</row>
    <row r="3420" spans="1:12" ht="15" customHeight="1" x14ac:dyDescent="0.25">
      <c r="A3420" s="10" t="s">
        <v>49</v>
      </c>
      <c r="B3420" s="11"/>
      <c r="C3420" s="11"/>
      <c r="D3420" s="11"/>
      <c r="E3420" s="12"/>
      <c r="F3420" s="8" t="s">
        <v>21</v>
      </c>
      <c r="G3420" s="8" t="s">
        <v>22</v>
      </c>
      <c r="H3420" s="9" t="s">
        <v>44</v>
      </c>
      <c r="I3420" s="13" t="s">
        <v>34</v>
      </c>
      <c r="J3420" s="14"/>
      <c r="K3420" s="13" t="s">
        <v>50</v>
      </c>
      <c r="L3420" s="14"/>
    </row>
    <row r="3421" spans="1:12" ht="15" customHeight="1" x14ac:dyDescent="0.25">
      <c r="A3421" s="21" t="s">
        <v>448</v>
      </c>
      <c r="B3421" s="22"/>
      <c r="C3421" s="22"/>
      <c r="D3421" s="22"/>
      <c r="E3421" s="23"/>
      <c r="F3421" s="19" t="str">
        <f>"036143"</f>
        <v>036143</v>
      </c>
      <c r="G3421" s="19" t="s">
        <v>99</v>
      </c>
      <c r="H3421" s="20">
        <v>39.4</v>
      </c>
      <c r="I3421" s="24">
        <v>7.39</v>
      </c>
      <c r="J3421" s="25"/>
      <c r="K3421" s="24">
        <v>291.16000000000003</v>
      </c>
      <c r="L3421" s="25"/>
    </row>
    <row r="3422" spans="1:12" ht="15" customHeight="1" x14ac:dyDescent="0.25">
      <c r="A3422" s="15" t="s">
        <v>51</v>
      </c>
      <c r="B3422" s="16"/>
      <c r="C3422" s="16"/>
      <c r="D3422" s="16"/>
      <c r="E3422" s="16"/>
      <c r="F3422" s="16"/>
      <c r="G3422" s="16"/>
      <c r="H3422" s="16"/>
      <c r="I3422" s="16"/>
      <c r="J3422" s="17"/>
      <c r="K3422" s="15">
        <v>291.16000000000003</v>
      </c>
      <c r="L3422" s="17"/>
    </row>
    <row r="3423" spans="1:12" x14ac:dyDescent="0.25">
      <c r="A3423" s="18"/>
      <c r="B3423" s="18"/>
      <c r="C3423" s="18"/>
      <c r="D3423" s="18"/>
      <c r="E3423" s="18"/>
      <c r="F3423" s="18"/>
      <c r="G3423" s="18"/>
      <c r="H3423" s="18"/>
      <c r="I3423" s="18"/>
      <c r="J3423" s="18"/>
      <c r="K3423" s="18"/>
      <c r="L3423" s="18"/>
    </row>
    <row r="3424" spans="1:12" ht="15" customHeight="1" x14ac:dyDescent="0.25">
      <c r="A3424" s="10" t="s">
        <v>52</v>
      </c>
      <c r="B3424" s="11"/>
      <c r="C3424" s="11"/>
      <c r="D3424" s="11"/>
      <c r="E3424" s="12"/>
      <c r="F3424" s="8" t="s">
        <v>21</v>
      </c>
      <c r="G3424" s="8" t="s">
        <v>22</v>
      </c>
      <c r="H3424" s="9" t="s">
        <v>44</v>
      </c>
      <c r="I3424" s="13" t="s">
        <v>34</v>
      </c>
      <c r="J3424" s="14"/>
      <c r="K3424" s="13" t="s">
        <v>50</v>
      </c>
      <c r="L3424" s="14"/>
    </row>
    <row r="3425" spans="1:12" ht="45" customHeight="1" x14ac:dyDescent="0.25">
      <c r="A3425" s="21" t="s">
        <v>443</v>
      </c>
      <c r="B3425" s="22"/>
      <c r="C3425" s="22"/>
      <c r="D3425" s="22"/>
      <c r="E3425" s="23"/>
      <c r="F3425" s="19" t="s">
        <v>444</v>
      </c>
      <c r="G3425" s="19" t="s">
        <v>13</v>
      </c>
      <c r="H3425" s="20">
        <v>6.38</v>
      </c>
      <c r="I3425" s="24">
        <v>50.38</v>
      </c>
      <c r="J3425" s="25"/>
      <c r="K3425" s="24">
        <v>321.42</v>
      </c>
      <c r="L3425" s="25"/>
    </row>
    <row r="3426" spans="1:12" ht="15" customHeight="1" x14ac:dyDescent="0.25">
      <c r="A3426" s="21" t="s">
        <v>245</v>
      </c>
      <c r="B3426" s="22"/>
      <c r="C3426" s="22"/>
      <c r="D3426" s="22"/>
      <c r="E3426" s="23"/>
      <c r="F3426" s="19" t="s">
        <v>246</v>
      </c>
      <c r="G3426" s="19" t="s">
        <v>13</v>
      </c>
      <c r="H3426" s="20">
        <v>7.28</v>
      </c>
      <c r="I3426" s="24">
        <v>7.9</v>
      </c>
      <c r="J3426" s="25"/>
      <c r="K3426" s="24">
        <v>57.51</v>
      </c>
      <c r="L3426" s="25"/>
    </row>
    <row r="3427" spans="1:12" ht="45" customHeight="1" x14ac:dyDescent="0.25">
      <c r="A3427" s="21" t="s">
        <v>449</v>
      </c>
      <c r="B3427" s="22"/>
      <c r="C3427" s="22"/>
      <c r="D3427" s="22"/>
      <c r="E3427" s="23"/>
      <c r="F3427" s="19" t="s">
        <v>450</v>
      </c>
      <c r="G3427" s="19" t="s">
        <v>13</v>
      </c>
      <c r="H3427" s="20">
        <v>7.28</v>
      </c>
      <c r="I3427" s="24">
        <v>84.03</v>
      </c>
      <c r="J3427" s="25"/>
      <c r="K3427" s="24">
        <v>611.73</v>
      </c>
      <c r="L3427" s="25"/>
    </row>
    <row r="3428" spans="1:12" ht="30" customHeight="1" x14ac:dyDescent="0.25">
      <c r="A3428" s="21" t="s">
        <v>451</v>
      </c>
      <c r="B3428" s="22"/>
      <c r="C3428" s="22"/>
      <c r="D3428" s="22"/>
      <c r="E3428" s="23"/>
      <c r="F3428" s="19" t="s">
        <v>452</v>
      </c>
      <c r="G3428" s="19" t="s">
        <v>13</v>
      </c>
      <c r="H3428" s="20">
        <v>7.28</v>
      </c>
      <c r="I3428" s="24">
        <v>38.75</v>
      </c>
      <c r="J3428" s="25"/>
      <c r="K3428" s="24">
        <v>282.10000000000002</v>
      </c>
      <c r="L3428" s="25"/>
    </row>
    <row r="3429" spans="1:12" ht="45" customHeight="1" x14ac:dyDescent="0.25">
      <c r="A3429" s="21" t="s">
        <v>350</v>
      </c>
      <c r="B3429" s="22"/>
      <c r="C3429" s="22"/>
      <c r="D3429" s="22"/>
      <c r="E3429" s="23"/>
      <c r="F3429" s="19" t="s">
        <v>351</v>
      </c>
      <c r="G3429" s="19" t="s">
        <v>87</v>
      </c>
      <c r="H3429" s="20">
        <v>7.39</v>
      </c>
      <c r="I3429" s="24">
        <v>45.38</v>
      </c>
      <c r="J3429" s="25"/>
      <c r="K3429" s="24">
        <v>335.35</v>
      </c>
      <c r="L3429" s="25"/>
    </row>
    <row r="3430" spans="1:12" ht="15" customHeight="1" x14ac:dyDescent="0.25">
      <c r="A3430" s="15" t="s">
        <v>53</v>
      </c>
      <c r="B3430" s="16"/>
      <c r="C3430" s="16"/>
      <c r="D3430" s="16"/>
      <c r="E3430" s="16"/>
      <c r="F3430" s="16"/>
      <c r="G3430" s="16"/>
      <c r="H3430" s="16"/>
      <c r="I3430" s="16"/>
      <c r="J3430" s="17"/>
      <c r="K3430" s="31">
        <v>1608.11</v>
      </c>
      <c r="L3430" s="32"/>
    </row>
    <row r="3431" spans="1:12" x14ac:dyDescent="0.25">
      <c r="A3431" s="18"/>
      <c r="B3431" s="18"/>
      <c r="C3431" s="18"/>
      <c r="D3431" s="18"/>
      <c r="E3431" s="18"/>
      <c r="F3431" s="18"/>
      <c r="G3431" s="18"/>
      <c r="H3431" s="18"/>
      <c r="I3431" s="18"/>
      <c r="J3431" s="18"/>
      <c r="K3431" s="18"/>
      <c r="L3431" s="18"/>
    </row>
    <row r="3432" spans="1:12" ht="15" customHeight="1" x14ac:dyDescent="0.25">
      <c r="A3432" s="10" t="s">
        <v>54</v>
      </c>
      <c r="B3432" s="11"/>
      <c r="C3432" s="12"/>
      <c r="D3432" s="8" t="s">
        <v>21</v>
      </c>
      <c r="E3432" s="8" t="s">
        <v>22</v>
      </c>
      <c r="F3432" s="9" t="s">
        <v>55</v>
      </c>
      <c r="G3432" s="8" t="s">
        <v>56</v>
      </c>
      <c r="H3432" s="8" t="s">
        <v>57</v>
      </c>
      <c r="I3432" s="8" t="s">
        <v>58</v>
      </c>
      <c r="J3432" s="9" t="s">
        <v>59</v>
      </c>
      <c r="K3432" s="9" t="s">
        <v>34</v>
      </c>
      <c r="L3432" s="9" t="s">
        <v>50</v>
      </c>
    </row>
    <row r="3433" spans="1:12" ht="15" customHeight="1" x14ac:dyDescent="0.25">
      <c r="A3433" s="15" t="s">
        <v>60</v>
      </c>
      <c r="B3433" s="16"/>
      <c r="C3433" s="16"/>
      <c r="D3433" s="16"/>
      <c r="E3433" s="16"/>
      <c r="F3433" s="16"/>
      <c r="G3433" s="16"/>
      <c r="H3433" s="16"/>
      <c r="I3433" s="16"/>
      <c r="J3433" s="17"/>
      <c r="K3433" s="15">
        <v>0</v>
      </c>
      <c r="L3433" s="17"/>
    </row>
    <row r="3434" spans="1:12" x14ac:dyDescent="0.25">
      <c r="A3434" s="18"/>
      <c r="B3434" s="18"/>
      <c r="C3434" s="18"/>
      <c r="D3434" s="18"/>
      <c r="E3434" s="18"/>
      <c r="F3434" s="18"/>
      <c r="G3434" s="18"/>
      <c r="H3434" s="18"/>
      <c r="I3434" s="18"/>
      <c r="J3434" s="18"/>
      <c r="K3434" s="18"/>
      <c r="L3434" s="18"/>
    </row>
    <row r="3435" spans="1:12" ht="15" customHeight="1" x14ac:dyDescent="0.25">
      <c r="A3435" s="27" t="s">
        <v>61</v>
      </c>
      <c r="B3435" s="27"/>
      <c r="C3435" s="27"/>
      <c r="D3435" s="27"/>
      <c r="E3435" s="27"/>
      <c r="F3435" s="27"/>
      <c r="G3435" s="27"/>
      <c r="H3435" s="27"/>
      <c r="I3435" s="27"/>
      <c r="J3435" s="27"/>
      <c r="K3435" s="28">
        <v>1899.27</v>
      </c>
      <c r="L3435" s="28"/>
    </row>
    <row r="3436" spans="1:12" ht="15" customHeight="1" x14ac:dyDescent="0.25">
      <c r="A3436" s="27" t="s">
        <v>62</v>
      </c>
      <c r="B3436" s="27"/>
      <c r="C3436" s="27"/>
      <c r="D3436" s="27"/>
      <c r="E3436" s="27"/>
      <c r="F3436" s="27"/>
      <c r="G3436" s="27"/>
      <c r="H3436" s="27"/>
      <c r="I3436" s="27"/>
      <c r="J3436" s="27"/>
      <c r="K3436" s="27">
        <v>631.51</v>
      </c>
      <c r="L3436" s="27"/>
    </row>
    <row r="3437" spans="1:12" ht="15" customHeight="1" x14ac:dyDescent="0.25">
      <c r="A3437" s="27" t="s">
        <v>63</v>
      </c>
      <c r="B3437" s="27"/>
      <c r="C3437" s="27"/>
      <c r="D3437" s="27"/>
      <c r="E3437" s="27"/>
      <c r="F3437" s="27"/>
      <c r="G3437" s="27"/>
      <c r="H3437" s="27"/>
      <c r="I3437" s="27"/>
      <c r="J3437" s="27"/>
      <c r="K3437" s="28">
        <v>2530.7800000000002</v>
      </c>
      <c r="L3437" s="28"/>
    </row>
    <row r="3438" spans="1:12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</row>
    <row r="3439" spans="1:12" ht="15" customHeight="1" x14ac:dyDescent="0.25">
      <c r="A3439" s="3" t="s">
        <v>8</v>
      </c>
      <c r="B3439" s="6" t="s">
        <v>9</v>
      </c>
      <c r="C3439" s="6"/>
      <c r="D3439" s="6"/>
      <c r="E3439" s="6"/>
      <c r="F3439" s="6"/>
      <c r="G3439" s="6"/>
      <c r="H3439" s="6"/>
      <c r="I3439" s="6"/>
      <c r="J3439" s="6"/>
      <c r="K3439" s="6"/>
      <c r="L3439" s="6"/>
    </row>
    <row r="3440" spans="1:12" ht="15" customHeight="1" x14ac:dyDescent="0.25">
      <c r="A3440" s="3" t="s">
        <v>10</v>
      </c>
      <c r="B3440" s="6" t="s">
        <v>453</v>
      </c>
      <c r="C3440" s="6"/>
      <c r="D3440" s="6"/>
      <c r="E3440" s="6"/>
      <c r="F3440" s="6"/>
      <c r="G3440" s="6"/>
      <c r="H3440" s="6"/>
      <c r="I3440" s="6"/>
      <c r="J3440" s="6"/>
      <c r="K3440" s="3" t="s">
        <v>12</v>
      </c>
      <c r="L3440" s="4" t="s">
        <v>84</v>
      </c>
    </row>
    <row r="3441" spans="1:12" ht="15" customHeight="1" x14ac:dyDescent="0.25">
      <c r="A3441" s="3" t="s">
        <v>14</v>
      </c>
      <c r="B3441" s="6" t="s">
        <v>88</v>
      </c>
      <c r="C3441" s="6"/>
      <c r="D3441" s="7" t="s">
        <v>16</v>
      </c>
      <c r="E3441" s="7"/>
      <c r="F3441" s="6" t="str">
        <f>"2F31.000203"</f>
        <v>2F31.000203</v>
      </c>
      <c r="G3441" s="6"/>
      <c r="H3441" s="3" t="s">
        <v>17</v>
      </c>
      <c r="I3441" s="6" t="s">
        <v>89</v>
      </c>
      <c r="J3441" s="6"/>
      <c r="K3441" s="3" t="s">
        <v>19</v>
      </c>
      <c r="L3441" s="5">
        <v>1</v>
      </c>
    </row>
    <row r="3442" spans="1:12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</row>
    <row r="3443" spans="1:12" ht="15" customHeight="1" x14ac:dyDescent="0.25">
      <c r="A3443" s="10" t="s">
        <v>20</v>
      </c>
      <c r="B3443" s="11"/>
      <c r="C3443" s="12"/>
      <c r="D3443" s="8" t="s">
        <v>21</v>
      </c>
      <c r="E3443" s="8" t="s">
        <v>22</v>
      </c>
      <c r="F3443" s="9" t="s">
        <v>23</v>
      </c>
      <c r="G3443" s="9" t="s">
        <v>24</v>
      </c>
      <c r="H3443" s="9" t="s">
        <v>25</v>
      </c>
      <c r="I3443" s="9" t="s">
        <v>26</v>
      </c>
      <c r="J3443" s="9" t="s">
        <v>27</v>
      </c>
      <c r="K3443" s="13" t="s">
        <v>28</v>
      </c>
      <c r="L3443" s="14"/>
    </row>
    <row r="3444" spans="1:12" ht="15" customHeight="1" x14ac:dyDescent="0.25">
      <c r="A3444" s="15" t="s">
        <v>29</v>
      </c>
      <c r="B3444" s="16"/>
      <c r="C3444" s="16"/>
      <c r="D3444" s="16"/>
      <c r="E3444" s="16"/>
      <c r="F3444" s="16"/>
      <c r="G3444" s="16"/>
      <c r="H3444" s="16"/>
      <c r="I3444" s="16"/>
      <c r="J3444" s="17"/>
      <c r="K3444" s="15">
        <v>0</v>
      </c>
      <c r="L3444" s="17"/>
    </row>
    <row r="3445" spans="1:12" x14ac:dyDescent="0.25">
      <c r="A3445" s="18"/>
      <c r="B3445" s="18"/>
      <c r="C3445" s="18"/>
      <c r="D3445" s="18"/>
      <c r="E3445" s="18"/>
      <c r="F3445" s="18"/>
      <c r="G3445" s="18"/>
      <c r="H3445" s="18"/>
      <c r="I3445" s="18"/>
      <c r="J3445" s="18"/>
      <c r="K3445" s="18"/>
      <c r="L3445" s="18"/>
    </row>
    <row r="3446" spans="1:12" ht="15" customHeight="1" x14ac:dyDescent="0.25">
      <c r="A3446" s="10" t="s">
        <v>30</v>
      </c>
      <c r="B3446" s="11"/>
      <c r="C3446" s="12"/>
      <c r="D3446" s="8" t="s">
        <v>21</v>
      </c>
      <c r="E3446" s="8" t="s">
        <v>22</v>
      </c>
      <c r="F3446" s="9" t="s">
        <v>31</v>
      </c>
      <c r="G3446" s="9" t="s">
        <v>32</v>
      </c>
      <c r="H3446" s="9" t="s">
        <v>33</v>
      </c>
      <c r="I3446" s="13" t="s">
        <v>34</v>
      </c>
      <c r="J3446" s="14"/>
      <c r="K3446" s="13" t="s">
        <v>28</v>
      </c>
      <c r="L3446" s="14"/>
    </row>
    <row r="3447" spans="1:12" ht="15" customHeight="1" x14ac:dyDescent="0.25">
      <c r="A3447" s="15" t="s">
        <v>38</v>
      </c>
      <c r="B3447" s="16"/>
      <c r="C3447" s="16"/>
      <c r="D3447" s="16"/>
      <c r="E3447" s="16"/>
      <c r="F3447" s="16"/>
      <c r="G3447" s="16"/>
      <c r="H3447" s="16"/>
      <c r="I3447" s="16"/>
      <c r="J3447" s="17"/>
      <c r="K3447" s="15">
        <v>0</v>
      </c>
      <c r="L3447" s="17"/>
    </row>
    <row r="3448" spans="1:12" x14ac:dyDescent="0.25">
      <c r="A3448" s="18"/>
      <c r="B3448" s="18"/>
      <c r="C3448" s="18"/>
      <c r="D3448" s="18"/>
      <c r="E3448" s="18"/>
      <c r="F3448" s="18"/>
      <c r="G3448" s="18"/>
      <c r="H3448" s="18"/>
      <c r="I3448" s="18"/>
      <c r="J3448" s="18"/>
      <c r="K3448" s="18"/>
      <c r="L3448" s="18"/>
    </row>
    <row r="3449" spans="1:12" ht="15" customHeight="1" x14ac:dyDescent="0.25">
      <c r="A3449" s="10" t="s">
        <v>39</v>
      </c>
      <c r="B3449" s="11"/>
      <c r="C3449" s="12"/>
      <c r="D3449" s="8" t="s">
        <v>21</v>
      </c>
      <c r="E3449" s="13" t="s">
        <v>40</v>
      </c>
      <c r="F3449" s="14"/>
      <c r="G3449" s="8" t="s">
        <v>41</v>
      </c>
      <c r="H3449" s="8" t="s">
        <v>42</v>
      </c>
      <c r="I3449" s="8" t="s">
        <v>43</v>
      </c>
      <c r="J3449" s="13" t="s">
        <v>44</v>
      </c>
      <c r="K3449" s="26"/>
      <c r="L3449" s="14"/>
    </row>
    <row r="3450" spans="1:12" ht="15" customHeight="1" x14ac:dyDescent="0.25">
      <c r="A3450" s="15" t="s">
        <v>45</v>
      </c>
      <c r="B3450" s="16"/>
      <c r="C3450" s="16"/>
      <c r="D3450" s="16"/>
      <c r="E3450" s="16"/>
      <c r="F3450" s="16"/>
      <c r="G3450" s="16"/>
      <c r="H3450" s="16"/>
      <c r="I3450" s="16"/>
      <c r="J3450" s="17"/>
      <c r="K3450" s="15">
        <v>0</v>
      </c>
      <c r="L3450" s="17"/>
    </row>
    <row r="3451" spans="1:12" x14ac:dyDescent="0.25">
      <c r="A3451" s="18"/>
      <c r="B3451" s="18"/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</row>
    <row r="3452" spans="1:12" ht="15" customHeight="1" x14ac:dyDescent="0.25">
      <c r="A3452" s="27" t="s">
        <v>46</v>
      </c>
      <c r="B3452" s="27"/>
      <c r="C3452" s="27"/>
      <c r="D3452" s="27"/>
      <c r="E3452" s="27"/>
      <c r="F3452" s="27"/>
      <c r="G3452" s="27"/>
      <c r="H3452" s="27"/>
      <c r="I3452" s="27"/>
      <c r="J3452" s="27"/>
      <c r="K3452" s="27">
        <v>0</v>
      </c>
      <c r="L3452" s="27"/>
    </row>
    <row r="3453" spans="1:12" ht="15" customHeight="1" x14ac:dyDescent="0.25">
      <c r="A3453" s="27" t="s">
        <v>47</v>
      </c>
      <c r="B3453" s="27"/>
      <c r="C3453" s="27"/>
      <c r="D3453" s="27"/>
      <c r="E3453" s="27"/>
      <c r="F3453" s="27"/>
      <c r="G3453" s="27"/>
      <c r="H3453" s="27"/>
      <c r="I3453" s="27"/>
      <c r="J3453" s="27"/>
      <c r="K3453" s="27">
        <v>1</v>
      </c>
      <c r="L3453" s="27"/>
    </row>
    <row r="3454" spans="1:12" ht="15" customHeight="1" x14ac:dyDescent="0.25">
      <c r="A3454" s="27" t="s">
        <v>48</v>
      </c>
      <c r="B3454" s="27"/>
      <c r="C3454" s="27"/>
      <c r="D3454" s="27"/>
      <c r="E3454" s="27"/>
      <c r="F3454" s="27"/>
      <c r="G3454" s="27"/>
      <c r="H3454" s="27"/>
      <c r="I3454" s="27"/>
      <c r="J3454" s="27"/>
      <c r="K3454" s="27">
        <v>0</v>
      </c>
      <c r="L3454" s="27"/>
    </row>
    <row r="3455" spans="1:12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</row>
    <row r="3456" spans="1:12" ht="15" customHeight="1" x14ac:dyDescent="0.25">
      <c r="A3456" s="10" t="s">
        <v>49</v>
      </c>
      <c r="B3456" s="11"/>
      <c r="C3456" s="11"/>
      <c r="D3456" s="11"/>
      <c r="E3456" s="12"/>
      <c r="F3456" s="8" t="s">
        <v>21</v>
      </c>
      <c r="G3456" s="8" t="s">
        <v>22</v>
      </c>
      <c r="H3456" s="9" t="s">
        <v>44</v>
      </c>
      <c r="I3456" s="13" t="s">
        <v>34</v>
      </c>
      <c r="J3456" s="14"/>
      <c r="K3456" s="13" t="s">
        <v>50</v>
      </c>
      <c r="L3456" s="14"/>
    </row>
    <row r="3457" spans="1:12" ht="15" customHeight="1" x14ac:dyDescent="0.25">
      <c r="A3457" s="21" t="s">
        <v>454</v>
      </c>
      <c r="B3457" s="22"/>
      <c r="C3457" s="22"/>
      <c r="D3457" s="22"/>
      <c r="E3457" s="23"/>
      <c r="F3457" s="19" t="str">
        <f>"035422"</f>
        <v>035422</v>
      </c>
      <c r="G3457" s="19" t="s">
        <v>99</v>
      </c>
      <c r="H3457" s="20">
        <v>45.91</v>
      </c>
      <c r="I3457" s="24">
        <v>6.06</v>
      </c>
      <c r="J3457" s="25"/>
      <c r="K3457" s="24">
        <v>278.20999999999998</v>
      </c>
      <c r="L3457" s="25"/>
    </row>
    <row r="3458" spans="1:12" ht="15" customHeight="1" x14ac:dyDescent="0.25">
      <c r="A3458" s="15" t="s">
        <v>51</v>
      </c>
      <c r="B3458" s="16"/>
      <c r="C3458" s="16"/>
      <c r="D3458" s="16"/>
      <c r="E3458" s="16"/>
      <c r="F3458" s="16"/>
      <c r="G3458" s="16"/>
      <c r="H3458" s="16"/>
      <c r="I3458" s="16"/>
      <c r="J3458" s="17"/>
      <c r="K3458" s="15">
        <v>278.20999999999998</v>
      </c>
      <c r="L3458" s="17"/>
    </row>
    <row r="3459" spans="1:12" x14ac:dyDescent="0.25">
      <c r="A3459" s="18"/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</row>
    <row r="3460" spans="1:12" ht="15" customHeight="1" x14ac:dyDescent="0.25">
      <c r="A3460" s="10" t="s">
        <v>52</v>
      </c>
      <c r="B3460" s="11"/>
      <c r="C3460" s="11"/>
      <c r="D3460" s="11"/>
      <c r="E3460" s="12"/>
      <c r="F3460" s="8" t="s">
        <v>21</v>
      </c>
      <c r="G3460" s="8" t="s">
        <v>22</v>
      </c>
      <c r="H3460" s="9" t="s">
        <v>44</v>
      </c>
      <c r="I3460" s="13" t="s">
        <v>34</v>
      </c>
      <c r="J3460" s="14"/>
      <c r="K3460" s="13" t="s">
        <v>50</v>
      </c>
      <c r="L3460" s="14"/>
    </row>
    <row r="3461" spans="1:12" ht="45" customHeight="1" x14ac:dyDescent="0.25">
      <c r="A3461" s="21" t="s">
        <v>350</v>
      </c>
      <c r="B3461" s="22"/>
      <c r="C3461" s="22"/>
      <c r="D3461" s="22"/>
      <c r="E3461" s="23"/>
      <c r="F3461" s="19" t="s">
        <v>351</v>
      </c>
      <c r="G3461" s="19" t="s">
        <v>87</v>
      </c>
      <c r="H3461" s="20">
        <v>6.06</v>
      </c>
      <c r="I3461" s="24">
        <v>45.38</v>
      </c>
      <c r="J3461" s="25"/>
      <c r="K3461" s="24">
        <v>275</v>
      </c>
      <c r="L3461" s="25"/>
    </row>
    <row r="3462" spans="1:12" ht="15" customHeight="1" x14ac:dyDescent="0.25">
      <c r="A3462" s="15" t="s">
        <v>53</v>
      </c>
      <c r="B3462" s="16"/>
      <c r="C3462" s="16"/>
      <c r="D3462" s="16"/>
      <c r="E3462" s="16"/>
      <c r="F3462" s="16"/>
      <c r="G3462" s="16"/>
      <c r="H3462" s="16"/>
      <c r="I3462" s="16"/>
      <c r="J3462" s="17"/>
      <c r="K3462" s="15">
        <v>275</v>
      </c>
      <c r="L3462" s="17"/>
    </row>
    <row r="3463" spans="1:12" x14ac:dyDescent="0.25">
      <c r="A3463" s="18"/>
      <c r="B3463" s="18"/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</row>
    <row r="3464" spans="1:12" ht="15" customHeight="1" x14ac:dyDescent="0.25">
      <c r="A3464" s="10" t="s">
        <v>54</v>
      </c>
      <c r="B3464" s="11"/>
      <c r="C3464" s="12"/>
      <c r="D3464" s="8" t="s">
        <v>21</v>
      </c>
      <c r="E3464" s="8" t="s">
        <v>22</v>
      </c>
      <c r="F3464" s="9" t="s">
        <v>55</v>
      </c>
      <c r="G3464" s="8" t="s">
        <v>56</v>
      </c>
      <c r="H3464" s="8" t="s">
        <v>57</v>
      </c>
      <c r="I3464" s="8" t="s">
        <v>58</v>
      </c>
      <c r="J3464" s="9" t="s">
        <v>59</v>
      </c>
      <c r="K3464" s="9" t="s">
        <v>34</v>
      </c>
      <c r="L3464" s="9" t="s">
        <v>50</v>
      </c>
    </row>
    <row r="3465" spans="1:12" ht="15" customHeight="1" x14ac:dyDescent="0.25">
      <c r="A3465" s="15" t="s">
        <v>60</v>
      </c>
      <c r="B3465" s="16"/>
      <c r="C3465" s="16"/>
      <c r="D3465" s="16"/>
      <c r="E3465" s="16"/>
      <c r="F3465" s="16"/>
      <c r="G3465" s="16"/>
      <c r="H3465" s="16"/>
      <c r="I3465" s="16"/>
      <c r="J3465" s="17"/>
      <c r="K3465" s="15">
        <v>0</v>
      </c>
      <c r="L3465" s="17"/>
    </row>
    <row r="3466" spans="1:12" x14ac:dyDescent="0.25">
      <c r="A3466" s="18"/>
      <c r="B3466" s="18"/>
      <c r="C3466" s="18"/>
      <c r="D3466" s="18"/>
      <c r="E3466" s="18"/>
      <c r="F3466" s="18"/>
      <c r="G3466" s="18"/>
      <c r="H3466" s="18"/>
      <c r="I3466" s="18"/>
      <c r="J3466" s="18"/>
      <c r="K3466" s="18"/>
      <c r="L3466" s="18"/>
    </row>
    <row r="3467" spans="1:12" ht="15" customHeight="1" x14ac:dyDescent="0.25">
      <c r="A3467" s="27" t="s">
        <v>61</v>
      </c>
      <c r="B3467" s="27"/>
      <c r="C3467" s="27"/>
      <c r="D3467" s="27"/>
      <c r="E3467" s="27"/>
      <c r="F3467" s="27"/>
      <c r="G3467" s="27"/>
      <c r="H3467" s="27"/>
      <c r="I3467" s="27"/>
      <c r="J3467" s="27"/>
      <c r="K3467" s="27">
        <v>553.21</v>
      </c>
      <c r="L3467" s="27"/>
    </row>
    <row r="3468" spans="1:12" ht="15" customHeight="1" x14ac:dyDescent="0.25">
      <c r="A3468" s="27" t="s">
        <v>62</v>
      </c>
      <c r="B3468" s="27"/>
      <c r="C3468" s="27"/>
      <c r="D3468" s="27"/>
      <c r="E3468" s="27"/>
      <c r="F3468" s="27"/>
      <c r="G3468" s="27"/>
      <c r="H3468" s="27"/>
      <c r="I3468" s="27"/>
      <c r="J3468" s="27"/>
      <c r="K3468" s="27">
        <v>183.94</v>
      </c>
      <c r="L3468" s="27"/>
    </row>
    <row r="3469" spans="1:12" ht="15" customHeight="1" x14ac:dyDescent="0.25">
      <c r="A3469" s="27" t="s">
        <v>63</v>
      </c>
      <c r="B3469" s="27"/>
      <c r="C3469" s="27"/>
      <c r="D3469" s="27"/>
      <c r="E3469" s="27"/>
      <c r="F3469" s="27"/>
      <c r="G3469" s="27"/>
      <c r="H3469" s="27"/>
      <c r="I3469" s="27"/>
      <c r="J3469" s="27"/>
      <c r="K3469" s="27">
        <v>737.15</v>
      </c>
      <c r="L3469" s="27"/>
    </row>
    <row r="3470" spans="1:12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</row>
    <row r="3471" spans="1:12" ht="15" customHeight="1" x14ac:dyDescent="0.25">
      <c r="A3471" s="3" t="s">
        <v>8</v>
      </c>
      <c r="B3471" s="6" t="s">
        <v>9</v>
      </c>
      <c r="C3471" s="6"/>
      <c r="D3471" s="6"/>
      <c r="E3471" s="6"/>
      <c r="F3471" s="6"/>
      <c r="G3471" s="6"/>
      <c r="H3471" s="6"/>
      <c r="I3471" s="6"/>
      <c r="J3471" s="6"/>
      <c r="K3471" s="6"/>
      <c r="L3471" s="6"/>
    </row>
    <row r="3472" spans="1:12" ht="15" customHeight="1" x14ac:dyDescent="0.25">
      <c r="A3472" s="3" t="s">
        <v>10</v>
      </c>
      <c r="B3472" s="6" t="s">
        <v>455</v>
      </c>
      <c r="C3472" s="6"/>
      <c r="D3472" s="6"/>
      <c r="E3472" s="6"/>
      <c r="F3472" s="6"/>
      <c r="G3472" s="6"/>
      <c r="H3472" s="6"/>
      <c r="I3472" s="6"/>
      <c r="J3472" s="6"/>
      <c r="K3472" s="3" t="s">
        <v>12</v>
      </c>
      <c r="L3472" s="4" t="s">
        <v>87</v>
      </c>
    </row>
    <row r="3473" spans="1:12" ht="15" customHeight="1" x14ac:dyDescent="0.25">
      <c r="A3473" s="3" t="s">
        <v>14</v>
      </c>
      <c r="B3473" s="6" t="s">
        <v>88</v>
      </c>
      <c r="C3473" s="6"/>
      <c r="D3473" s="7" t="s">
        <v>16</v>
      </c>
      <c r="E3473" s="7"/>
      <c r="F3473" s="6" t="str">
        <f>"3673.000073"</f>
        <v>3673.000073</v>
      </c>
      <c r="G3473" s="6"/>
      <c r="H3473" s="3" t="s">
        <v>17</v>
      </c>
      <c r="I3473" s="6" t="s">
        <v>89</v>
      </c>
      <c r="J3473" s="6"/>
      <c r="K3473" s="3" t="s">
        <v>19</v>
      </c>
      <c r="L3473" s="5">
        <v>1</v>
      </c>
    </row>
    <row r="3474" spans="1:12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</row>
    <row r="3475" spans="1:12" ht="15" customHeight="1" x14ac:dyDescent="0.25">
      <c r="A3475" s="10" t="s">
        <v>20</v>
      </c>
      <c r="B3475" s="11"/>
      <c r="C3475" s="12"/>
      <c r="D3475" s="8" t="s">
        <v>21</v>
      </c>
      <c r="E3475" s="8" t="s">
        <v>22</v>
      </c>
      <c r="F3475" s="9" t="s">
        <v>23</v>
      </c>
      <c r="G3475" s="9" t="s">
        <v>24</v>
      </c>
      <c r="H3475" s="9" t="s">
        <v>25</v>
      </c>
      <c r="I3475" s="9" t="s">
        <v>26</v>
      </c>
      <c r="J3475" s="9" t="s">
        <v>27</v>
      </c>
      <c r="K3475" s="13" t="s">
        <v>28</v>
      </c>
      <c r="L3475" s="14"/>
    </row>
    <row r="3476" spans="1:12" ht="15" customHeight="1" x14ac:dyDescent="0.25">
      <c r="A3476" s="15" t="s">
        <v>29</v>
      </c>
      <c r="B3476" s="16"/>
      <c r="C3476" s="16"/>
      <c r="D3476" s="16"/>
      <c r="E3476" s="16"/>
      <c r="F3476" s="16"/>
      <c r="G3476" s="16"/>
      <c r="H3476" s="16"/>
      <c r="I3476" s="16"/>
      <c r="J3476" s="17"/>
      <c r="K3476" s="15">
        <v>0</v>
      </c>
      <c r="L3476" s="17"/>
    </row>
    <row r="3477" spans="1:12" x14ac:dyDescent="0.25">
      <c r="A3477" s="18"/>
      <c r="B3477" s="18"/>
      <c r="C3477" s="18"/>
      <c r="D3477" s="18"/>
      <c r="E3477" s="18"/>
      <c r="F3477" s="18"/>
      <c r="G3477" s="18"/>
      <c r="H3477" s="18"/>
      <c r="I3477" s="18"/>
      <c r="J3477" s="18"/>
      <c r="K3477" s="18"/>
      <c r="L3477" s="18"/>
    </row>
    <row r="3478" spans="1:12" ht="15" customHeight="1" x14ac:dyDescent="0.25">
      <c r="A3478" s="10" t="s">
        <v>30</v>
      </c>
      <c r="B3478" s="11"/>
      <c r="C3478" s="12"/>
      <c r="D3478" s="8" t="s">
        <v>21</v>
      </c>
      <c r="E3478" s="8" t="s">
        <v>22</v>
      </c>
      <c r="F3478" s="9" t="s">
        <v>31</v>
      </c>
      <c r="G3478" s="9" t="s">
        <v>32</v>
      </c>
      <c r="H3478" s="9" t="s">
        <v>33</v>
      </c>
      <c r="I3478" s="13" t="s">
        <v>34</v>
      </c>
      <c r="J3478" s="14"/>
      <c r="K3478" s="13" t="s">
        <v>28</v>
      </c>
      <c r="L3478" s="14"/>
    </row>
    <row r="3479" spans="1:12" ht="15" customHeight="1" x14ac:dyDescent="0.25">
      <c r="A3479" s="15" t="s">
        <v>38</v>
      </c>
      <c r="B3479" s="16"/>
      <c r="C3479" s="16"/>
      <c r="D3479" s="16"/>
      <c r="E3479" s="16"/>
      <c r="F3479" s="16"/>
      <c r="G3479" s="16"/>
      <c r="H3479" s="16"/>
      <c r="I3479" s="16"/>
      <c r="J3479" s="17"/>
      <c r="K3479" s="15">
        <v>0</v>
      </c>
      <c r="L3479" s="17"/>
    </row>
    <row r="3480" spans="1:12" x14ac:dyDescent="0.25">
      <c r="A3480" s="18"/>
      <c r="B3480" s="18"/>
      <c r="C3480" s="18"/>
      <c r="D3480" s="18"/>
      <c r="E3480" s="18"/>
      <c r="F3480" s="18"/>
      <c r="G3480" s="18"/>
      <c r="H3480" s="18"/>
      <c r="I3480" s="18"/>
      <c r="J3480" s="18"/>
      <c r="K3480" s="18"/>
      <c r="L3480" s="18"/>
    </row>
    <row r="3481" spans="1:12" ht="15" customHeight="1" x14ac:dyDescent="0.25">
      <c r="A3481" s="10" t="s">
        <v>39</v>
      </c>
      <c r="B3481" s="11"/>
      <c r="C3481" s="12"/>
      <c r="D3481" s="8" t="s">
        <v>21</v>
      </c>
      <c r="E3481" s="13" t="s">
        <v>40</v>
      </c>
      <c r="F3481" s="14"/>
      <c r="G3481" s="8" t="s">
        <v>41</v>
      </c>
      <c r="H3481" s="8" t="s">
        <v>42</v>
      </c>
      <c r="I3481" s="8" t="s">
        <v>43</v>
      </c>
      <c r="J3481" s="13" t="s">
        <v>44</v>
      </c>
      <c r="K3481" s="26"/>
      <c r="L3481" s="14"/>
    </row>
    <row r="3482" spans="1:12" ht="15" customHeight="1" x14ac:dyDescent="0.25">
      <c r="A3482" s="15" t="s">
        <v>45</v>
      </c>
      <c r="B3482" s="16"/>
      <c r="C3482" s="16"/>
      <c r="D3482" s="16"/>
      <c r="E3482" s="16"/>
      <c r="F3482" s="16"/>
      <c r="G3482" s="16"/>
      <c r="H3482" s="16"/>
      <c r="I3482" s="16"/>
      <c r="J3482" s="17"/>
      <c r="K3482" s="15">
        <v>0</v>
      </c>
      <c r="L3482" s="17"/>
    </row>
    <row r="3483" spans="1:12" x14ac:dyDescent="0.25">
      <c r="A3483" s="18"/>
      <c r="B3483" s="18"/>
      <c r="C3483" s="18"/>
      <c r="D3483" s="18"/>
      <c r="E3483" s="18"/>
      <c r="F3483" s="18"/>
      <c r="G3483" s="18"/>
      <c r="H3483" s="18"/>
      <c r="I3483" s="18"/>
      <c r="J3483" s="18"/>
      <c r="K3483" s="18"/>
      <c r="L3483" s="18"/>
    </row>
    <row r="3484" spans="1:12" ht="15" customHeight="1" x14ac:dyDescent="0.25">
      <c r="A3484" s="27" t="s">
        <v>46</v>
      </c>
      <c r="B3484" s="27"/>
      <c r="C3484" s="27"/>
      <c r="D3484" s="27"/>
      <c r="E3484" s="27"/>
      <c r="F3484" s="27"/>
      <c r="G3484" s="27"/>
      <c r="H3484" s="27"/>
      <c r="I3484" s="27"/>
      <c r="J3484" s="27"/>
      <c r="K3484" s="27">
        <v>0</v>
      </c>
      <c r="L3484" s="27"/>
    </row>
    <row r="3485" spans="1:12" ht="15" customHeight="1" x14ac:dyDescent="0.25">
      <c r="A3485" s="27" t="s">
        <v>47</v>
      </c>
      <c r="B3485" s="27"/>
      <c r="C3485" s="27"/>
      <c r="D3485" s="27"/>
      <c r="E3485" s="27"/>
      <c r="F3485" s="27"/>
      <c r="G3485" s="27"/>
      <c r="H3485" s="27"/>
      <c r="I3485" s="27"/>
      <c r="J3485" s="27"/>
      <c r="K3485" s="27">
        <v>1</v>
      </c>
      <c r="L3485" s="27"/>
    </row>
    <row r="3486" spans="1:12" ht="15" customHeight="1" x14ac:dyDescent="0.25">
      <c r="A3486" s="27" t="s">
        <v>48</v>
      </c>
      <c r="B3486" s="27"/>
      <c r="C3486" s="27"/>
      <c r="D3486" s="27"/>
      <c r="E3486" s="27"/>
      <c r="F3486" s="27"/>
      <c r="G3486" s="27"/>
      <c r="H3486" s="27"/>
      <c r="I3486" s="27"/>
      <c r="J3486" s="27"/>
      <c r="K3486" s="27">
        <v>0</v>
      </c>
      <c r="L3486" s="27"/>
    </row>
    <row r="3487" spans="1:12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</row>
    <row r="3488" spans="1:12" ht="15" customHeight="1" x14ac:dyDescent="0.25">
      <c r="A3488" s="10" t="s">
        <v>49</v>
      </c>
      <c r="B3488" s="11"/>
      <c r="C3488" s="11"/>
      <c r="D3488" s="11"/>
      <c r="E3488" s="12"/>
      <c r="F3488" s="8" t="s">
        <v>21</v>
      </c>
      <c r="G3488" s="8" t="s">
        <v>22</v>
      </c>
      <c r="H3488" s="9" t="s">
        <v>44</v>
      </c>
      <c r="I3488" s="13" t="s">
        <v>34</v>
      </c>
      <c r="J3488" s="14"/>
      <c r="K3488" s="13" t="s">
        <v>50</v>
      </c>
      <c r="L3488" s="14"/>
    </row>
    <row r="3489" spans="1:12" ht="15" customHeight="1" x14ac:dyDescent="0.25">
      <c r="A3489" s="21" t="s">
        <v>456</v>
      </c>
      <c r="B3489" s="22"/>
      <c r="C3489" s="22"/>
      <c r="D3489" s="22"/>
      <c r="E3489" s="23"/>
      <c r="F3489" s="19" t="str">
        <f>"020510"</f>
        <v>020510</v>
      </c>
      <c r="G3489" s="19" t="s">
        <v>124</v>
      </c>
      <c r="H3489" s="20">
        <v>0.84</v>
      </c>
      <c r="I3489" s="24">
        <v>0.76500000000000001</v>
      </c>
      <c r="J3489" s="25"/>
      <c r="K3489" s="24">
        <v>0.64</v>
      </c>
      <c r="L3489" s="25"/>
    </row>
    <row r="3490" spans="1:12" ht="15" customHeight="1" x14ac:dyDescent="0.25">
      <c r="A3490" s="21" t="s">
        <v>457</v>
      </c>
      <c r="B3490" s="22"/>
      <c r="C3490" s="22"/>
      <c r="D3490" s="22"/>
      <c r="E3490" s="23"/>
      <c r="F3490" s="19" t="str">
        <f>"020588"</f>
        <v>020588</v>
      </c>
      <c r="G3490" s="19" t="s">
        <v>124</v>
      </c>
      <c r="H3490" s="20">
        <v>8</v>
      </c>
      <c r="I3490" s="24">
        <v>5.7000000000000002E-2</v>
      </c>
      <c r="J3490" s="25"/>
      <c r="K3490" s="24">
        <v>0.45</v>
      </c>
      <c r="L3490" s="25"/>
    </row>
    <row r="3491" spans="1:12" ht="15" customHeight="1" x14ac:dyDescent="0.25">
      <c r="A3491" s="21" t="s">
        <v>454</v>
      </c>
      <c r="B3491" s="22"/>
      <c r="C3491" s="22"/>
      <c r="D3491" s="22"/>
      <c r="E3491" s="23"/>
      <c r="F3491" s="19" t="str">
        <f>"035422"</f>
        <v>035422</v>
      </c>
      <c r="G3491" s="19" t="s">
        <v>99</v>
      </c>
      <c r="H3491" s="20">
        <v>45.91</v>
      </c>
      <c r="I3491" s="24">
        <v>1</v>
      </c>
      <c r="J3491" s="25"/>
      <c r="K3491" s="24">
        <v>45.91</v>
      </c>
      <c r="L3491" s="25"/>
    </row>
    <row r="3492" spans="1:12" ht="15" customHeight="1" x14ac:dyDescent="0.25">
      <c r="A3492" s="15" t="s">
        <v>51</v>
      </c>
      <c r="B3492" s="16"/>
      <c r="C3492" s="16"/>
      <c r="D3492" s="16"/>
      <c r="E3492" s="16"/>
      <c r="F3492" s="16"/>
      <c r="G3492" s="16"/>
      <c r="H3492" s="16"/>
      <c r="I3492" s="16"/>
      <c r="J3492" s="17"/>
      <c r="K3492" s="15">
        <v>47</v>
      </c>
      <c r="L3492" s="17"/>
    </row>
    <row r="3493" spans="1:12" x14ac:dyDescent="0.25">
      <c r="A3493" s="18"/>
      <c r="B3493" s="18"/>
      <c r="C3493" s="18"/>
      <c r="D3493" s="18"/>
      <c r="E3493" s="18"/>
      <c r="F3493" s="18"/>
      <c r="G3493" s="18"/>
      <c r="H3493" s="18"/>
      <c r="I3493" s="18"/>
      <c r="J3493" s="18"/>
      <c r="K3493" s="18"/>
      <c r="L3493" s="18"/>
    </row>
    <row r="3494" spans="1:12" ht="15" customHeight="1" x14ac:dyDescent="0.25">
      <c r="A3494" s="10" t="s">
        <v>52</v>
      </c>
      <c r="B3494" s="11"/>
      <c r="C3494" s="11"/>
      <c r="D3494" s="11"/>
      <c r="E3494" s="12"/>
      <c r="F3494" s="8" t="s">
        <v>21</v>
      </c>
      <c r="G3494" s="8" t="s">
        <v>22</v>
      </c>
      <c r="H3494" s="9" t="s">
        <v>44</v>
      </c>
      <c r="I3494" s="13" t="s">
        <v>34</v>
      </c>
      <c r="J3494" s="14"/>
      <c r="K3494" s="13" t="s">
        <v>50</v>
      </c>
      <c r="L3494" s="14"/>
    </row>
    <row r="3495" spans="1:12" ht="15" customHeight="1" x14ac:dyDescent="0.25">
      <c r="A3495" s="21" t="s">
        <v>458</v>
      </c>
      <c r="B3495" s="22"/>
      <c r="C3495" s="22"/>
      <c r="D3495" s="22"/>
      <c r="E3495" s="23"/>
      <c r="F3495" s="19" t="s">
        <v>459</v>
      </c>
      <c r="G3495" s="19" t="s">
        <v>87</v>
      </c>
      <c r="H3495" s="20">
        <v>1</v>
      </c>
      <c r="I3495" s="24" t="s">
        <v>164</v>
      </c>
      <c r="J3495" s="25"/>
      <c r="K3495" s="24" t="s">
        <v>164</v>
      </c>
      <c r="L3495" s="25"/>
    </row>
    <row r="3496" spans="1:12" ht="15" customHeight="1" x14ac:dyDescent="0.25">
      <c r="A3496" s="15" t="s">
        <v>53</v>
      </c>
      <c r="B3496" s="16"/>
      <c r="C3496" s="16"/>
      <c r="D3496" s="16"/>
      <c r="E3496" s="16"/>
      <c r="F3496" s="16"/>
      <c r="G3496" s="16"/>
      <c r="H3496" s="16"/>
      <c r="I3496" s="16"/>
      <c r="J3496" s="17"/>
      <c r="K3496" s="15">
        <v>38.39</v>
      </c>
      <c r="L3496" s="17"/>
    </row>
    <row r="3497" spans="1:12" x14ac:dyDescent="0.25">
      <c r="A3497" s="18"/>
      <c r="B3497" s="18"/>
      <c r="C3497" s="18"/>
      <c r="D3497" s="18"/>
      <c r="E3497" s="18"/>
      <c r="F3497" s="18"/>
      <c r="G3497" s="18"/>
      <c r="H3497" s="18"/>
      <c r="I3497" s="18"/>
      <c r="J3497" s="18"/>
      <c r="K3497" s="18"/>
      <c r="L3497" s="18"/>
    </row>
    <row r="3498" spans="1:12" ht="15" customHeight="1" x14ac:dyDescent="0.25">
      <c r="A3498" s="10" t="s">
        <v>54</v>
      </c>
      <c r="B3498" s="11"/>
      <c r="C3498" s="12"/>
      <c r="D3498" s="8" t="s">
        <v>21</v>
      </c>
      <c r="E3498" s="8" t="s">
        <v>22</v>
      </c>
      <c r="F3498" s="9" t="s">
        <v>55</v>
      </c>
      <c r="G3498" s="8" t="s">
        <v>56</v>
      </c>
      <c r="H3498" s="8" t="s">
        <v>57</v>
      </c>
      <c r="I3498" s="8" t="s">
        <v>58</v>
      </c>
      <c r="J3498" s="9" t="s">
        <v>59</v>
      </c>
      <c r="K3498" s="9" t="s">
        <v>34</v>
      </c>
      <c r="L3498" s="9" t="s">
        <v>50</v>
      </c>
    </row>
    <row r="3499" spans="1:12" ht="15" customHeight="1" x14ac:dyDescent="0.25">
      <c r="A3499" s="15" t="s">
        <v>60</v>
      </c>
      <c r="B3499" s="16"/>
      <c r="C3499" s="16"/>
      <c r="D3499" s="16"/>
      <c r="E3499" s="16"/>
      <c r="F3499" s="16"/>
      <c r="G3499" s="16"/>
      <c r="H3499" s="16"/>
      <c r="I3499" s="16"/>
      <c r="J3499" s="17"/>
      <c r="K3499" s="15">
        <v>0</v>
      </c>
      <c r="L3499" s="17"/>
    </row>
    <row r="3500" spans="1:12" x14ac:dyDescent="0.25">
      <c r="A3500" s="18"/>
      <c r="B3500" s="18"/>
      <c r="C3500" s="18"/>
      <c r="D3500" s="18"/>
      <c r="E3500" s="18"/>
      <c r="F3500" s="18"/>
      <c r="G3500" s="18"/>
      <c r="H3500" s="18"/>
      <c r="I3500" s="18"/>
      <c r="J3500" s="18"/>
      <c r="K3500" s="18"/>
      <c r="L3500" s="18"/>
    </row>
    <row r="3501" spans="1:12" ht="15" customHeight="1" x14ac:dyDescent="0.25">
      <c r="A3501" s="27" t="s">
        <v>61</v>
      </c>
      <c r="B3501" s="27"/>
      <c r="C3501" s="27"/>
      <c r="D3501" s="27"/>
      <c r="E3501" s="27"/>
      <c r="F3501" s="27"/>
      <c r="G3501" s="27"/>
      <c r="H3501" s="27"/>
      <c r="I3501" s="27"/>
      <c r="J3501" s="27"/>
      <c r="K3501" s="27">
        <v>85.39</v>
      </c>
      <c r="L3501" s="27"/>
    </row>
    <row r="3502" spans="1:12" ht="15" customHeight="1" x14ac:dyDescent="0.25">
      <c r="A3502" s="27" t="s">
        <v>62</v>
      </c>
      <c r="B3502" s="27"/>
      <c r="C3502" s="27"/>
      <c r="D3502" s="27"/>
      <c r="E3502" s="27"/>
      <c r="F3502" s="27"/>
      <c r="G3502" s="27"/>
      <c r="H3502" s="27"/>
      <c r="I3502" s="27"/>
      <c r="J3502" s="27"/>
      <c r="K3502" s="27">
        <v>28.39</v>
      </c>
      <c r="L3502" s="27"/>
    </row>
    <row r="3503" spans="1:12" ht="15" customHeight="1" x14ac:dyDescent="0.25">
      <c r="A3503" s="27" t="s">
        <v>63</v>
      </c>
      <c r="B3503" s="27"/>
      <c r="C3503" s="27"/>
      <c r="D3503" s="27"/>
      <c r="E3503" s="27"/>
      <c r="F3503" s="27"/>
      <c r="G3503" s="27"/>
      <c r="H3503" s="27"/>
      <c r="I3503" s="27"/>
      <c r="J3503" s="27"/>
      <c r="K3503" s="27">
        <v>113.78</v>
      </c>
      <c r="L3503" s="27"/>
    </row>
    <row r="3504" spans="1:12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</row>
    <row r="3505" spans="1:12" ht="15" customHeight="1" x14ac:dyDescent="0.25">
      <c r="A3505" s="3" t="s">
        <v>8</v>
      </c>
      <c r="B3505" s="6" t="s">
        <v>9</v>
      </c>
      <c r="C3505" s="6"/>
      <c r="D3505" s="6"/>
      <c r="E3505" s="6"/>
      <c r="F3505" s="6"/>
      <c r="G3505" s="6"/>
      <c r="H3505" s="6"/>
      <c r="I3505" s="6"/>
      <c r="J3505" s="6"/>
      <c r="K3505" s="6"/>
      <c r="L3505" s="6"/>
    </row>
    <row r="3506" spans="1:12" ht="15" customHeight="1" x14ac:dyDescent="0.25">
      <c r="A3506" s="3" t="s">
        <v>10</v>
      </c>
      <c r="B3506" s="6" t="s">
        <v>460</v>
      </c>
      <c r="C3506" s="6"/>
      <c r="D3506" s="6"/>
      <c r="E3506" s="6"/>
      <c r="F3506" s="6"/>
      <c r="G3506" s="6"/>
      <c r="H3506" s="6"/>
      <c r="I3506" s="6"/>
      <c r="J3506" s="6"/>
      <c r="K3506" s="3" t="s">
        <v>12</v>
      </c>
      <c r="L3506" s="4" t="s">
        <v>84</v>
      </c>
    </row>
    <row r="3507" spans="1:12" ht="15" customHeight="1" x14ac:dyDescent="0.25">
      <c r="A3507" s="3" t="s">
        <v>14</v>
      </c>
      <c r="B3507" s="6" t="s">
        <v>15</v>
      </c>
      <c r="C3507" s="6"/>
      <c r="D3507" s="7" t="s">
        <v>16</v>
      </c>
      <c r="E3507" s="7"/>
      <c r="F3507" s="6" t="str">
        <f>"010272"</f>
        <v>010272</v>
      </c>
      <c r="G3507" s="6"/>
      <c r="H3507" s="3" t="s">
        <v>17</v>
      </c>
      <c r="I3507" s="6" t="s">
        <v>18</v>
      </c>
      <c r="J3507" s="6"/>
      <c r="K3507" s="3" t="s">
        <v>19</v>
      </c>
      <c r="L3507" s="5">
        <v>1</v>
      </c>
    </row>
    <row r="3508" spans="1:12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</row>
    <row r="3509" spans="1:12" ht="15" customHeight="1" x14ac:dyDescent="0.25">
      <c r="A3509" s="10" t="s">
        <v>20</v>
      </c>
      <c r="B3509" s="11"/>
      <c r="C3509" s="12"/>
      <c r="D3509" s="8" t="s">
        <v>21</v>
      </c>
      <c r="E3509" s="8" t="s">
        <v>22</v>
      </c>
      <c r="F3509" s="9" t="s">
        <v>23</v>
      </c>
      <c r="G3509" s="9" t="s">
        <v>24</v>
      </c>
      <c r="H3509" s="9" t="s">
        <v>25</v>
      </c>
      <c r="I3509" s="9" t="s">
        <v>26</v>
      </c>
      <c r="J3509" s="9" t="s">
        <v>27</v>
      </c>
      <c r="K3509" s="13" t="s">
        <v>28</v>
      </c>
      <c r="L3509" s="14"/>
    </row>
    <row r="3510" spans="1:12" ht="15" customHeight="1" x14ac:dyDescent="0.25">
      <c r="A3510" s="15" t="s">
        <v>29</v>
      </c>
      <c r="B3510" s="16"/>
      <c r="C3510" s="16"/>
      <c r="D3510" s="16"/>
      <c r="E3510" s="16"/>
      <c r="F3510" s="16"/>
      <c r="G3510" s="16"/>
      <c r="H3510" s="16"/>
      <c r="I3510" s="16"/>
      <c r="J3510" s="17"/>
      <c r="K3510" s="15">
        <v>0</v>
      </c>
      <c r="L3510" s="17"/>
    </row>
    <row r="3511" spans="1:12" x14ac:dyDescent="0.25">
      <c r="A3511" s="18"/>
      <c r="B3511" s="18"/>
      <c r="C3511" s="18"/>
      <c r="D3511" s="18"/>
      <c r="E3511" s="18"/>
      <c r="F3511" s="18"/>
      <c r="G3511" s="18"/>
      <c r="H3511" s="18"/>
      <c r="I3511" s="18"/>
      <c r="J3511" s="18"/>
      <c r="K3511" s="18"/>
      <c r="L3511" s="18"/>
    </row>
    <row r="3512" spans="1:12" ht="15" customHeight="1" x14ac:dyDescent="0.25">
      <c r="A3512" s="10" t="s">
        <v>30</v>
      </c>
      <c r="B3512" s="11"/>
      <c r="C3512" s="12"/>
      <c r="D3512" s="8" t="s">
        <v>21</v>
      </c>
      <c r="E3512" s="8" t="s">
        <v>22</v>
      </c>
      <c r="F3512" s="9" t="s">
        <v>31</v>
      </c>
      <c r="G3512" s="9" t="s">
        <v>32</v>
      </c>
      <c r="H3512" s="9" t="s">
        <v>33</v>
      </c>
      <c r="I3512" s="13" t="s">
        <v>34</v>
      </c>
      <c r="J3512" s="14"/>
      <c r="K3512" s="13" t="s">
        <v>28</v>
      </c>
      <c r="L3512" s="14"/>
    </row>
    <row r="3513" spans="1:12" ht="15" customHeight="1" x14ac:dyDescent="0.25">
      <c r="A3513" s="21" t="s">
        <v>461</v>
      </c>
      <c r="B3513" s="22"/>
      <c r="C3513" s="23"/>
      <c r="D3513" s="19" t="str">
        <f>"010115"</f>
        <v>010115</v>
      </c>
      <c r="E3513" s="19" t="s">
        <v>36</v>
      </c>
      <c r="F3513" s="20">
        <v>10.119999999999999</v>
      </c>
      <c r="G3513" s="20">
        <v>157.27000000000001</v>
      </c>
      <c r="H3513" s="20">
        <v>26.03</v>
      </c>
      <c r="I3513" s="24">
        <v>1.21</v>
      </c>
      <c r="J3513" s="25"/>
      <c r="K3513" s="24">
        <v>31.49</v>
      </c>
      <c r="L3513" s="25"/>
    </row>
    <row r="3514" spans="1:12" ht="15" customHeight="1" x14ac:dyDescent="0.25">
      <c r="A3514" s="21" t="s">
        <v>37</v>
      </c>
      <c r="B3514" s="22"/>
      <c r="C3514" s="23"/>
      <c r="D3514" s="19" t="str">
        <f>"010146"</f>
        <v>010146</v>
      </c>
      <c r="E3514" s="19" t="s">
        <v>36</v>
      </c>
      <c r="F3514" s="20">
        <v>7.65</v>
      </c>
      <c r="G3514" s="20">
        <v>157.27000000000001</v>
      </c>
      <c r="H3514" s="20">
        <v>19.68</v>
      </c>
      <c r="I3514" s="24">
        <v>1.56</v>
      </c>
      <c r="J3514" s="25"/>
      <c r="K3514" s="24">
        <v>30.7</v>
      </c>
      <c r="L3514" s="25"/>
    </row>
    <row r="3515" spans="1:12" ht="15" customHeight="1" x14ac:dyDescent="0.25">
      <c r="A3515" s="15" t="s">
        <v>38</v>
      </c>
      <c r="B3515" s="16"/>
      <c r="C3515" s="16"/>
      <c r="D3515" s="16"/>
      <c r="E3515" s="16"/>
      <c r="F3515" s="16"/>
      <c r="G3515" s="16"/>
      <c r="H3515" s="16"/>
      <c r="I3515" s="16"/>
      <c r="J3515" s="17"/>
      <c r="K3515" s="15">
        <v>62.19</v>
      </c>
      <c r="L3515" s="17"/>
    </row>
    <row r="3516" spans="1:12" x14ac:dyDescent="0.25">
      <c r="A3516" s="18"/>
      <c r="B3516" s="18"/>
      <c r="C3516" s="18"/>
      <c r="D3516" s="18"/>
      <c r="E3516" s="18"/>
      <c r="F3516" s="18"/>
      <c r="G3516" s="18"/>
      <c r="H3516" s="18"/>
      <c r="I3516" s="18"/>
      <c r="J3516" s="18"/>
      <c r="K3516" s="18"/>
      <c r="L3516" s="18"/>
    </row>
    <row r="3517" spans="1:12" ht="15" customHeight="1" x14ac:dyDescent="0.25">
      <c r="A3517" s="10" t="s">
        <v>39</v>
      </c>
      <c r="B3517" s="11"/>
      <c r="C3517" s="12"/>
      <c r="D3517" s="8" t="s">
        <v>21</v>
      </c>
      <c r="E3517" s="13" t="s">
        <v>40</v>
      </c>
      <c r="F3517" s="14"/>
      <c r="G3517" s="8" t="s">
        <v>41</v>
      </c>
      <c r="H3517" s="8" t="s">
        <v>42</v>
      </c>
      <c r="I3517" s="8" t="s">
        <v>43</v>
      </c>
      <c r="J3517" s="13" t="s">
        <v>44</v>
      </c>
      <c r="K3517" s="26"/>
      <c r="L3517" s="14"/>
    </row>
    <row r="3518" spans="1:12" ht="15" customHeight="1" x14ac:dyDescent="0.25">
      <c r="A3518" s="15" t="s">
        <v>45</v>
      </c>
      <c r="B3518" s="16"/>
      <c r="C3518" s="16"/>
      <c r="D3518" s="16"/>
      <c r="E3518" s="16"/>
      <c r="F3518" s="16"/>
      <c r="G3518" s="16"/>
      <c r="H3518" s="16"/>
      <c r="I3518" s="16"/>
      <c r="J3518" s="17"/>
      <c r="K3518" s="15">
        <v>0</v>
      </c>
      <c r="L3518" s="17"/>
    </row>
    <row r="3519" spans="1:12" x14ac:dyDescent="0.25">
      <c r="A3519" s="18"/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8"/>
    </row>
    <row r="3520" spans="1:12" ht="15" customHeight="1" x14ac:dyDescent="0.25">
      <c r="A3520" s="27" t="s">
        <v>46</v>
      </c>
      <c r="B3520" s="27"/>
      <c r="C3520" s="27"/>
      <c r="D3520" s="27"/>
      <c r="E3520" s="27"/>
      <c r="F3520" s="27"/>
      <c r="G3520" s="27"/>
      <c r="H3520" s="27"/>
      <c r="I3520" s="27"/>
      <c r="J3520" s="27"/>
      <c r="K3520" s="27">
        <v>62.19</v>
      </c>
      <c r="L3520" s="27"/>
    </row>
    <row r="3521" spans="1:12" ht="15" customHeight="1" x14ac:dyDescent="0.25">
      <c r="A3521" s="27" t="s">
        <v>47</v>
      </c>
      <c r="B3521" s="27"/>
      <c r="C3521" s="27"/>
      <c r="D3521" s="27"/>
      <c r="E3521" s="27"/>
      <c r="F3521" s="27"/>
      <c r="G3521" s="27"/>
      <c r="H3521" s="27"/>
      <c r="I3521" s="27"/>
      <c r="J3521" s="27"/>
      <c r="K3521" s="27">
        <v>1</v>
      </c>
      <c r="L3521" s="27"/>
    </row>
    <row r="3522" spans="1:12" ht="15" customHeight="1" x14ac:dyDescent="0.25">
      <c r="A3522" s="27" t="s">
        <v>48</v>
      </c>
      <c r="B3522" s="27"/>
      <c r="C3522" s="27"/>
      <c r="D3522" s="27"/>
      <c r="E3522" s="27"/>
      <c r="F3522" s="27"/>
      <c r="G3522" s="27"/>
      <c r="H3522" s="27"/>
      <c r="I3522" s="27"/>
      <c r="J3522" s="27"/>
      <c r="K3522" s="27">
        <v>62.19</v>
      </c>
      <c r="L3522" s="27"/>
    </row>
    <row r="3523" spans="1:12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</row>
    <row r="3524" spans="1:12" ht="15" customHeight="1" x14ac:dyDescent="0.25">
      <c r="A3524" s="10" t="s">
        <v>49</v>
      </c>
      <c r="B3524" s="11"/>
      <c r="C3524" s="11"/>
      <c r="D3524" s="11"/>
      <c r="E3524" s="12"/>
      <c r="F3524" s="8" t="s">
        <v>21</v>
      </c>
      <c r="G3524" s="8" t="s">
        <v>22</v>
      </c>
      <c r="H3524" s="9" t="s">
        <v>44</v>
      </c>
      <c r="I3524" s="13" t="s">
        <v>34</v>
      </c>
      <c r="J3524" s="14"/>
      <c r="K3524" s="13" t="s">
        <v>50</v>
      </c>
      <c r="L3524" s="14"/>
    </row>
    <row r="3525" spans="1:12" ht="15" customHeight="1" x14ac:dyDescent="0.25">
      <c r="A3525" s="15" t="s">
        <v>51</v>
      </c>
      <c r="B3525" s="16"/>
      <c r="C3525" s="16"/>
      <c r="D3525" s="16"/>
      <c r="E3525" s="16"/>
      <c r="F3525" s="16"/>
      <c r="G3525" s="16"/>
      <c r="H3525" s="16"/>
      <c r="I3525" s="16"/>
      <c r="J3525" s="17"/>
      <c r="K3525" s="15">
        <v>0</v>
      </c>
      <c r="L3525" s="17"/>
    </row>
    <row r="3526" spans="1:12" x14ac:dyDescent="0.25">
      <c r="A3526" s="18"/>
      <c r="B3526" s="18"/>
      <c r="C3526" s="18"/>
      <c r="D3526" s="18"/>
      <c r="E3526" s="18"/>
      <c r="F3526" s="18"/>
      <c r="G3526" s="18"/>
      <c r="H3526" s="18"/>
      <c r="I3526" s="18"/>
      <c r="J3526" s="18"/>
      <c r="K3526" s="18"/>
      <c r="L3526" s="18"/>
    </row>
    <row r="3527" spans="1:12" ht="15" customHeight="1" x14ac:dyDescent="0.25">
      <c r="A3527" s="10" t="s">
        <v>52</v>
      </c>
      <c r="B3527" s="11"/>
      <c r="C3527" s="11"/>
      <c r="D3527" s="11"/>
      <c r="E3527" s="12"/>
      <c r="F3527" s="8" t="s">
        <v>21</v>
      </c>
      <c r="G3527" s="8" t="s">
        <v>22</v>
      </c>
      <c r="H3527" s="9" t="s">
        <v>44</v>
      </c>
      <c r="I3527" s="13" t="s">
        <v>34</v>
      </c>
      <c r="J3527" s="14"/>
      <c r="K3527" s="13" t="s">
        <v>50</v>
      </c>
      <c r="L3527" s="14"/>
    </row>
    <row r="3528" spans="1:12" ht="15" customHeight="1" x14ac:dyDescent="0.25">
      <c r="A3528" s="15" t="s">
        <v>53</v>
      </c>
      <c r="B3528" s="16"/>
      <c r="C3528" s="16"/>
      <c r="D3528" s="16"/>
      <c r="E3528" s="16"/>
      <c r="F3528" s="16"/>
      <c r="G3528" s="16"/>
      <c r="H3528" s="16"/>
      <c r="I3528" s="16"/>
      <c r="J3528" s="17"/>
      <c r="K3528" s="15">
        <v>0</v>
      </c>
      <c r="L3528" s="17"/>
    </row>
    <row r="3529" spans="1:12" x14ac:dyDescent="0.25">
      <c r="A3529" s="18"/>
      <c r="B3529" s="18"/>
      <c r="C3529" s="18"/>
      <c r="D3529" s="18"/>
      <c r="E3529" s="18"/>
      <c r="F3529" s="18"/>
      <c r="G3529" s="18"/>
      <c r="H3529" s="18"/>
      <c r="I3529" s="18"/>
      <c r="J3529" s="18"/>
      <c r="K3529" s="18"/>
      <c r="L3529" s="18"/>
    </row>
    <row r="3530" spans="1:12" ht="15" customHeight="1" x14ac:dyDescent="0.25">
      <c r="A3530" s="10" t="s">
        <v>54</v>
      </c>
      <c r="B3530" s="11"/>
      <c r="C3530" s="12"/>
      <c r="D3530" s="8" t="s">
        <v>21</v>
      </c>
      <c r="E3530" s="8" t="s">
        <v>22</v>
      </c>
      <c r="F3530" s="9" t="s">
        <v>55</v>
      </c>
      <c r="G3530" s="8" t="s">
        <v>56</v>
      </c>
      <c r="H3530" s="8" t="s">
        <v>57</v>
      </c>
      <c r="I3530" s="8" t="s">
        <v>58</v>
      </c>
      <c r="J3530" s="9" t="s">
        <v>59</v>
      </c>
      <c r="K3530" s="9" t="s">
        <v>34</v>
      </c>
      <c r="L3530" s="9" t="s">
        <v>50</v>
      </c>
    </row>
    <row r="3531" spans="1:12" ht="15" customHeight="1" x14ac:dyDescent="0.25">
      <c r="A3531" s="15" t="s">
        <v>60</v>
      </c>
      <c r="B3531" s="16"/>
      <c r="C3531" s="16"/>
      <c r="D3531" s="16"/>
      <c r="E3531" s="16"/>
      <c r="F3531" s="16"/>
      <c r="G3531" s="16"/>
      <c r="H3531" s="16"/>
      <c r="I3531" s="16"/>
      <c r="J3531" s="17"/>
      <c r="K3531" s="15">
        <v>0</v>
      </c>
      <c r="L3531" s="17"/>
    </row>
    <row r="3532" spans="1:12" x14ac:dyDescent="0.25">
      <c r="A3532" s="18"/>
      <c r="B3532" s="18"/>
      <c r="C3532" s="18"/>
      <c r="D3532" s="18"/>
      <c r="E3532" s="18"/>
      <c r="F3532" s="18"/>
      <c r="G3532" s="18"/>
      <c r="H3532" s="18"/>
      <c r="I3532" s="18"/>
      <c r="J3532" s="18"/>
      <c r="K3532" s="18"/>
      <c r="L3532" s="18"/>
    </row>
    <row r="3533" spans="1:12" ht="15" customHeight="1" x14ac:dyDescent="0.25">
      <c r="A3533" s="27" t="s">
        <v>61</v>
      </c>
      <c r="B3533" s="27"/>
      <c r="C3533" s="27"/>
      <c r="D3533" s="27"/>
      <c r="E3533" s="27"/>
      <c r="F3533" s="27"/>
      <c r="G3533" s="27"/>
      <c r="H3533" s="27"/>
      <c r="I3533" s="27"/>
      <c r="J3533" s="27"/>
      <c r="K3533" s="27">
        <v>62.19</v>
      </c>
      <c r="L3533" s="27"/>
    </row>
    <row r="3534" spans="1:12" ht="15" customHeight="1" x14ac:dyDescent="0.25">
      <c r="A3534" s="27" t="s">
        <v>62</v>
      </c>
      <c r="B3534" s="27"/>
      <c r="C3534" s="27"/>
      <c r="D3534" s="27"/>
      <c r="E3534" s="27"/>
      <c r="F3534" s="27"/>
      <c r="G3534" s="27"/>
      <c r="H3534" s="27"/>
      <c r="I3534" s="27"/>
      <c r="J3534" s="27"/>
      <c r="K3534" s="27">
        <v>20.68</v>
      </c>
      <c r="L3534" s="27"/>
    </row>
    <row r="3535" spans="1:12" ht="15" customHeight="1" x14ac:dyDescent="0.25">
      <c r="A3535" s="27" t="s">
        <v>63</v>
      </c>
      <c r="B3535" s="27"/>
      <c r="C3535" s="27"/>
      <c r="D3535" s="27"/>
      <c r="E3535" s="27"/>
      <c r="F3535" s="27"/>
      <c r="G3535" s="27"/>
      <c r="H3535" s="27"/>
      <c r="I3535" s="27"/>
      <c r="J3535" s="27"/>
      <c r="K3535" s="27">
        <v>82.87</v>
      </c>
      <c r="L3535" s="27"/>
    </row>
    <row r="3536" spans="1:12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</row>
    <row r="3537" spans="1:12" ht="15" customHeight="1" x14ac:dyDescent="0.25">
      <c r="A3537" s="3" t="s">
        <v>8</v>
      </c>
      <c r="B3537" s="6" t="s">
        <v>9</v>
      </c>
      <c r="C3537" s="6"/>
      <c r="D3537" s="6"/>
      <c r="E3537" s="6"/>
      <c r="F3537" s="6"/>
      <c r="G3537" s="6"/>
      <c r="H3537" s="6"/>
      <c r="I3537" s="6"/>
      <c r="J3537" s="6"/>
      <c r="K3537" s="6"/>
      <c r="L3537" s="6"/>
    </row>
    <row r="3538" spans="1:12" ht="15" customHeight="1" x14ac:dyDescent="0.25">
      <c r="A3538" s="3" t="s">
        <v>10</v>
      </c>
      <c r="B3538" s="6" t="s">
        <v>462</v>
      </c>
      <c r="C3538" s="6"/>
      <c r="D3538" s="6"/>
      <c r="E3538" s="6"/>
      <c r="F3538" s="6"/>
      <c r="G3538" s="6"/>
      <c r="H3538" s="6"/>
      <c r="I3538" s="6"/>
      <c r="J3538" s="6"/>
      <c r="K3538" s="3" t="s">
        <v>12</v>
      </c>
      <c r="L3538" s="4" t="s">
        <v>87</v>
      </c>
    </row>
    <row r="3539" spans="1:12" ht="15" customHeight="1" x14ac:dyDescent="0.25">
      <c r="A3539" s="3" t="s">
        <v>14</v>
      </c>
      <c r="B3539" s="6" t="s">
        <v>88</v>
      </c>
      <c r="C3539" s="6"/>
      <c r="D3539" s="7" t="s">
        <v>16</v>
      </c>
      <c r="E3539" s="7"/>
      <c r="F3539" s="6" t="str">
        <f>"3AA8.000044"</f>
        <v>3AA8.000044</v>
      </c>
      <c r="G3539" s="6"/>
      <c r="H3539" s="3" t="s">
        <v>17</v>
      </c>
      <c r="I3539" s="6" t="s">
        <v>89</v>
      </c>
      <c r="J3539" s="6"/>
      <c r="K3539" s="3" t="s">
        <v>19</v>
      </c>
      <c r="L3539" s="5">
        <v>1</v>
      </c>
    </row>
    <row r="3540" spans="1:12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</row>
    <row r="3541" spans="1:12" ht="15" customHeight="1" x14ac:dyDescent="0.25">
      <c r="A3541" s="10" t="s">
        <v>20</v>
      </c>
      <c r="B3541" s="11"/>
      <c r="C3541" s="12"/>
      <c r="D3541" s="8" t="s">
        <v>21</v>
      </c>
      <c r="E3541" s="8" t="s">
        <v>22</v>
      </c>
      <c r="F3541" s="9" t="s">
        <v>23</v>
      </c>
      <c r="G3541" s="9" t="s">
        <v>24</v>
      </c>
      <c r="H3541" s="9" t="s">
        <v>25</v>
      </c>
      <c r="I3541" s="9" t="s">
        <v>26</v>
      </c>
      <c r="J3541" s="9" t="s">
        <v>27</v>
      </c>
      <c r="K3541" s="13" t="s">
        <v>28</v>
      </c>
      <c r="L3541" s="14"/>
    </row>
    <row r="3542" spans="1:12" ht="15" customHeight="1" x14ac:dyDescent="0.25">
      <c r="A3542" s="15" t="s">
        <v>29</v>
      </c>
      <c r="B3542" s="16"/>
      <c r="C3542" s="16"/>
      <c r="D3542" s="16"/>
      <c r="E3542" s="16"/>
      <c r="F3542" s="16"/>
      <c r="G3542" s="16"/>
      <c r="H3542" s="16"/>
      <c r="I3542" s="16"/>
      <c r="J3542" s="17"/>
      <c r="K3542" s="15">
        <v>0</v>
      </c>
      <c r="L3542" s="17"/>
    </row>
    <row r="3543" spans="1:12" x14ac:dyDescent="0.25">
      <c r="A3543" s="18"/>
      <c r="B3543" s="18"/>
      <c r="C3543" s="18"/>
      <c r="D3543" s="18"/>
      <c r="E3543" s="18"/>
      <c r="F3543" s="18"/>
      <c r="G3543" s="18"/>
      <c r="H3543" s="18"/>
      <c r="I3543" s="18"/>
      <c r="J3543" s="18"/>
      <c r="K3543" s="18"/>
      <c r="L3543" s="18"/>
    </row>
    <row r="3544" spans="1:12" ht="15" customHeight="1" x14ac:dyDescent="0.25">
      <c r="A3544" s="10" t="s">
        <v>30</v>
      </c>
      <c r="B3544" s="11"/>
      <c r="C3544" s="12"/>
      <c r="D3544" s="8" t="s">
        <v>21</v>
      </c>
      <c r="E3544" s="8" t="s">
        <v>22</v>
      </c>
      <c r="F3544" s="9" t="s">
        <v>31</v>
      </c>
      <c r="G3544" s="9" t="s">
        <v>32</v>
      </c>
      <c r="H3544" s="9" t="s">
        <v>33</v>
      </c>
      <c r="I3544" s="13" t="s">
        <v>34</v>
      </c>
      <c r="J3544" s="14"/>
      <c r="K3544" s="13" t="s">
        <v>28</v>
      </c>
      <c r="L3544" s="14"/>
    </row>
    <row r="3545" spans="1:12" ht="15" customHeight="1" x14ac:dyDescent="0.25">
      <c r="A3545" s="15" t="s">
        <v>38</v>
      </c>
      <c r="B3545" s="16"/>
      <c r="C3545" s="16"/>
      <c r="D3545" s="16"/>
      <c r="E3545" s="16"/>
      <c r="F3545" s="16"/>
      <c r="G3545" s="16"/>
      <c r="H3545" s="16"/>
      <c r="I3545" s="16"/>
      <c r="J3545" s="17"/>
      <c r="K3545" s="15">
        <v>0</v>
      </c>
      <c r="L3545" s="17"/>
    </row>
    <row r="3546" spans="1:12" x14ac:dyDescent="0.25">
      <c r="A3546" s="18"/>
      <c r="B3546" s="18"/>
      <c r="C3546" s="18"/>
      <c r="D3546" s="18"/>
      <c r="E3546" s="18"/>
      <c r="F3546" s="18"/>
      <c r="G3546" s="18"/>
      <c r="H3546" s="18"/>
      <c r="I3546" s="18"/>
      <c r="J3546" s="18"/>
      <c r="K3546" s="18"/>
      <c r="L3546" s="18"/>
    </row>
    <row r="3547" spans="1:12" ht="15" customHeight="1" x14ac:dyDescent="0.25">
      <c r="A3547" s="10" t="s">
        <v>39</v>
      </c>
      <c r="B3547" s="11"/>
      <c r="C3547" s="12"/>
      <c r="D3547" s="8" t="s">
        <v>21</v>
      </c>
      <c r="E3547" s="13" t="s">
        <v>40</v>
      </c>
      <c r="F3547" s="14"/>
      <c r="G3547" s="8" t="s">
        <v>41</v>
      </c>
      <c r="H3547" s="8" t="s">
        <v>42</v>
      </c>
      <c r="I3547" s="8" t="s">
        <v>43</v>
      </c>
      <c r="J3547" s="13" t="s">
        <v>44</v>
      </c>
      <c r="K3547" s="26"/>
      <c r="L3547" s="14"/>
    </row>
    <row r="3548" spans="1:12" ht="15" customHeight="1" x14ac:dyDescent="0.25">
      <c r="A3548" s="15" t="s">
        <v>45</v>
      </c>
      <c r="B3548" s="16"/>
      <c r="C3548" s="16"/>
      <c r="D3548" s="16"/>
      <c r="E3548" s="16"/>
      <c r="F3548" s="16"/>
      <c r="G3548" s="16"/>
      <c r="H3548" s="16"/>
      <c r="I3548" s="16"/>
      <c r="J3548" s="17"/>
      <c r="K3548" s="15">
        <v>0</v>
      </c>
      <c r="L3548" s="17"/>
    </row>
    <row r="3549" spans="1:12" x14ac:dyDescent="0.25">
      <c r="A3549" s="18"/>
      <c r="B3549" s="18"/>
      <c r="C3549" s="18"/>
      <c r="D3549" s="18"/>
      <c r="E3549" s="18"/>
      <c r="F3549" s="18"/>
      <c r="G3549" s="18"/>
      <c r="H3549" s="18"/>
      <c r="I3549" s="18"/>
      <c r="J3549" s="18"/>
      <c r="K3549" s="18"/>
      <c r="L3549" s="18"/>
    </row>
    <row r="3550" spans="1:12" ht="15" customHeight="1" x14ac:dyDescent="0.25">
      <c r="A3550" s="27" t="s">
        <v>46</v>
      </c>
      <c r="B3550" s="27"/>
      <c r="C3550" s="27"/>
      <c r="D3550" s="27"/>
      <c r="E3550" s="27"/>
      <c r="F3550" s="27"/>
      <c r="G3550" s="27"/>
      <c r="H3550" s="27"/>
      <c r="I3550" s="27"/>
      <c r="J3550" s="27"/>
      <c r="K3550" s="27">
        <v>0</v>
      </c>
      <c r="L3550" s="27"/>
    </row>
    <row r="3551" spans="1:12" ht="15" customHeight="1" x14ac:dyDescent="0.25">
      <c r="A3551" s="27" t="s">
        <v>47</v>
      </c>
      <c r="B3551" s="27"/>
      <c r="C3551" s="27"/>
      <c r="D3551" s="27"/>
      <c r="E3551" s="27"/>
      <c r="F3551" s="27"/>
      <c r="G3551" s="27"/>
      <c r="H3551" s="27"/>
      <c r="I3551" s="27"/>
      <c r="J3551" s="27"/>
      <c r="K3551" s="27">
        <v>1</v>
      </c>
      <c r="L3551" s="27"/>
    </row>
    <row r="3552" spans="1:12" ht="15" customHeight="1" x14ac:dyDescent="0.25">
      <c r="A3552" s="27" t="s">
        <v>48</v>
      </c>
      <c r="B3552" s="27"/>
      <c r="C3552" s="27"/>
      <c r="D3552" s="27"/>
      <c r="E3552" s="27"/>
      <c r="F3552" s="27"/>
      <c r="G3552" s="27"/>
      <c r="H3552" s="27"/>
      <c r="I3552" s="27"/>
      <c r="J3552" s="27"/>
      <c r="K3552" s="27">
        <v>0</v>
      </c>
      <c r="L3552" s="27"/>
    </row>
    <row r="3553" spans="1:12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</row>
    <row r="3554" spans="1:12" ht="15" customHeight="1" x14ac:dyDescent="0.25">
      <c r="A3554" s="10" t="s">
        <v>49</v>
      </c>
      <c r="B3554" s="11"/>
      <c r="C3554" s="11"/>
      <c r="D3554" s="11"/>
      <c r="E3554" s="12"/>
      <c r="F3554" s="8" t="s">
        <v>21</v>
      </c>
      <c r="G3554" s="8" t="s">
        <v>22</v>
      </c>
      <c r="H3554" s="9" t="s">
        <v>44</v>
      </c>
      <c r="I3554" s="13" t="s">
        <v>34</v>
      </c>
      <c r="J3554" s="14"/>
      <c r="K3554" s="13" t="s">
        <v>50</v>
      </c>
      <c r="L3554" s="14"/>
    </row>
    <row r="3555" spans="1:12" ht="15" customHeight="1" x14ac:dyDescent="0.25">
      <c r="A3555" s="15" t="s">
        <v>51</v>
      </c>
      <c r="B3555" s="16"/>
      <c r="C3555" s="16"/>
      <c r="D3555" s="16"/>
      <c r="E3555" s="16"/>
      <c r="F3555" s="16"/>
      <c r="G3555" s="16"/>
      <c r="H3555" s="16"/>
      <c r="I3555" s="16"/>
      <c r="J3555" s="17"/>
      <c r="K3555" s="15">
        <v>0</v>
      </c>
      <c r="L3555" s="17"/>
    </row>
    <row r="3556" spans="1:12" x14ac:dyDescent="0.25">
      <c r="A3556" s="18"/>
      <c r="B3556" s="18"/>
      <c r="C3556" s="18"/>
      <c r="D3556" s="18"/>
      <c r="E3556" s="18"/>
      <c r="F3556" s="18"/>
      <c r="G3556" s="18"/>
      <c r="H3556" s="18"/>
      <c r="I3556" s="18"/>
      <c r="J3556" s="18"/>
      <c r="K3556" s="18"/>
      <c r="L3556" s="18"/>
    </row>
    <row r="3557" spans="1:12" ht="15" customHeight="1" x14ac:dyDescent="0.25">
      <c r="A3557" s="10" t="s">
        <v>52</v>
      </c>
      <c r="B3557" s="11"/>
      <c r="C3557" s="11"/>
      <c r="D3557" s="11"/>
      <c r="E3557" s="12"/>
      <c r="F3557" s="8" t="s">
        <v>21</v>
      </c>
      <c r="G3557" s="8" t="s">
        <v>22</v>
      </c>
      <c r="H3557" s="9" t="s">
        <v>44</v>
      </c>
      <c r="I3557" s="13" t="s">
        <v>34</v>
      </c>
      <c r="J3557" s="14"/>
      <c r="K3557" s="13" t="s">
        <v>50</v>
      </c>
      <c r="L3557" s="14"/>
    </row>
    <row r="3558" spans="1:12" ht="30" customHeight="1" x14ac:dyDescent="0.25">
      <c r="A3558" s="21" t="s">
        <v>463</v>
      </c>
      <c r="B3558" s="22"/>
      <c r="C3558" s="22"/>
      <c r="D3558" s="22"/>
      <c r="E3558" s="23"/>
      <c r="F3558" s="19" t="s">
        <v>464</v>
      </c>
      <c r="G3558" s="19" t="s">
        <v>87</v>
      </c>
      <c r="H3558" s="20">
        <v>1</v>
      </c>
      <c r="I3558" s="24" t="s">
        <v>164</v>
      </c>
      <c r="J3558" s="25"/>
      <c r="K3558" s="24" t="s">
        <v>164</v>
      </c>
      <c r="L3558" s="25"/>
    </row>
    <row r="3559" spans="1:12" ht="15" customHeight="1" x14ac:dyDescent="0.25">
      <c r="A3559" s="15" t="s">
        <v>53</v>
      </c>
      <c r="B3559" s="16"/>
      <c r="C3559" s="16"/>
      <c r="D3559" s="16"/>
      <c r="E3559" s="16"/>
      <c r="F3559" s="16"/>
      <c r="G3559" s="16"/>
      <c r="H3559" s="16"/>
      <c r="I3559" s="16"/>
      <c r="J3559" s="17"/>
      <c r="K3559" s="15">
        <v>9.58</v>
      </c>
      <c r="L3559" s="17"/>
    </row>
    <row r="3560" spans="1:12" x14ac:dyDescent="0.25">
      <c r="A3560" s="18"/>
      <c r="B3560" s="18"/>
      <c r="C3560" s="18"/>
      <c r="D3560" s="18"/>
      <c r="E3560" s="18"/>
      <c r="F3560" s="18"/>
      <c r="G3560" s="18"/>
      <c r="H3560" s="18"/>
      <c r="I3560" s="18"/>
      <c r="J3560" s="18"/>
      <c r="K3560" s="18"/>
      <c r="L3560" s="18"/>
    </row>
    <row r="3561" spans="1:12" ht="15" customHeight="1" x14ac:dyDescent="0.25">
      <c r="A3561" s="10" t="s">
        <v>54</v>
      </c>
      <c r="B3561" s="11"/>
      <c r="C3561" s="12"/>
      <c r="D3561" s="8" t="s">
        <v>21</v>
      </c>
      <c r="E3561" s="8" t="s">
        <v>22</v>
      </c>
      <c r="F3561" s="9" t="s">
        <v>55</v>
      </c>
      <c r="G3561" s="8" t="s">
        <v>56</v>
      </c>
      <c r="H3561" s="8" t="s">
        <v>57</v>
      </c>
      <c r="I3561" s="8" t="s">
        <v>58</v>
      </c>
      <c r="J3561" s="9" t="s">
        <v>59</v>
      </c>
      <c r="K3561" s="9" t="s">
        <v>34</v>
      </c>
      <c r="L3561" s="9" t="s">
        <v>50</v>
      </c>
    </row>
    <row r="3562" spans="1:12" ht="15" customHeight="1" x14ac:dyDescent="0.25">
      <c r="A3562" s="15" t="s">
        <v>60</v>
      </c>
      <c r="B3562" s="16"/>
      <c r="C3562" s="16"/>
      <c r="D3562" s="16"/>
      <c r="E3562" s="16"/>
      <c r="F3562" s="16"/>
      <c r="G3562" s="16"/>
      <c r="H3562" s="16"/>
      <c r="I3562" s="16"/>
      <c r="J3562" s="17"/>
      <c r="K3562" s="15">
        <v>0</v>
      </c>
      <c r="L3562" s="17"/>
    </row>
    <row r="3563" spans="1:12" x14ac:dyDescent="0.25">
      <c r="A3563" s="18"/>
      <c r="B3563" s="18"/>
      <c r="C3563" s="18"/>
      <c r="D3563" s="18"/>
      <c r="E3563" s="18"/>
      <c r="F3563" s="18"/>
      <c r="G3563" s="18"/>
      <c r="H3563" s="18"/>
      <c r="I3563" s="18"/>
      <c r="J3563" s="18"/>
      <c r="K3563" s="18"/>
      <c r="L3563" s="18"/>
    </row>
    <row r="3564" spans="1:12" ht="15" customHeight="1" x14ac:dyDescent="0.25">
      <c r="A3564" s="27" t="s">
        <v>61</v>
      </c>
      <c r="B3564" s="27"/>
      <c r="C3564" s="27"/>
      <c r="D3564" s="27"/>
      <c r="E3564" s="27"/>
      <c r="F3564" s="27"/>
      <c r="G3564" s="27"/>
      <c r="H3564" s="27"/>
      <c r="I3564" s="27"/>
      <c r="J3564" s="27"/>
      <c r="K3564" s="27">
        <v>9.58</v>
      </c>
      <c r="L3564" s="27"/>
    </row>
    <row r="3565" spans="1:12" ht="15" customHeight="1" x14ac:dyDescent="0.25">
      <c r="A3565" s="27" t="s">
        <v>62</v>
      </c>
      <c r="B3565" s="27"/>
      <c r="C3565" s="27"/>
      <c r="D3565" s="27"/>
      <c r="E3565" s="27"/>
      <c r="F3565" s="27"/>
      <c r="G3565" s="27"/>
      <c r="H3565" s="27"/>
      <c r="I3565" s="27"/>
      <c r="J3565" s="27"/>
      <c r="K3565" s="27">
        <v>3.19</v>
      </c>
      <c r="L3565" s="27"/>
    </row>
    <row r="3566" spans="1:12" ht="15" customHeight="1" x14ac:dyDescent="0.25">
      <c r="A3566" s="27" t="s">
        <v>63</v>
      </c>
      <c r="B3566" s="27"/>
      <c r="C3566" s="27"/>
      <c r="D3566" s="27"/>
      <c r="E3566" s="27"/>
      <c r="F3566" s="27"/>
      <c r="G3566" s="27"/>
      <c r="H3566" s="27"/>
      <c r="I3566" s="27"/>
      <c r="J3566" s="27"/>
      <c r="K3566" s="27">
        <v>12.77</v>
      </c>
      <c r="L3566" s="27"/>
    </row>
    <row r="3567" spans="1:12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</row>
    <row r="3568" spans="1:12" ht="15" customHeight="1" x14ac:dyDescent="0.25">
      <c r="A3568" s="3" t="s">
        <v>8</v>
      </c>
      <c r="B3568" s="6" t="s">
        <v>9</v>
      </c>
      <c r="C3568" s="6"/>
      <c r="D3568" s="6"/>
      <c r="E3568" s="6"/>
      <c r="F3568" s="6"/>
      <c r="G3568" s="6"/>
      <c r="H3568" s="6"/>
      <c r="I3568" s="6"/>
      <c r="J3568" s="6"/>
      <c r="K3568" s="6"/>
      <c r="L3568" s="6"/>
    </row>
    <row r="3569" spans="1:12" ht="15" customHeight="1" x14ac:dyDescent="0.25">
      <c r="A3569" s="3" t="s">
        <v>10</v>
      </c>
      <c r="B3569" s="6" t="s">
        <v>465</v>
      </c>
      <c r="C3569" s="6"/>
      <c r="D3569" s="6"/>
      <c r="E3569" s="6"/>
      <c r="F3569" s="6"/>
      <c r="G3569" s="6"/>
      <c r="H3569" s="6"/>
      <c r="I3569" s="6"/>
      <c r="J3569" s="6"/>
      <c r="K3569" s="3" t="s">
        <v>12</v>
      </c>
      <c r="L3569" s="4" t="s">
        <v>84</v>
      </c>
    </row>
    <row r="3570" spans="1:12" ht="15" customHeight="1" x14ac:dyDescent="0.25">
      <c r="A3570" s="3" t="s">
        <v>14</v>
      </c>
      <c r="B3570" s="6" t="s">
        <v>88</v>
      </c>
      <c r="C3570" s="6"/>
      <c r="D3570" s="7" t="s">
        <v>16</v>
      </c>
      <c r="E3570" s="7"/>
      <c r="F3570" s="6" t="str">
        <f>"3F78.000003"</f>
        <v>3F78.000003</v>
      </c>
      <c r="G3570" s="6"/>
      <c r="H3570" s="3" t="s">
        <v>17</v>
      </c>
      <c r="I3570" s="6" t="s">
        <v>89</v>
      </c>
      <c r="J3570" s="6"/>
      <c r="K3570" s="3" t="s">
        <v>19</v>
      </c>
      <c r="L3570" s="5">
        <v>1</v>
      </c>
    </row>
    <row r="3571" spans="1:12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</row>
    <row r="3572" spans="1:12" ht="15" customHeight="1" x14ac:dyDescent="0.25">
      <c r="A3572" s="10" t="s">
        <v>20</v>
      </c>
      <c r="B3572" s="11"/>
      <c r="C3572" s="12"/>
      <c r="D3572" s="8" t="s">
        <v>21</v>
      </c>
      <c r="E3572" s="8" t="s">
        <v>22</v>
      </c>
      <c r="F3572" s="9" t="s">
        <v>23</v>
      </c>
      <c r="G3572" s="9" t="s">
        <v>24</v>
      </c>
      <c r="H3572" s="9" t="s">
        <v>25</v>
      </c>
      <c r="I3572" s="9" t="s">
        <v>26</v>
      </c>
      <c r="J3572" s="9" t="s">
        <v>27</v>
      </c>
      <c r="K3572" s="13" t="s">
        <v>28</v>
      </c>
      <c r="L3572" s="14"/>
    </row>
    <row r="3573" spans="1:12" ht="15" customHeight="1" x14ac:dyDescent="0.25">
      <c r="A3573" s="15" t="s">
        <v>29</v>
      </c>
      <c r="B3573" s="16"/>
      <c r="C3573" s="16"/>
      <c r="D3573" s="16"/>
      <c r="E3573" s="16"/>
      <c r="F3573" s="16"/>
      <c r="G3573" s="16"/>
      <c r="H3573" s="16"/>
      <c r="I3573" s="16"/>
      <c r="J3573" s="17"/>
      <c r="K3573" s="15">
        <v>0</v>
      </c>
      <c r="L3573" s="17"/>
    </row>
    <row r="3574" spans="1:12" x14ac:dyDescent="0.25">
      <c r="A3574" s="18"/>
      <c r="B3574" s="18"/>
      <c r="C3574" s="18"/>
      <c r="D3574" s="18"/>
      <c r="E3574" s="18"/>
      <c r="F3574" s="18"/>
      <c r="G3574" s="18"/>
      <c r="H3574" s="18"/>
      <c r="I3574" s="18"/>
      <c r="J3574" s="18"/>
      <c r="K3574" s="18"/>
      <c r="L3574" s="18"/>
    </row>
    <row r="3575" spans="1:12" ht="15" customHeight="1" x14ac:dyDescent="0.25">
      <c r="A3575" s="10" t="s">
        <v>30</v>
      </c>
      <c r="B3575" s="11"/>
      <c r="C3575" s="12"/>
      <c r="D3575" s="8" t="s">
        <v>21</v>
      </c>
      <c r="E3575" s="8" t="s">
        <v>22</v>
      </c>
      <c r="F3575" s="9" t="s">
        <v>31</v>
      </c>
      <c r="G3575" s="9" t="s">
        <v>32</v>
      </c>
      <c r="H3575" s="9" t="s">
        <v>33</v>
      </c>
      <c r="I3575" s="13" t="s">
        <v>34</v>
      </c>
      <c r="J3575" s="14"/>
      <c r="K3575" s="13" t="s">
        <v>28</v>
      </c>
      <c r="L3575" s="14"/>
    </row>
    <row r="3576" spans="1:12" ht="15" customHeight="1" x14ac:dyDescent="0.25">
      <c r="A3576" s="15" t="s">
        <v>38</v>
      </c>
      <c r="B3576" s="16"/>
      <c r="C3576" s="16"/>
      <c r="D3576" s="16"/>
      <c r="E3576" s="16"/>
      <c r="F3576" s="16"/>
      <c r="G3576" s="16"/>
      <c r="H3576" s="16"/>
      <c r="I3576" s="16"/>
      <c r="J3576" s="17"/>
      <c r="K3576" s="15">
        <v>0</v>
      </c>
      <c r="L3576" s="17"/>
    </row>
    <row r="3577" spans="1:12" x14ac:dyDescent="0.25">
      <c r="A3577" s="18"/>
      <c r="B3577" s="18"/>
      <c r="C3577" s="18"/>
      <c r="D3577" s="18"/>
      <c r="E3577" s="18"/>
      <c r="F3577" s="18"/>
      <c r="G3577" s="18"/>
      <c r="H3577" s="18"/>
      <c r="I3577" s="18"/>
      <c r="J3577" s="18"/>
      <c r="K3577" s="18"/>
      <c r="L3577" s="18"/>
    </row>
    <row r="3578" spans="1:12" ht="15" customHeight="1" x14ac:dyDescent="0.25">
      <c r="A3578" s="10" t="s">
        <v>39</v>
      </c>
      <c r="B3578" s="11"/>
      <c r="C3578" s="12"/>
      <c r="D3578" s="8" t="s">
        <v>21</v>
      </c>
      <c r="E3578" s="13" t="s">
        <v>40</v>
      </c>
      <c r="F3578" s="14"/>
      <c r="G3578" s="8" t="s">
        <v>41</v>
      </c>
      <c r="H3578" s="8" t="s">
        <v>42</v>
      </c>
      <c r="I3578" s="8" t="s">
        <v>43</v>
      </c>
      <c r="J3578" s="13" t="s">
        <v>44</v>
      </c>
      <c r="K3578" s="26"/>
      <c r="L3578" s="14"/>
    </row>
    <row r="3579" spans="1:12" ht="15" customHeight="1" x14ac:dyDescent="0.25">
      <c r="A3579" s="15" t="s">
        <v>45</v>
      </c>
      <c r="B3579" s="16"/>
      <c r="C3579" s="16"/>
      <c r="D3579" s="16"/>
      <c r="E3579" s="16"/>
      <c r="F3579" s="16"/>
      <c r="G3579" s="16"/>
      <c r="H3579" s="16"/>
      <c r="I3579" s="16"/>
      <c r="J3579" s="17"/>
      <c r="K3579" s="15">
        <v>0</v>
      </c>
      <c r="L3579" s="17"/>
    </row>
    <row r="3580" spans="1:12" x14ac:dyDescent="0.25">
      <c r="A3580" s="18"/>
      <c r="B3580" s="18"/>
      <c r="C3580" s="18"/>
      <c r="D3580" s="18"/>
      <c r="E3580" s="18"/>
      <c r="F3580" s="18"/>
      <c r="G3580" s="18"/>
      <c r="H3580" s="18"/>
      <c r="I3580" s="18"/>
      <c r="J3580" s="18"/>
      <c r="K3580" s="18"/>
      <c r="L3580" s="18"/>
    </row>
    <row r="3581" spans="1:12" ht="15" customHeight="1" x14ac:dyDescent="0.25">
      <c r="A3581" s="27" t="s">
        <v>46</v>
      </c>
      <c r="B3581" s="27"/>
      <c r="C3581" s="27"/>
      <c r="D3581" s="27"/>
      <c r="E3581" s="27"/>
      <c r="F3581" s="27"/>
      <c r="G3581" s="27"/>
      <c r="H3581" s="27"/>
      <c r="I3581" s="27"/>
      <c r="J3581" s="27"/>
      <c r="K3581" s="27">
        <v>0</v>
      </c>
      <c r="L3581" s="27"/>
    </row>
    <row r="3582" spans="1:12" ht="15" customHeight="1" x14ac:dyDescent="0.25">
      <c r="A3582" s="27" t="s">
        <v>47</v>
      </c>
      <c r="B3582" s="27"/>
      <c r="C3582" s="27"/>
      <c r="D3582" s="27"/>
      <c r="E3582" s="27"/>
      <c r="F3582" s="27"/>
      <c r="G3582" s="27"/>
      <c r="H3582" s="27"/>
      <c r="I3582" s="27"/>
      <c r="J3582" s="27"/>
      <c r="K3582" s="27">
        <v>1</v>
      </c>
      <c r="L3582" s="27"/>
    </row>
    <row r="3583" spans="1:12" ht="15" customHeight="1" x14ac:dyDescent="0.25">
      <c r="A3583" s="27" t="s">
        <v>48</v>
      </c>
      <c r="B3583" s="27"/>
      <c r="C3583" s="27"/>
      <c r="D3583" s="27"/>
      <c r="E3583" s="27"/>
      <c r="F3583" s="27"/>
      <c r="G3583" s="27"/>
      <c r="H3583" s="27"/>
      <c r="I3583" s="27"/>
      <c r="J3583" s="27"/>
      <c r="K3583" s="27">
        <v>0</v>
      </c>
      <c r="L3583" s="27"/>
    </row>
    <row r="3584" spans="1:12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</row>
    <row r="3585" spans="1:12" ht="15" customHeight="1" x14ac:dyDescent="0.25">
      <c r="A3585" s="10" t="s">
        <v>49</v>
      </c>
      <c r="B3585" s="11"/>
      <c r="C3585" s="11"/>
      <c r="D3585" s="11"/>
      <c r="E3585" s="12"/>
      <c r="F3585" s="8" t="s">
        <v>21</v>
      </c>
      <c r="G3585" s="8" t="s">
        <v>22</v>
      </c>
      <c r="H3585" s="9" t="s">
        <v>44</v>
      </c>
      <c r="I3585" s="13" t="s">
        <v>34</v>
      </c>
      <c r="J3585" s="14"/>
      <c r="K3585" s="13" t="s">
        <v>50</v>
      </c>
      <c r="L3585" s="14"/>
    </row>
    <row r="3586" spans="1:12" ht="15" customHeight="1" x14ac:dyDescent="0.25">
      <c r="A3586" s="15" t="s">
        <v>51</v>
      </c>
      <c r="B3586" s="16"/>
      <c r="C3586" s="16"/>
      <c r="D3586" s="16"/>
      <c r="E3586" s="16"/>
      <c r="F3586" s="16"/>
      <c r="G3586" s="16"/>
      <c r="H3586" s="16"/>
      <c r="I3586" s="16"/>
      <c r="J3586" s="17"/>
      <c r="K3586" s="15">
        <v>0</v>
      </c>
      <c r="L3586" s="17"/>
    </row>
    <row r="3587" spans="1:12" x14ac:dyDescent="0.25">
      <c r="A3587" s="18"/>
      <c r="B3587" s="18"/>
      <c r="C3587" s="18"/>
      <c r="D3587" s="18"/>
      <c r="E3587" s="18"/>
      <c r="F3587" s="18"/>
      <c r="G3587" s="18"/>
      <c r="H3587" s="18"/>
      <c r="I3587" s="18"/>
      <c r="J3587" s="18"/>
      <c r="K3587" s="18"/>
      <c r="L3587" s="18"/>
    </row>
    <row r="3588" spans="1:12" ht="15" customHeight="1" x14ac:dyDescent="0.25">
      <c r="A3588" s="10" t="s">
        <v>52</v>
      </c>
      <c r="B3588" s="11"/>
      <c r="C3588" s="11"/>
      <c r="D3588" s="11"/>
      <c r="E3588" s="12"/>
      <c r="F3588" s="8" t="s">
        <v>21</v>
      </c>
      <c r="G3588" s="8" t="s">
        <v>22</v>
      </c>
      <c r="H3588" s="9" t="s">
        <v>44</v>
      </c>
      <c r="I3588" s="13" t="s">
        <v>34</v>
      </c>
      <c r="J3588" s="14"/>
      <c r="K3588" s="13" t="s">
        <v>50</v>
      </c>
      <c r="L3588" s="14"/>
    </row>
    <row r="3589" spans="1:12" ht="15" customHeight="1" x14ac:dyDescent="0.25">
      <c r="A3589" s="21" t="s">
        <v>466</v>
      </c>
      <c r="B3589" s="22"/>
      <c r="C3589" s="22"/>
      <c r="D3589" s="22"/>
      <c r="E3589" s="23"/>
      <c r="F3589" s="19" t="s">
        <v>467</v>
      </c>
      <c r="G3589" s="19" t="s">
        <v>84</v>
      </c>
      <c r="H3589" s="20">
        <v>1</v>
      </c>
      <c r="I3589" s="24">
        <v>0.63</v>
      </c>
      <c r="J3589" s="25"/>
      <c r="K3589" s="24">
        <v>0.63</v>
      </c>
      <c r="L3589" s="25"/>
    </row>
    <row r="3590" spans="1:12" ht="15" customHeight="1" x14ac:dyDescent="0.25">
      <c r="A3590" s="15" t="s">
        <v>53</v>
      </c>
      <c r="B3590" s="16"/>
      <c r="C3590" s="16"/>
      <c r="D3590" s="16"/>
      <c r="E3590" s="16"/>
      <c r="F3590" s="16"/>
      <c r="G3590" s="16"/>
      <c r="H3590" s="16"/>
      <c r="I3590" s="16"/>
      <c r="J3590" s="17"/>
      <c r="K3590" s="15">
        <v>0.63</v>
      </c>
      <c r="L3590" s="17"/>
    </row>
    <row r="3591" spans="1:12" x14ac:dyDescent="0.25">
      <c r="A3591" s="18"/>
      <c r="B3591" s="18"/>
      <c r="C3591" s="18"/>
      <c r="D3591" s="18"/>
      <c r="E3591" s="18"/>
      <c r="F3591" s="18"/>
      <c r="G3591" s="18"/>
      <c r="H3591" s="18"/>
      <c r="I3591" s="18"/>
      <c r="J3591" s="18"/>
      <c r="K3591" s="18"/>
      <c r="L3591" s="18"/>
    </row>
    <row r="3592" spans="1:12" ht="15" customHeight="1" x14ac:dyDescent="0.25">
      <c r="A3592" s="10" t="s">
        <v>54</v>
      </c>
      <c r="B3592" s="11"/>
      <c r="C3592" s="12"/>
      <c r="D3592" s="8" t="s">
        <v>21</v>
      </c>
      <c r="E3592" s="8" t="s">
        <v>22</v>
      </c>
      <c r="F3592" s="9" t="s">
        <v>55</v>
      </c>
      <c r="G3592" s="8" t="s">
        <v>56</v>
      </c>
      <c r="H3592" s="8" t="s">
        <v>57</v>
      </c>
      <c r="I3592" s="8" t="s">
        <v>58</v>
      </c>
      <c r="J3592" s="9" t="s">
        <v>59</v>
      </c>
      <c r="K3592" s="9" t="s">
        <v>34</v>
      </c>
      <c r="L3592" s="9" t="s">
        <v>50</v>
      </c>
    </row>
    <row r="3593" spans="1:12" ht="15" customHeight="1" x14ac:dyDescent="0.25">
      <c r="A3593" s="15" t="s">
        <v>60</v>
      </c>
      <c r="B3593" s="16"/>
      <c r="C3593" s="16"/>
      <c r="D3593" s="16"/>
      <c r="E3593" s="16"/>
      <c r="F3593" s="16"/>
      <c r="G3593" s="16"/>
      <c r="H3593" s="16"/>
      <c r="I3593" s="16"/>
      <c r="J3593" s="17"/>
      <c r="K3593" s="15">
        <v>0</v>
      </c>
      <c r="L3593" s="17"/>
    </row>
    <row r="3594" spans="1:12" x14ac:dyDescent="0.25">
      <c r="A3594" s="18"/>
      <c r="B3594" s="18"/>
      <c r="C3594" s="18"/>
      <c r="D3594" s="18"/>
      <c r="E3594" s="18"/>
      <c r="F3594" s="18"/>
      <c r="G3594" s="18"/>
      <c r="H3594" s="18"/>
      <c r="I3594" s="18"/>
      <c r="J3594" s="18"/>
      <c r="K3594" s="18"/>
      <c r="L3594" s="18"/>
    </row>
    <row r="3595" spans="1:12" ht="15" customHeight="1" x14ac:dyDescent="0.25">
      <c r="A3595" s="27" t="s">
        <v>61</v>
      </c>
      <c r="B3595" s="27"/>
      <c r="C3595" s="27"/>
      <c r="D3595" s="27"/>
      <c r="E3595" s="27"/>
      <c r="F3595" s="27"/>
      <c r="G3595" s="27"/>
      <c r="H3595" s="27"/>
      <c r="I3595" s="27"/>
      <c r="J3595" s="27"/>
      <c r="K3595" s="27">
        <v>0.63</v>
      </c>
      <c r="L3595" s="27"/>
    </row>
    <row r="3596" spans="1:12" ht="15" customHeight="1" x14ac:dyDescent="0.25">
      <c r="A3596" s="27" t="s">
        <v>62</v>
      </c>
      <c r="B3596" s="27"/>
      <c r="C3596" s="27"/>
      <c r="D3596" s="27"/>
      <c r="E3596" s="27"/>
      <c r="F3596" s="27"/>
      <c r="G3596" s="27"/>
      <c r="H3596" s="27"/>
      <c r="I3596" s="27"/>
      <c r="J3596" s="27"/>
      <c r="K3596" s="27">
        <v>0.21</v>
      </c>
      <c r="L3596" s="27"/>
    </row>
    <row r="3597" spans="1:12" ht="15" customHeight="1" x14ac:dyDescent="0.25">
      <c r="A3597" s="27" t="s">
        <v>63</v>
      </c>
      <c r="B3597" s="27"/>
      <c r="C3597" s="27"/>
      <c r="D3597" s="27"/>
      <c r="E3597" s="27"/>
      <c r="F3597" s="27"/>
      <c r="G3597" s="27"/>
      <c r="H3597" s="27"/>
      <c r="I3597" s="27"/>
      <c r="J3597" s="27"/>
      <c r="K3597" s="27">
        <v>0.84</v>
      </c>
      <c r="L3597" s="27"/>
    </row>
    <row r="3598" spans="1:12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</row>
    <row r="3599" spans="1:12" ht="15" customHeight="1" x14ac:dyDescent="0.25">
      <c r="A3599" s="3" t="s">
        <v>8</v>
      </c>
      <c r="B3599" s="6" t="s">
        <v>9</v>
      </c>
      <c r="C3599" s="6"/>
      <c r="D3599" s="6"/>
      <c r="E3599" s="6"/>
      <c r="F3599" s="6"/>
      <c r="G3599" s="6"/>
      <c r="H3599" s="6"/>
      <c r="I3599" s="6"/>
      <c r="J3599" s="6"/>
      <c r="K3599" s="6"/>
      <c r="L3599" s="6"/>
    </row>
    <row r="3600" spans="1:12" ht="15" customHeight="1" x14ac:dyDescent="0.25">
      <c r="A3600" s="3" t="s">
        <v>10</v>
      </c>
      <c r="B3600" s="6" t="s">
        <v>468</v>
      </c>
      <c r="C3600" s="6"/>
      <c r="D3600" s="6"/>
      <c r="E3600" s="6"/>
      <c r="F3600" s="6"/>
      <c r="G3600" s="6"/>
      <c r="H3600" s="6"/>
      <c r="I3600" s="6"/>
      <c r="J3600" s="6"/>
      <c r="K3600" s="3" t="s">
        <v>12</v>
      </c>
      <c r="L3600" s="4" t="s">
        <v>87</v>
      </c>
    </row>
    <row r="3601" spans="1:12" ht="15" customHeight="1" x14ac:dyDescent="0.25">
      <c r="A3601" s="3" t="s">
        <v>14</v>
      </c>
      <c r="B3601" s="6" t="s">
        <v>15</v>
      </c>
      <c r="C3601" s="6"/>
      <c r="D3601" s="7" t="s">
        <v>16</v>
      </c>
      <c r="E3601" s="7"/>
      <c r="F3601" s="6" t="str">
        <f>"151601"</f>
        <v>151601</v>
      </c>
      <c r="G3601" s="6"/>
      <c r="H3601" s="3" t="s">
        <v>17</v>
      </c>
      <c r="I3601" s="6" t="s">
        <v>18</v>
      </c>
      <c r="J3601" s="6"/>
      <c r="K3601" s="3" t="s">
        <v>19</v>
      </c>
      <c r="L3601" s="5">
        <v>1</v>
      </c>
    </row>
    <row r="3602" spans="1:12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</row>
    <row r="3603" spans="1:12" ht="15" customHeight="1" x14ac:dyDescent="0.25">
      <c r="A3603" s="10" t="s">
        <v>20</v>
      </c>
      <c r="B3603" s="11"/>
      <c r="C3603" s="12"/>
      <c r="D3603" s="8" t="s">
        <v>21</v>
      </c>
      <c r="E3603" s="8" t="s">
        <v>22</v>
      </c>
      <c r="F3603" s="9" t="s">
        <v>23</v>
      </c>
      <c r="G3603" s="9" t="s">
        <v>24</v>
      </c>
      <c r="H3603" s="9" t="s">
        <v>25</v>
      </c>
      <c r="I3603" s="9" t="s">
        <v>26</v>
      </c>
      <c r="J3603" s="9" t="s">
        <v>27</v>
      </c>
      <c r="K3603" s="13" t="s">
        <v>28</v>
      </c>
      <c r="L3603" s="14"/>
    </row>
    <row r="3604" spans="1:12" ht="15" customHeight="1" x14ac:dyDescent="0.25">
      <c r="A3604" s="15" t="s">
        <v>29</v>
      </c>
      <c r="B3604" s="16"/>
      <c r="C3604" s="16"/>
      <c r="D3604" s="16"/>
      <c r="E3604" s="16"/>
      <c r="F3604" s="16"/>
      <c r="G3604" s="16"/>
      <c r="H3604" s="16"/>
      <c r="I3604" s="16"/>
      <c r="J3604" s="17"/>
      <c r="K3604" s="15">
        <v>0</v>
      </c>
      <c r="L3604" s="17"/>
    </row>
    <row r="3605" spans="1:12" x14ac:dyDescent="0.25">
      <c r="A3605" s="18"/>
      <c r="B3605" s="18"/>
      <c r="C3605" s="18"/>
      <c r="D3605" s="18"/>
      <c r="E3605" s="18"/>
      <c r="F3605" s="18"/>
      <c r="G3605" s="18"/>
      <c r="H3605" s="18"/>
      <c r="I3605" s="18"/>
      <c r="J3605" s="18"/>
      <c r="K3605" s="18"/>
      <c r="L3605" s="18"/>
    </row>
    <row r="3606" spans="1:12" ht="15" customHeight="1" x14ac:dyDescent="0.25">
      <c r="A3606" s="10" t="s">
        <v>30</v>
      </c>
      <c r="B3606" s="11"/>
      <c r="C3606" s="12"/>
      <c r="D3606" s="8" t="s">
        <v>21</v>
      </c>
      <c r="E3606" s="8" t="s">
        <v>22</v>
      </c>
      <c r="F3606" s="9" t="s">
        <v>31</v>
      </c>
      <c r="G3606" s="9" t="s">
        <v>32</v>
      </c>
      <c r="H3606" s="9" t="s">
        <v>33</v>
      </c>
      <c r="I3606" s="13" t="s">
        <v>34</v>
      </c>
      <c r="J3606" s="14"/>
      <c r="K3606" s="13" t="s">
        <v>28</v>
      </c>
      <c r="L3606" s="14"/>
    </row>
    <row r="3607" spans="1:12" ht="15" customHeight="1" x14ac:dyDescent="0.25">
      <c r="A3607" s="21" t="s">
        <v>76</v>
      </c>
      <c r="B3607" s="22"/>
      <c r="C3607" s="23"/>
      <c r="D3607" s="19" t="str">
        <f>"010101"</f>
        <v>010101</v>
      </c>
      <c r="E3607" s="19" t="s">
        <v>36</v>
      </c>
      <c r="F3607" s="20">
        <v>8.5299999999999994</v>
      </c>
      <c r="G3607" s="20">
        <v>157.27000000000001</v>
      </c>
      <c r="H3607" s="20">
        <v>21.94</v>
      </c>
      <c r="I3607" s="24">
        <v>0.25</v>
      </c>
      <c r="J3607" s="25"/>
      <c r="K3607" s="24">
        <v>5.48</v>
      </c>
      <c r="L3607" s="25"/>
    </row>
    <row r="3608" spans="1:12" ht="15" customHeight="1" x14ac:dyDescent="0.25">
      <c r="A3608" s="21" t="s">
        <v>461</v>
      </c>
      <c r="B3608" s="22"/>
      <c r="C3608" s="23"/>
      <c r="D3608" s="19" t="str">
        <f>"010115"</f>
        <v>010115</v>
      </c>
      <c r="E3608" s="19" t="s">
        <v>36</v>
      </c>
      <c r="F3608" s="20">
        <v>10.119999999999999</v>
      </c>
      <c r="G3608" s="20">
        <v>157.27000000000001</v>
      </c>
      <c r="H3608" s="20">
        <v>26.03</v>
      </c>
      <c r="I3608" s="24">
        <v>0.1</v>
      </c>
      <c r="J3608" s="25"/>
      <c r="K3608" s="24">
        <v>2.6</v>
      </c>
      <c r="L3608" s="25"/>
    </row>
    <row r="3609" spans="1:12" ht="15" customHeight="1" x14ac:dyDescent="0.25">
      <c r="A3609" s="21" t="s">
        <v>69</v>
      </c>
      <c r="B3609" s="22"/>
      <c r="C3609" s="23"/>
      <c r="D3609" s="19" t="str">
        <f>"010139"</f>
        <v>010139</v>
      </c>
      <c r="E3609" s="19" t="s">
        <v>36</v>
      </c>
      <c r="F3609" s="20">
        <v>10.119999999999999</v>
      </c>
      <c r="G3609" s="20">
        <v>157.27000000000001</v>
      </c>
      <c r="H3609" s="20">
        <v>26.03</v>
      </c>
      <c r="I3609" s="24">
        <v>0.15</v>
      </c>
      <c r="J3609" s="25"/>
      <c r="K3609" s="24">
        <v>3.9</v>
      </c>
      <c r="L3609" s="25"/>
    </row>
    <row r="3610" spans="1:12" ht="15" customHeight="1" x14ac:dyDescent="0.25">
      <c r="A3610" s="21" t="s">
        <v>37</v>
      </c>
      <c r="B3610" s="22"/>
      <c r="C3610" s="23"/>
      <c r="D3610" s="19" t="str">
        <f>"010146"</f>
        <v>010146</v>
      </c>
      <c r="E3610" s="19" t="s">
        <v>36</v>
      </c>
      <c r="F3610" s="20">
        <v>7.65</v>
      </c>
      <c r="G3610" s="20">
        <v>157.27000000000001</v>
      </c>
      <c r="H3610" s="20">
        <v>19.68</v>
      </c>
      <c r="I3610" s="24">
        <v>0.1</v>
      </c>
      <c r="J3610" s="25"/>
      <c r="K3610" s="24">
        <v>1.96</v>
      </c>
      <c r="L3610" s="25"/>
    </row>
    <row r="3611" spans="1:12" ht="15" customHeight="1" x14ac:dyDescent="0.25">
      <c r="A3611" s="15" t="s">
        <v>38</v>
      </c>
      <c r="B3611" s="16"/>
      <c r="C3611" s="16"/>
      <c r="D3611" s="16"/>
      <c r="E3611" s="16"/>
      <c r="F3611" s="16"/>
      <c r="G3611" s="16"/>
      <c r="H3611" s="16"/>
      <c r="I3611" s="16"/>
      <c r="J3611" s="17"/>
      <c r="K3611" s="15">
        <v>13.94</v>
      </c>
      <c r="L3611" s="17"/>
    </row>
    <row r="3612" spans="1:12" x14ac:dyDescent="0.25">
      <c r="A3612" s="18"/>
      <c r="B3612" s="18"/>
      <c r="C3612" s="18"/>
      <c r="D3612" s="18"/>
      <c r="E3612" s="18"/>
      <c r="F3612" s="18"/>
      <c r="G3612" s="18"/>
      <c r="H3612" s="18"/>
      <c r="I3612" s="18"/>
      <c r="J3612" s="18"/>
      <c r="K3612" s="18"/>
      <c r="L3612" s="18"/>
    </row>
    <row r="3613" spans="1:12" ht="15" customHeight="1" x14ac:dyDescent="0.25">
      <c r="A3613" s="10" t="s">
        <v>39</v>
      </c>
      <c r="B3613" s="11"/>
      <c r="C3613" s="12"/>
      <c r="D3613" s="8" t="s">
        <v>21</v>
      </c>
      <c r="E3613" s="13" t="s">
        <v>40</v>
      </c>
      <c r="F3613" s="14"/>
      <c r="G3613" s="8" t="s">
        <v>41</v>
      </c>
      <c r="H3613" s="8" t="s">
        <v>42</v>
      </c>
      <c r="I3613" s="8" t="s">
        <v>43</v>
      </c>
      <c r="J3613" s="13" t="s">
        <v>44</v>
      </c>
      <c r="K3613" s="26"/>
      <c r="L3613" s="14"/>
    </row>
    <row r="3614" spans="1:12" ht="15" customHeight="1" x14ac:dyDescent="0.25">
      <c r="A3614" s="15" t="s">
        <v>45</v>
      </c>
      <c r="B3614" s="16"/>
      <c r="C3614" s="16"/>
      <c r="D3614" s="16"/>
      <c r="E3614" s="16"/>
      <c r="F3614" s="16"/>
      <c r="G3614" s="16"/>
      <c r="H3614" s="16"/>
      <c r="I3614" s="16"/>
      <c r="J3614" s="17"/>
      <c r="K3614" s="15">
        <v>0</v>
      </c>
      <c r="L3614" s="17"/>
    </row>
    <row r="3615" spans="1:12" x14ac:dyDescent="0.25">
      <c r="A3615" s="18"/>
      <c r="B3615" s="18"/>
      <c r="C3615" s="18"/>
      <c r="D3615" s="18"/>
      <c r="E3615" s="18"/>
      <c r="F3615" s="18"/>
      <c r="G3615" s="18"/>
      <c r="H3615" s="18"/>
      <c r="I3615" s="18"/>
      <c r="J3615" s="18"/>
      <c r="K3615" s="18"/>
      <c r="L3615" s="18"/>
    </row>
    <row r="3616" spans="1:12" ht="15" customHeight="1" x14ac:dyDescent="0.25">
      <c r="A3616" s="27" t="s">
        <v>46</v>
      </c>
      <c r="B3616" s="27"/>
      <c r="C3616" s="27"/>
      <c r="D3616" s="27"/>
      <c r="E3616" s="27"/>
      <c r="F3616" s="27"/>
      <c r="G3616" s="27"/>
      <c r="H3616" s="27"/>
      <c r="I3616" s="27"/>
      <c r="J3616" s="27"/>
      <c r="K3616" s="27">
        <v>13.94</v>
      </c>
      <c r="L3616" s="27"/>
    </row>
    <row r="3617" spans="1:12" ht="15" customHeight="1" x14ac:dyDescent="0.25">
      <c r="A3617" s="27" t="s">
        <v>47</v>
      </c>
      <c r="B3617" s="27"/>
      <c r="C3617" s="27"/>
      <c r="D3617" s="27"/>
      <c r="E3617" s="27"/>
      <c r="F3617" s="27"/>
      <c r="G3617" s="27"/>
      <c r="H3617" s="27"/>
      <c r="I3617" s="27"/>
      <c r="J3617" s="27"/>
      <c r="K3617" s="27">
        <v>1</v>
      </c>
      <c r="L3617" s="27"/>
    </row>
    <row r="3618" spans="1:12" ht="15" customHeight="1" x14ac:dyDescent="0.25">
      <c r="A3618" s="27" t="s">
        <v>48</v>
      </c>
      <c r="B3618" s="27"/>
      <c r="C3618" s="27"/>
      <c r="D3618" s="27"/>
      <c r="E3618" s="27"/>
      <c r="F3618" s="27"/>
      <c r="G3618" s="27"/>
      <c r="H3618" s="27"/>
      <c r="I3618" s="27"/>
      <c r="J3618" s="27"/>
      <c r="K3618" s="27">
        <v>13.94</v>
      </c>
      <c r="L3618" s="27"/>
    </row>
    <row r="3619" spans="1:12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</row>
    <row r="3620" spans="1:12" ht="15" customHeight="1" x14ac:dyDescent="0.25">
      <c r="A3620" s="10" t="s">
        <v>49</v>
      </c>
      <c r="B3620" s="11"/>
      <c r="C3620" s="11"/>
      <c r="D3620" s="11"/>
      <c r="E3620" s="12"/>
      <c r="F3620" s="8" t="s">
        <v>21</v>
      </c>
      <c r="G3620" s="8" t="s">
        <v>22</v>
      </c>
      <c r="H3620" s="9" t="s">
        <v>44</v>
      </c>
      <c r="I3620" s="13" t="s">
        <v>34</v>
      </c>
      <c r="J3620" s="14"/>
      <c r="K3620" s="13" t="s">
        <v>50</v>
      </c>
      <c r="L3620" s="14"/>
    </row>
    <row r="3621" spans="1:12" ht="15" customHeight="1" x14ac:dyDescent="0.25">
      <c r="A3621" s="21" t="s">
        <v>122</v>
      </c>
      <c r="B3621" s="22"/>
      <c r="C3621" s="22"/>
      <c r="D3621" s="22"/>
      <c r="E3621" s="23"/>
      <c r="F3621" s="19" t="str">
        <f>"020503"</f>
        <v>020503</v>
      </c>
      <c r="G3621" s="19" t="s">
        <v>105</v>
      </c>
      <c r="H3621" s="20">
        <v>152</v>
      </c>
      <c r="I3621" s="24">
        <v>2.0000000000000001E-4</v>
      </c>
      <c r="J3621" s="25"/>
      <c r="K3621" s="24">
        <v>0.03</v>
      </c>
      <c r="L3621" s="25"/>
    </row>
    <row r="3622" spans="1:12" ht="15" customHeight="1" x14ac:dyDescent="0.25">
      <c r="A3622" s="21" t="s">
        <v>123</v>
      </c>
      <c r="B3622" s="22"/>
      <c r="C3622" s="22"/>
      <c r="D3622" s="22"/>
      <c r="E3622" s="23"/>
      <c r="F3622" s="19" t="str">
        <f>"020505"</f>
        <v>020505</v>
      </c>
      <c r="G3622" s="19" t="s">
        <v>124</v>
      </c>
      <c r="H3622" s="20">
        <v>1.07</v>
      </c>
      <c r="I3622" s="24">
        <v>3.5999999999999997E-2</v>
      </c>
      <c r="J3622" s="25"/>
      <c r="K3622" s="24">
        <v>0.03</v>
      </c>
      <c r="L3622" s="25"/>
    </row>
    <row r="3623" spans="1:12" ht="15" customHeight="1" x14ac:dyDescent="0.25">
      <c r="A3623" s="21" t="s">
        <v>125</v>
      </c>
      <c r="B3623" s="22"/>
      <c r="C3623" s="22"/>
      <c r="D3623" s="22"/>
      <c r="E3623" s="23"/>
      <c r="F3623" s="19" t="str">
        <f>"020508"</f>
        <v>020508</v>
      </c>
      <c r="G3623" s="19" t="s">
        <v>124</v>
      </c>
      <c r="H3623" s="20">
        <v>0.59</v>
      </c>
      <c r="I3623" s="24">
        <v>0.03</v>
      </c>
      <c r="J3623" s="25"/>
      <c r="K3623" s="24">
        <v>0.01</v>
      </c>
      <c r="L3623" s="25"/>
    </row>
    <row r="3624" spans="1:12" ht="15" customHeight="1" x14ac:dyDescent="0.25">
      <c r="A3624" s="15" t="s">
        <v>51</v>
      </c>
      <c r="B3624" s="16"/>
      <c r="C3624" s="16"/>
      <c r="D3624" s="16"/>
      <c r="E3624" s="16"/>
      <c r="F3624" s="16"/>
      <c r="G3624" s="16"/>
      <c r="H3624" s="16"/>
      <c r="I3624" s="16"/>
      <c r="J3624" s="17"/>
      <c r="K3624" s="15">
        <v>7.0000000000000007E-2</v>
      </c>
      <c r="L3624" s="17"/>
    </row>
    <row r="3625" spans="1:12" x14ac:dyDescent="0.25">
      <c r="A3625" s="18"/>
      <c r="B3625" s="18"/>
      <c r="C3625" s="18"/>
      <c r="D3625" s="18"/>
      <c r="E3625" s="18"/>
      <c r="F3625" s="18"/>
      <c r="G3625" s="18"/>
      <c r="H3625" s="18"/>
      <c r="I3625" s="18"/>
      <c r="J3625" s="18"/>
      <c r="K3625" s="18"/>
      <c r="L3625" s="18"/>
    </row>
    <row r="3626" spans="1:12" ht="15" customHeight="1" x14ac:dyDescent="0.25">
      <c r="A3626" s="10" t="s">
        <v>52</v>
      </c>
      <c r="B3626" s="11"/>
      <c r="C3626" s="11"/>
      <c r="D3626" s="11"/>
      <c r="E3626" s="12"/>
      <c r="F3626" s="8" t="s">
        <v>21</v>
      </c>
      <c r="G3626" s="8" t="s">
        <v>22</v>
      </c>
      <c r="H3626" s="9" t="s">
        <v>44</v>
      </c>
      <c r="I3626" s="13" t="s">
        <v>34</v>
      </c>
      <c r="J3626" s="14"/>
      <c r="K3626" s="13" t="s">
        <v>50</v>
      </c>
      <c r="L3626" s="14"/>
    </row>
    <row r="3627" spans="1:12" ht="15" customHeight="1" x14ac:dyDescent="0.25">
      <c r="A3627" s="15" t="s">
        <v>53</v>
      </c>
      <c r="B3627" s="16"/>
      <c r="C3627" s="16"/>
      <c r="D3627" s="16"/>
      <c r="E3627" s="16"/>
      <c r="F3627" s="16"/>
      <c r="G3627" s="16"/>
      <c r="H3627" s="16"/>
      <c r="I3627" s="16"/>
      <c r="J3627" s="17"/>
      <c r="K3627" s="15">
        <v>0</v>
      </c>
      <c r="L3627" s="17"/>
    </row>
    <row r="3628" spans="1:12" x14ac:dyDescent="0.25">
      <c r="A3628" s="18"/>
      <c r="B3628" s="18"/>
      <c r="C3628" s="18"/>
      <c r="D3628" s="18"/>
      <c r="E3628" s="18"/>
      <c r="F3628" s="18"/>
      <c r="G3628" s="18"/>
      <c r="H3628" s="18"/>
      <c r="I3628" s="18"/>
      <c r="J3628" s="18"/>
      <c r="K3628" s="18"/>
      <c r="L3628" s="18"/>
    </row>
    <row r="3629" spans="1:12" ht="15" customHeight="1" x14ac:dyDescent="0.25">
      <c r="A3629" s="10" t="s">
        <v>54</v>
      </c>
      <c r="B3629" s="11"/>
      <c r="C3629" s="12"/>
      <c r="D3629" s="8" t="s">
        <v>21</v>
      </c>
      <c r="E3629" s="8" t="s">
        <v>22</v>
      </c>
      <c r="F3629" s="9" t="s">
        <v>55</v>
      </c>
      <c r="G3629" s="8" t="s">
        <v>56</v>
      </c>
      <c r="H3629" s="8" t="s">
        <v>57</v>
      </c>
      <c r="I3629" s="8" t="s">
        <v>58</v>
      </c>
      <c r="J3629" s="9" t="s">
        <v>59</v>
      </c>
      <c r="K3629" s="9" t="s">
        <v>34</v>
      </c>
      <c r="L3629" s="9" t="s">
        <v>50</v>
      </c>
    </row>
    <row r="3630" spans="1:12" ht="15" customHeight="1" x14ac:dyDescent="0.25">
      <c r="A3630" s="15" t="s">
        <v>60</v>
      </c>
      <c r="B3630" s="16"/>
      <c r="C3630" s="16"/>
      <c r="D3630" s="16"/>
      <c r="E3630" s="16"/>
      <c r="F3630" s="16"/>
      <c r="G3630" s="16"/>
      <c r="H3630" s="16"/>
      <c r="I3630" s="16"/>
      <c r="J3630" s="17"/>
      <c r="K3630" s="15">
        <v>0</v>
      </c>
      <c r="L3630" s="17"/>
    </row>
    <row r="3631" spans="1:12" x14ac:dyDescent="0.25">
      <c r="A3631" s="18"/>
      <c r="B3631" s="18"/>
      <c r="C3631" s="18"/>
      <c r="D3631" s="18"/>
      <c r="E3631" s="18"/>
      <c r="F3631" s="18"/>
      <c r="G3631" s="18"/>
      <c r="H3631" s="18"/>
      <c r="I3631" s="18"/>
      <c r="J3631" s="18"/>
      <c r="K3631" s="18"/>
      <c r="L3631" s="18"/>
    </row>
    <row r="3632" spans="1:12" ht="15" customHeight="1" x14ac:dyDescent="0.25">
      <c r="A3632" s="27" t="s">
        <v>61</v>
      </c>
      <c r="B3632" s="27"/>
      <c r="C3632" s="27"/>
      <c r="D3632" s="27"/>
      <c r="E3632" s="27"/>
      <c r="F3632" s="27"/>
      <c r="G3632" s="27"/>
      <c r="H3632" s="27"/>
      <c r="I3632" s="27"/>
      <c r="J3632" s="27"/>
      <c r="K3632" s="27">
        <v>14.01</v>
      </c>
      <c r="L3632" s="27"/>
    </row>
    <row r="3633" spans="1:12" ht="15" customHeight="1" x14ac:dyDescent="0.25">
      <c r="A3633" s="27" t="s">
        <v>62</v>
      </c>
      <c r="B3633" s="27"/>
      <c r="C3633" s="27"/>
      <c r="D3633" s="27"/>
      <c r="E3633" s="27"/>
      <c r="F3633" s="27"/>
      <c r="G3633" s="27"/>
      <c r="H3633" s="27"/>
      <c r="I3633" s="27"/>
      <c r="J3633" s="27"/>
      <c r="K3633" s="27">
        <v>4.66</v>
      </c>
      <c r="L3633" s="27"/>
    </row>
    <row r="3634" spans="1:12" ht="15" customHeight="1" x14ac:dyDescent="0.25">
      <c r="A3634" s="27" t="s">
        <v>63</v>
      </c>
      <c r="B3634" s="27"/>
      <c r="C3634" s="27"/>
      <c r="D3634" s="27"/>
      <c r="E3634" s="27"/>
      <c r="F3634" s="27"/>
      <c r="G3634" s="27"/>
      <c r="H3634" s="27"/>
      <c r="I3634" s="27"/>
      <c r="J3634" s="27"/>
      <c r="K3634" s="27">
        <v>18.670000000000002</v>
      </c>
      <c r="L3634" s="27"/>
    </row>
    <row r="3635" spans="1:12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</row>
    <row r="3636" spans="1:12" ht="15" customHeight="1" x14ac:dyDescent="0.25">
      <c r="A3636" s="3" t="s">
        <v>8</v>
      </c>
      <c r="B3636" s="6" t="s">
        <v>9</v>
      </c>
      <c r="C3636" s="6"/>
      <c r="D3636" s="6"/>
      <c r="E3636" s="6"/>
      <c r="F3636" s="6"/>
      <c r="G3636" s="6"/>
      <c r="H3636" s="6"/>
      <c r="I3636" s="6"/>
      <c r="J3636" s="6"/>
      <c r="K3636" s="6"/>
      <c r="L3636" s="6"/>
    </row>
    <row r="3637" spans="1:12" ht="15" customHeight="1" x14ac:dyDescent="0.25">
      <c r="A3637" s="3" t="s">
        <v>10</v>
      </c>
      <c r="B3637" s="6" t="s">
        <v>469</v>
      </c>
      <c r="C3637" s="6"/>
      <c r="D3637" s="6"/>
      <c r="E3637" s="6"/>
      <c r="F3637" s="6"/>
      <c r="G3637" s="6"/>
      <c r="H3637" s="6"/>
      <c r="I3637" s="6"/>
      <c r="J3637" s="6"/>
      <c r="K3637" s="3" t="s">
        <v>12</v>
      </c>
      <c r="L3637" s="4" t="s">
        <v>84</v>
      </c>
    </row>
    <row r="3638" spans="1:12" ht="15" customHeight="1" x14ac:dyDescent="0.25">
      <c r="A3638" s="3" t="s">
        <v>14</v>
      </c>
      <c r="B3638" s="6" t="s">
        <v>88</v>
      </c>
      <c r="C3638" s="6"/>
      <c r="D3638" s="7" t="s">
        <v>16</v>
      </c>
      <c r="E3638" s="7"/>
      <c r="F3638" s="6" t="str">
        <f>"3F78.000004"</f>
        <v>3F78.000004</v>
      </c>
      <c r="G3638" s="6"/>
      <c r="H3638" s="3" t="s">
        <v>17</v>
      </c>
      <c r="I3638" s="6" t="s">
        <v>89</v>
      </c>
      <c r="J3638" s="6"/>
      <c r="K3638" s="3" t="s">
        <v>19</v>
      </c>
      <c r="L3638" s="5">
        <v>1</v>
      </c>
    </row>
    <row r="3639" spans="1:12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</row>
    <row r="3640" spans="1:12" ht="15" customHeight="1" x14ac:dyDescent="0.25">
      <c r="A3640" s="10" t="s">
        <v>20</v>
      </c>
      <c r="B3640" s="11"/>
      <c r="C3640" s="12"/>
      <c r="D3640" s="8" t="s">
        <v>21</v>
      </c>
      <c r="E3640" s="8" t="s">
        <v>22</v>
      </c>
      <c r="F3640" s="9" t="s">
        <v>23</v>
      </c>
      <c r="G3640" s="9" t="s">
        <v>24</v>
      </c>
      <c r="H3640" s="9" t="s">
        <v>25</v>
      </c>
      <c r="I3640" s="9" t="s">
        <v>26</v>
      </c>
      <c r="J3640" s="9" t="s">
        <v>27</v>
      </c>
      <c r="K3640" s="13" t="s">
        <v>28</v>
      </c>
      <c r="L3640" s="14"/>
    </row>
    <row r="3641" spans="1:12" ht="15" customHeight="1" x14ac:dyDescent="0.25">
      <c r="A3641" s="15" t="s">
        <v>29</v>
      </c>
      <c r="B3641" s="16"/>
      <c r="C3641" s="16"/>
      <c r="D3641" s="16"/>
      <c r="E3641" s="16"/>
      <c r="F3641" s="16"/>
      <c r="G3641" s="16"/>
      <c r="H3641" s="16"/>
      <c r="I3641" s="16"/>
      <c r="J3641" s="17"/>
      <c r="K3641" s="15">
        <v>0</v>
      </c>
      <c r="L3641" s="17"/>
    </row>
    <row r="3642" spans="1:12" x14ac:dyDescent="0.25">
      <c r="A3642" s="18"/>
      <c r="B3642" s="18"/>
      <c r="C3642" s="18"/>
      <c r="D3642" s="18"/>
      <c r="E3642" s="18"/>
      <c r="F3642" s="18"/>
      <c r="G3642" s="18"/>
      <c r="H3642" s="18"/>
      <c r="I3642" s="18"/>
      <c r="J3642" s="18"/>
      <c r="K3642" s="18"/>
      <c r="L3642" s="18"/>
    </row>
    <row r="3643" spans="1:12" ht="15" customHeight="1" x14ac:dyDescent="0.25">
      <c r="A3643" s="10" t="s">
        <v>30</v>
      </c>
      <c r="B3643" s="11"/>
      <c r="C3643" s="12"/>
      <c r="D3643" s="8" t="s">
        <v>21</v>
      </c>
      <c r="E3643" s="8" t="s">
        <v>22</v>
      </c>
      <c r="F3643" s="9" t="s">
        <v>31</v>
      </c>
      <c r="G3643" s="9" t="s">
        <v>32</v>
      </c>
      <c r="H3643" s="9" t="s">
        <v>33</v>
      </c>
      <c r="I3643" s="13" t="s">
        <v>34</v>
      </c>
      <c r="J3643" s="14"/>
      <c r="K3643" s="13" t="s">
        <v>28</v>
      </c>
      <c r="L3643" s="14"/>
    </row>
    <row r="3644" spans="1:12" ht="15" customHeight="1" x14ac:dyDescent="0.25">
      <c r="A3644" s="21" t="s">
        <v>281</v>
      </c>
      <c r="B3644" s="22"/>
      <c r="C3644" s="23"/>
      <c r="D3644" s="19" t="str">
        <f>"010101"</f>
        <v>010101</v>
      </c>
      <c r="E3644" s="19" t="s">
        <v>36</v>
      </c>
      <c r="F3644" s="20">
        <v>8.5299999999999994</v>
      </c>
      <c r="G3644" s="20">
        <v>157.27000000000001</v>
      </c>
      <c r="H3644" s="20">
        <v>21.94</v>
      </c>
      <c r="I3644" s="24">
        <v>0.123277</v>
      </c>
      <c r="J3644" s="25"/>
      <c r="K3644" s="24">
        <v>2.7</v>
      </c>
      <c r="L3644" s="25"/>
    </row>
    <row r="3645" spans="1:12" ht="15" customHeight="1" x14ac:dyDescent="0.25">
      <c r="A3645" s="21" t="s">
        <v>282</v>
      </c>
      <c r="B3645" s="22"/>
      <c r="C3645" s="23"/>
      <c r="D3645" s="19" t="str">
        <f>"010118"</f>
        <v>010118</v>
      </c>
      <c r="E3645" s="19" t="s">
        <v>36</v>
      </c>
      <c r="F3645" s="20">
        <v>10.119999999999999</v>
      </c>
      <c r="G3645" s="20">
        <v>157.27000000000001</v>
      </c>
      <c r="H3645" s="20">
        <v>26.03</v>
      </c>
      <c r="I3645" s="24">
        <v>0.79089399999999999</v>
      </c>
      <c r="J3645" s="25"/>
      <c r="K3645" s="24">
        <v>20.58</v>
      </c>
      <c r="L3645" s="25"/>
    </row>
    <row r="3646" spans="1:12" ht="15" customHeight="1" x14ac:dyDescent="0.25">
      <c r="A3646" s="15" t="s">
        <v>38</v>
      </c>
      <c r="B3646" s="16"/>
      <c r="C3646" s="16"/>
      <c r="D3646" s="16"/>
      <c r="E3646" s="16"/>
      <c r="F3646" s="16"/>
      <c r="G3646" s="16"/>
      <c r="H3646" s="16"/>
      <c r="I3646" s="16"/>
      <c r="J3646" s="17"/>
      <c r="K3646" s="15">
        <v>23.28</v>
      </c>
      <c r="L3646" s="17"/>
    </row>
    <row r="3647" spans="1:12" x14ac:dyDescent="0.25">
      <c r="A3647" s="18"/>
      <c r="B3647" s="18"/>
      <c r="C3647" s="18"/>
      <c r="D3647" s="18"/>
      <c r="E3647" s="18"/>
      <c r="F3647" s="18"/>
      <c r="G3647" s="18"/>
      <c r="H3647" s="18"/>
      <c r="I3647" s="18"/>
      <c r="J3647" s="18"/>
      <c r="K3647" s="18"/>
      <c r="L3647" s="18"/>
    </row>
    <row r="3648" spans="1:12" ht="15" customHeight="1" x14ac:dyDescent="0.25">
      <c r="A3648" s="10" t="s">
        <v>39</v>
      </c>
      <c r="B3648" s="11"/>
      <c r="C3648" s="12"/>
      <c r="D3648" s="8" t="s">
        <v>21</v>
      </c>
      <c r="E3648" s="13" t="s">
        <v>40</v>
      </c>
      <c r="F3648" s="14"/>
      <c r="G3648" s="8" t="s">
        <v>41</v>
      </c>
      <c r="H3648" s="8" t="s">
        <v>42</v>
      </c>
      <c r="I3648" s="8" t="s">
        <v>43</v>
      </c>
      <c r="J3648" s="13" t="s">
        <v>44</v>
      </c>
      <c r="K3648" s="26"/>
      <c r="L3648" s="14"/>
    </row>
    <row r="3649" spans="1:12" ht="15" customHeight="1" x14ac:dyDescent="0.25">
      <c r="A3649" s="15" t="s">
        <v>45</v>
      </c>
      <c r="B3649" s="16"/>
      <c r="C3649" s="16"/>
      <c r="D3649" s="16"/>
      <c r="E3649" s="16"/>
      <c r="F3649" s="16"/>
      <c r="G3649" s="16"/>
      <c r="H3649" s="16"/>
      <c r="I3649" s="16"/>
      <c r="J3649" s="17"/>
      <c r="K3649" s="15">
        <v>0</v>
      </c>
      <c r="L3649" s="17"/>
    </row>
    <row r="3650" spans="1:12" x14ac:dyDescent="0.25">
      <c r="A3650" s="18"/>
      <c r="B3650" s="18"/>
      <c r="C3650" s="18"/>
      <c r="D3650" s="18"/>
      <c r="E3650" s="18"/>
      <c r="F3650" s="18"/>
      <c r="G3650" s="18"/>
      <c r="H3650" s="18"/>
      <c r="I3650" s="18"/>
      <c r="J3650" s="18"/>
      <c r="K3650" s="18"/>
      <c r="L3650" s="18"/>
    </row>
    <row r="3651" spans="1:12" ht="15" customHeight="1" x14ac:dyDescent="0.25">
      <c r="A3651" s="27" t="s">
        <v>46</v>
      </c>
      <c r="B3651" s="27"/>
      <c r="C3651" s="27"/>
      <c r="D3651" s="27"/>
      <c r="E3651" s="27"/>
      <c r="F3651" s="27"/>
      <c r="G3651" s="27"/>
      <c r="H3651" s="27"/>
      <c r="I3651" s="27"/>
      <c r="J3651" s="27"/>
      <c r="K3651" s="27">
        <v>23.28</v>
      </c>
      <c r="L3651" s="27"/>
    </row>
    <row r="3652" spans="1:12" ht="15" customHeight="1" x14ac:dyDescent="0.25">
      <c r="A3652" s="27" t="s">
        <v>47</v>
      </c>
      <c r="B3652" s="27"/>
      <c r="C3652" s="27"/>
      <c r="D3652" s="27"/>
      <c r="E3652" s="27"/>
      <c r="F3652" s="27"/>
      <c r="G3652" s="27"/>
      <c r="H3652" s="27"/>
      <c r="I3652" s="27"/>
      <c r="J3652" s="27"/>
      <c r="K3652" s="27">
        <v>1</v>
      </c>
      <c r="L3652" s="27"/>
    </row>
    <row r="3653" spans="1:12" ht="15" customHeight="1" x14ac:dyDescent="0.25">
      <c r="A3653" s="27" t="s">
        <v>48</v>
      </c>
      <c r="B3653" s="27"/>
      <c r="C3653" s="27"/>
      <c r="D3653" s="27"/>
      <c r="E3653" s="27"/>
      <c r="F3653" s="27"/>
      <c r="G3653" s="27"/>
      <c r="H3653" s="27"/>
      <c r="I3653" s="27"/>
      <c r="J3653" s="27"/>
      <c r="K3653" s="27">
        <v>23.28</v>
      </c>
      <c r="L3653" s="27"/>
    </row>
    <row r="3654" spans="1:12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</row>
    <row r="3655" spans="1:12" ht="15" customHeight="1" x14ac:dyDescent="0.25">
      <c r="A3655" s="10" t="s">
        <v>49</v>
      </c>
      <c r="B3655" s="11"/>
      <c r="C3655" s="11"/>
      <c r="D3655" s="11"/>
      <c r="E3655" s="12"/>
      <c r="F3655" s="8" t="s">
        <v>21</v>
      </c>
      <c r="G3655" s="8" t="s">
        <v>22</v>
      </c>
      <c r="H3655" s="9" t="s">
        <v>44</v>
      </c>
      <c r="I3655" s="13" t="s">
        <v>34</v>
      </c>
      <c r="J3655" s="14"/>
      <c r="K3655" s="13" t="s">
        <v>50</v>
      </c>
      <c r="L3655" s="14"/>
    </row>
    <row r="3656" spans="1:12" ht="15" customHeight="1" x14ac:dyDescent="0.25">
      <c r="A3656" s="15" t="s">
        <v>51</v>
      </c>
      <c r="B3656" s="16"/>
      <c r="C3656" s="16"/>
      <c r="D3656" s="16"/>
      <c r="E3656" s="16"/>
      <c r="F3656" s="16"/>
      <c r="G3656" s="16"/>
      <c r="H3656" s="16"/>
      <c r="I3656" s="16"/>
      <c r="J3656" s="17"/>
      <c r="K3656" s="15">
        <v>0</v>
      </c>
      <c r="L3656" s="17"/>
    </row>
    <row r="3657" spans="1:12" x14ac:dyDescent="0.25">
      <c r="A3657" s="18"/>
      <c r="B3657" s="18"/>
      <c r="C3657" s="18"/>
      <c r="D3657" s="18"/>
      <c r="E3657" s="18"/>
      <c r="F3657" s="18"/>
      <c r="G3657" s="18"/>
      <c r="H3657" s="18"/>
      <c r="I3657" s="18"/>
      <c r="J3657" s="18"/>
      <c r="K3657" s="18"/>
      <c r="L3657" s="18"/>
    </row>
    <row r="3658" spans="1:12" ht="15" customHeight="1" x14ac:dyDescent="0.25">
      <c r="A3658" s="10" t="s">
        <v>52</v>
      </c>
      <c r="B3658" s="11"/>
      <c r="C3658" s="11"/>
      <c r="D3658" s="11"/>
      <c r="E3658" s="12"/>
      <c r="F3658" s="8" t="s">
        <v>21</v>
      </c>
      <c r="G3658" s="8" t="s">
        <v>22</v>
      </c>
      <c r="H3658" s="9" t="s">
        <v>44</v>
      </c>
      <c r="I3658" s="13" t="s">
        <v>34</v>
      </c>
      <c r="J3658" s="14"/>
      <c r="K3658" s="13" t="s">
        <v>50</v>
      </c>
      <c r="L3658" s="14"/>
    </row>
    <row r="3659" spans="1:12" ht="15" customHeight="1" x14ac:dyDescent="0.25">
      <c r="A3659" s="15" t="s">
        <v>53</v>
      </c>
      <c r="B3659" s="16"/>
      <c r="C3659" s="16"/>
      <c r="D3659" s="16"/>
      <c r="E3659" s="16"/>
      <c r="F3659" s="16"/>
      <c r="G3659" s="16"/>
      <c r="H3659" s="16"/>
      <c r="I3659" s="16"/>
      <c r="J3659" s="17"/>
      <c r="K3659" s="15">
        <v>0</v>
      </c>
      <c r="L3659" s="17"/>
    </row>
    <row r="3660" spans="1:12" x14ac:dyDescent="0.25">
      <c r="A3660" s="18"/>
      <c r="B3660" s="18"/>
      <c r="C3660" s="18"/>
      <c r="D3660" s="18"/>
      <c r="E3660" s="18"/>
      <c r="F3660" s="18"/>
      <c r="G3660" s="18"/>
      <c r="H3660" s="18"/>
      <c r="I3660" s="18"/>
      <c r="J3660" s="18"/>
      <c r="K3660" s="18"/>
      <c r="L3660" s="18"/>
    </row>
    <row r="3661" spans="1:12" ht="15" customHeight="1" x14ac:dyDescent="0.25">
      <c r="A3661" s="10" t="s">
        <v>54</v>
      </c>
      <c r="B3661" s="11"/>
      <c r="C3661" s="12"/>
      <c r="D3661" s="8" t="s">
        <v>21</v>
      </c>
      <c r="E3661" s="8" t="s">
        <v>22</v>
      </c>
      <c r="F3661" s="9" t="s">
        <v>55</v>
      </c>
      <c r="G3661" s="8" t="s">
        <v>56</v>
      </c>
      <c r="H3661" s="8" t="s">
        <v>57</v>
      </c>
      <c r="I3661" s="8" t="s">
        <v>58</v>
      </c>
      <c r="J3661" s="9" t="s">
        <v>59</v>
      </c>
      <c r="K3661" s="9" t="s">
        <v>34</v>
      </c>
      <c r="L3661" s="9" t="s">
        <v>50</v>
      </c>
    </row>
    <row r="3662" spans="1:12" ht="15" customHeight="1" x14ac:dyDescent="0.25">
      <c r="A3662" s="15" t="s">
        <v>60</v>
      </c>
      <c r="B3662" s="16"/>
      <c r="C3662" s="16"/>
      <c r="D3662" s="16"/>
      <c r="E3662" s="16"/>
      <c r="F3662" s="16"/>
      <c r="G3662" s="16"/>
      <c r="H3662" s="16"/>
      <c r="I3662" s="16"/>
      <c r="J3662" s="17"/>
      <c r="K3662" s="15">
        <v>0</v>
      </c>
      <c r="L3662" s="17"/>
    </row>
    <row r="3663" spans="1:12" x14ac:dyDescent="0.25">
      <c r="A3663" s="18"/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8"/>
    </row>
    <row r="3664" spans="1:12" ht="15" customHeight="1" x14ac:dyDescent="0.25">
      <c r="A3664" s="27" t="s">
        <v>61</v>
      </c>
      <c r="B3664" s="27"/>
      <c r="C3664" s="27"/>
      <c r="D3664" s="27"/>
      <c r="E3664" s="27"/>
      <c r="F3664" s="27"/>
      <c r="G3664" s="27"/>
      <c r="H3664" s="27"/>
      <c r="I3664" s="27"/>
      <c r="J3664" s="27"/>
      <c r="K3664" s="27">
        <v>23.28</v>
      </c>
      <c r="L3664" s="27"/>
    </row>
    <row r="3665" spans="1:12" ht="15" customHeight="1" x14ac:dyDescent="0.25">
      <c r="A3665" s="27" t="s">
        <v>62</v>
      </c>
      <c r="B3665" s="27"/>
      <c r="C3665" s="27"/>
      <c r="D3665" s="27"/>
      <c r="E3665" s="27"/>
      <c r="F3665" s="27"/>
      <c r="G3665" s="27"/>
      <c r="H3665" s="27"/>
      <c r="I3665" s="27"/>
      <c r="J3665" s="27"/>
      <c r="K3665" s="27">
        <v>7.74</v>
      </c>
      <c r="L3665" s="27"/>
    </row>
    <row r="3666" spans="1:12" ht="15" customHeight="1" x14ac:dyDescent="0.25">
      <c r="A3666" s="27" t="s">
        <v>63</v>
      </c>
      <c r="B3666" s="27"/>
      <c r="C3666" s="27"/>
      <c r="D3666" s="27"/>
      <c r="E3666" s="27"/>
      <c r="F3666" s="27"/>
      <c r="G3666" s="27"/>
      <c r="H3666" s="27"/>
      <c r="I3666" s="27"/>
      <c r="J3666" s="27"/>
      <c r="K3666" s="27">
        <v>31.02</v>
      </c>
      <c r="L3666" s="27"/>
    </row>
    <row r="3667" spans="1:12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</row>
    <row r="3668" spans="1:12" ht="15" customHeight="1" x14ac:dyDescent="0.25">
      <c r="A3668" s="3" t="s">
        <v>8</v>
      </c>
      <c r="B3668" s="6" t="s">
        <v>9</v>
      </c>
      <c r="C3668" s="6"/>
      <c r="D3668" s="6"/>
      <c r="E3668" s="6"/>
      <c r="F3668" s="6"/>
      <c r="G3668" s="6"/>
      <c r="H3668" s="6"/>
      <c r="I3668" s="6"/>
      <c r="J3668" s="6"/>
      <c r="K3668" s="6"/>
      <c r="L3668" s="6"/>
    </row>
    <row r="3669" spans="1:12" ht="30" customHeight="1" x14ac:dyDescent="0.25">
      <c r="A3669" s="3" t="s">
        <v>10</v>
      </c>
      <c r="B3669" s="6" t="s">
        <v>470</v>
      </c>
      <c r="C3669" s="6"/>
      <c r="D3669" s="6"/>
      <c r="E3669" s="6"/>
      <c r="F3669" s="6"/>
      <c r="G3669" s="6"/>
      <c r="H3669" s="6"/>
      <c r="I3669" s="6"/>
      <c r="J3669" s="6"/>
      <c r="K3669" s="3" t="s">
        <v>12</v>
      </c>
      <c r="L3669" s="4" t="s">
        <v>87</v>
      </c>
    </row>
    <row r="3670" spans="1:12" ht="15" customHeight="1" x14ac:dyDescent="0.25">
      <c r="A3670" s="3" t="s">
        <v>14</v>
      </c>
      <c r="B3670" s="6" t="s">
        <v>88</v>
      </c>
      <c r="C3670" s="6"/>
      <c r="D3670" s="7" t="s">
        <v>16</v>
      </c>
      <c r="E3670" s="7"/>
      <c r="F3670" s="6" t="str">
        <f>"2D31.000159"</f>
        <v>2D31.000159</v>
      </c>
      <c r="G3670" s="6"/>
      <c r="H3670" s="3" t="s">
        <v>17</v>
      </c>
      <c r="I3670" s="6" t="s">
        <v>89</v>
      </c>
      <c r="J3670" s="6"/>
      <c r="K3670" s="3" t="s">
        <v>19</v>
      </c>
      <c r="L3670" s="5">
        <v>1</v>
      </c>
    </row>
    <row r="3671" spans="1:12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</row>
    <row r="3672" spans="1:12" ht="15" customHeight="1" x14ac:dyDescent="0.25">
      <c r="A3672" s="10" t="s">
        <v>20</v>
      </c>
      <c r="B3672" s="11"/>
      <c r="C3672" s="12"/>
      <c r="D3672" s="8" t="s">
        <v>21</v>
      </c>
      <c r="E3672" s="8" t="s">
        <v>22</v>
      </c>
      <c r="F3672" s="9" t="s">
        <v>23</v>
      </c>
      <c r="G3672" s="9" t="s">
        <v>24</v>
      </c>
      <c r="H3672" s="9" t="s">
        <v>25</v>
      </c>
      <c r="I3672" s="9" t="s">
        <v>26</v>
      </c>
      <c r="J3672" s="9" t="s">
        <v>27</v>
      </c>
      <c r="K3672" s="13" t="s">
        <v>28</v>
      </c>
      <c r="L3672" s="14"/>
    </row>
    <row r="3673" spans="1:12" ht="15" customHeight="1" x14ac:dyDescent="0.25">
      <c r="A3673" s="15" t="s">
        <v>29</v>
      </c>
      <c r="B3673" s="16"/>
      <c r="C3673" s="16"/>
      <c r="D3673" s="16"/>
      <c r="E3673" s="16"/>
      <c r="F3673" s="16"/>
      <c r="G3673" s="16"/>
      <c r="H3673" s="16"/>
      <c r="I3673" s="16"/>
      <c r="J3673" s="17"/>
      <c r="K3673" s="15">
        <v>0</v>
      </c>
      <c r="L3673" s="17"/>
    </row>
    <row r="3674" spans="1:12" x14ac:dyDescent="0.25">
      <c r="A3674" s="18"/>
      <c r="B3674" s="18"/>
      <c r="C3674" s="18"/>
      <c r="D3674" s="18"/>
      <c r="E3674" s="18"/>
      <c r="F3674" s="18"/>
      <c r="G3674" s="18"/>
      <c r="H3674" s="18"/>
      <c r="I3674" s="18"/>
      <c r="J3674" s="18"/>
      <c r="K3674" s="18"/>
      <c r="L3674" s="18"/>
    </row>
    <row r="3675" spans="1:12" ht="15" customHeight="1" x14ac:dyDescent="0.25">
      <c r="A3675" s="10" t="s">
        <v>30</v>
      </c>
      <c r="B3675" s="11"/>
      <c r="C3675" s="12"/>
      <c r="D3675" s="8" t="s">
        <v>21</v>
      </c>
      <c r="E3675" s="8" t="s">
        <v>22</v>
      </c>
      <c r="F3675" s="9" t="s">
        <v>31</v>
      </c>
      <c r="G3675" s="9" t="s">
        <v>32</v>
      </c>
      <c r="H3675" s="9" t="s">
        <v>33</v>
      </c>
      <c r="I3675" s="13" t="s">
        <v>34</v>
      </c>
      <c r="J3675" s="14"/>
      <c r="K3675" s="13" t="s">
        <v>28</v>
      </c>
      <c r="L3675" s="14"/>
    </row>
    <row r="3676" spans="1:12" ht="15" customHeight="1" x14ac:dyDescent="0.25">
      <c r="A3676" s="15" t="s">
        <v>38</v>
      </c>
      <c r="B3676" s="16"/>
      <c r="C3676" s="16"/>
      <c r="D3676" s="16"/>
      <c r="E3676" s="16"/>
      <c r="F3676" s="16"/>
      <c r="G3676" s="16"/>
      <c r="H3676" s="16"/>
      <c r="I3676" s="16"/>
      <c r="J3676" s="17"/>
      <c r="K3676" s="15">
        <v>0</v>
      </c>
      <c r="L3676" s="17"/>
    </row>
    <row r="3677" spans="1:12" x14ac:dyDescent="0.25">
      <c r="A3677" s="18"/>
      <c r="B3677" s="18"/>
      <c r="C3677" s="18"/>
      <c r="D3677" s="18"/>
      <c r="E3677" s="18"/>
      <c r="F3677" s="18"/>
      <c r="G3677" s="18"/>
      <c r="H3677" s="18"/>
      <c r="I3677" s="18"/>
      <c r="J3677" s="18"/>
      <c r="K3677" s="18"/>
      <c r="L3677" s="18"/>
    </row>
    <row r="3678" spans="1:12" ht="15" customHeight="1" x14ac:dyDescent="0.25">
      <c r="A3678" s="10" t="s">
        <v>39</v>
      </c>
      <c r="B3678" s="11"/>
      <c r="C3678" s="12"/>
      <c r="D3678" s="8" t="s">
        <v>21</v>
      </c>
      <c r="E3678" s="13" t="s">
        <v>40</v>
      </c>
      <c r="F3678" s="14"/>
      <c r="G3678" s="8" t="s">
        <v>41</v>
      </c>
      <c r="H3678" s="8" t="s">
        <v>42</v>
      </c>
      <c r="I3678" s="8" t="s">
        <v>43</v>
      </c>
      <c r="J3678" s="13" t="s">
        <v>44</v>
      </c>
      <c r="K3678" s="26"/>
      <c r="L3678" s="14"/>
    </row>
    <row r="3679" spans="1:12" ht="15" customHeight="1" x14ac:dyDescent="0.25">
      <c r="A3679" s="15" t="s">
        <v>45</v>
      </c>
      <c r="B3679" s="16"/>
      <c r="C3679" s="16"/>
      <c r="D3679" s="16"/>
      <c r="E3679" s="16"/>
      <c r="F3679" s="16"/>
      <c r="G3679" s="16"/>
      <c r="H3679" s="16"/>
      <c r="I3679" s="16"/>
      <c r="J3679" s="17"/>
      <c r="K3679" s="15">
        <v>0</v>
      </c>
      <c r="L3679" s="17"/>
    </row>
    <row r="3680" spans="1:12" x14ac:dyDescent="0.25">
      <c r="A3680" s="18"/>
      <c r="B3680" s="18"/>
      <c r="C3680" s="18"/>
      <c r="D3680" s="18"/>
      <c r="E3680" s="18"/>
      <c r="F3680" s="18"/>
      <c r="G3680" s="18"/>
      <c r="H3680" s="18"/>
      <c r="I3680" s="18"/>
      <c r="J3680" s="18"/>
      <c r="K3680" s="18"/>
      <c r="L3680" s="18"/>
    </row>
    <row r="3681" spans="1:12" ht="15" customHeight="1" x14ac:dyDescent="0.25">
      <c r="A3681" s="27" t="s">
        <v>46</v>
      </c>
      <c r="B3681" s="27"/>
      <c r="C3681" s="27"/>
      <c r="D3681" s="27"/>
      <c r="E3681" s="27"/>
      <c r="F3681" s="27"/>
      <c r="G3681" s="27"/>
      <c r="H3681" s="27"/>
      <c r="I3681" s="27"/>
      <c r="J3681" s="27"/>
      <c r="K3681" s="27">
        <v>0</v>
      </c>
      <c r="L3681" s="27"/>
    </row>
    <row r="3682" spans="1:12" ht="15" customHeight="1" x14ac:dyDescent="0.25">
      <c r="A3682" s="27" t="s">
        <v>47</v>
      </c>
      <c r="B3682" s="27"/>
      <c r="C3682" s="27"/>
      <c r="D3682" s="27"/>
      <c r="E3682" s="27"/>
      <c r="F3682" s="27"/>
      <c r="G3682" s="27"/>
      <c r="H3682" s="27"/>
      <c r="I3682" s="27"/>
      <c r="J3682" s="27"/>
      <c r="K3682" s="27">
        <v>1</v>
      </c>
      <c r="L3682" s="27"/>
    </row>
    <row r="3683" spans="1:12" ht="15" customHeight="1" x14ac:dyDescent="0.25">
      <c r="A3683" s="27" t="s">
        <v>48</v>
      </c>
      <c r="B3683" s="27"/>
      <c r="C3683" s="27"/>
      <c r="D3683" s="27"/>
      <c r="E3683" s="27"/>
      <c r="F3683" s="27"/>
      <c r="G3683" s="27"/>
      <c r="H3683" s="27"/>
      <c r="I3683" s="27"/>
      <c r="J3683" s="27"/>
      <c r="K3683" s="27">
        <v>0</v>
      </c>
      <c r="L3683" s="27"/>
    </row>
    <row r="3684" spans="1:12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</row>
    <row r="3685" spans="1:12" ht="15" customHeight="1" x14ac:dyDescent="0.25">
      <c r="A3685" s="10" t="s">
        <v>49</v>
      </c>
      <c r="B3685" s="11"/>
      <c r="C3685" s="11"/>
      <c r="D3685" s="11"/>
      <c r="E3685" s="12"/>
      <c r="F3685" s="8" t="s">
        <v>21</v>
      </c>
      <c r="G3685" s="8" t="s">
        <v>22</v>
      </c>
      <c r="H3685" s="9" t="s">
        <v>44</v>
      </c>
      <c r="I3685" s="13" t="s">
        <v>34</v>
      </c>
      <c r="J3685" s="14"/>
      <c r="K3685" s="13" t="s">
        <v>50</v>
      </c>
      <c r="L3685" s="14"/>
    </row>
    <row r="3686" spans="1:12" ht="15" customHeight="1" x14ac:dyDescent="0.25">
      <c r="A3686" s="15" t="s">
        <v>51</v>
      </c>
      <c r="B3686" s="16"/>
      <c r="C3686" s="16"/>
      <c r="D3686" s="16"/>
      <c r="E3686" s="16"/>
      <c r="F3686" s="16"/>
      <c r="G3686" s="16"/>
      <c r="H3686" s="16"/>
      <c r="I3686" s="16"/>
      <c r="J3686" s="17"/>
      <c r="K3686" s="15">
        <v>0</v>
      </c>
      <c r="L3686" s="17"/>
    </row>
    <row r="3687" spans="1:12" x14ac:dyDescent="0.25">
      <c r="A3687" s="18"/>
      <c r="B3687" s="18"/>
      <c r="C3687" s="18"/>
      <c r="D3687" s="18"/>
      <c r="E3687" s="18"/>
      <c r="F3687" s="18"/>
      <c r="G3687" s="18"/>
      <c r="H3687" s="18"/>
      <c r="I3687" s="18"/>
      <c r="J3687" s="18"/>
      <c r="K3687" s="18"/>
      <c r="L3687" s="18"/>
    </row>
    <row r="3688" spans="1:12" ht="15" customHeight="1" x14ac:dyDescent="0.25">
      <c r="A3688" s="10" t="s">
        <v>52</v>
      </c>
      <c r="B3688" s="11"/>
      <c r="C3688" s="11"/>
      <c r="D3688" s="11"/>
      <c r="E3688" s="12"/>
      <c r="F3688" s="8" t="s">
        <v>21</v>
      </c>
      <c r="G3688" s="8" t="s">
        <v>22</v>
      </c>
      <c r="H3688" s="9" t="s">
        <v>44</v>
      </c>
      <c r="I3688" s="13" t="s">
        <v>34</v>
      </c>
      <c r="J3688" s="14"/>
      <c r="K3688" s="13" t="s">
        <v>50</v>
      </c>
      <c r="L3688" s="14"/>
    </row>
    <row r="3689" spans="1:12" ht="15" customHeight="1" x14ac:dyDescent="0.25">
      <c r="A3689" s="21" t="s">
        <v>471</v>
      </c>
      <c r="B3689" s="22"/>
      <c r="C3689" s="22"/>
      <c r="D3689" s="22"/>
      <c r="E3689" s="23"/>
      <c r="F3689" s="19" t="s">
        <v>472</v>
      </c>
      <c r="G3689" s="19" t="s">
        <v>87</v>
      </c>
      <c r="H3689" s="20">
        <v>1</v>
      </c>
      <c r="I3689" s="24">
        <v>18.93</v>
      </c>
      <c r="J3689" s="25"/>
      <c r="K3689" s="24">
        <v>18.93</v>
      </c>
      <c r="L3689" s="25"/>
    </row>
    <row r="3690" spans="1:12" ht="15" customHeight="1" x14ac:dyDescent="0.25">
      <c r="A3690" s="15" t="s">
        <v>53</v>
      </c>
      <c r="B3690" s="16"/>
      <c r="C3690" s="16"/>
      <c r="D3690" s="16"/>
      <c r="E3690" s="16"/>
      <c r="F3690" s="16"/>
      <c r="G3690" s="16"/>
      <c r="H3690" s="16"/>
      <c r="I3690" s="16"/>
      <c r="J3690" s="17"/>
      <c r="K3690" s="15">
        <v>18.93</v>
      </c>
      <c r="L3690" s="17"/>
    </row>
    <row r="3691" spans="1:12" x14ac:dyDescent="0.25">
      <c r="A3691" s="18"/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8"/>
    </row>
    <row r="3692" spans="1:12" ht="15" customHeight="1" x14ac:dyDescent="0.25">
      <c r="A3692" s="10" t="s">
        <v>54</v>
      </c>
      <c r="B3692" s="11"/>
      <c r="C3692" s="12"/>
      <c r="D3692" s="8" t="s">
        <v>21</v>
      </c>
      <c r="E3692" s="8" t="s">
        <v>22</v>
      </c>
      <c r="F3692" s="9" t="s">
        <v>55</v>
      </c>
      <c r="G3692" s="8" t="s">
        <v>56</v>
      </c>
      <c r="H3692" s="8" t="s">
        <v>57</v>
      </c>
      <c r="I3692" s="8" t="s">
        <v>58</v>
      </c>
      <c r="J3692" s="9" t="s">
        <v>59</v>
      </c>
      <c r="K3692" s="9" t="s">
        <v>34</v>
      </c>
      <c r="L3692" s="9" t="s">
        <v>50</v>
      </c>
    </row>
    <row r="3693" spans="1:12" ht="15" customHeight="1" x14ac:dyDescent="0.25">
      <c r="A3693" s="15" t="s">
        <v>60</v>
      </c>
      <c r="B3693" s="16"/>
      <c r="C3693" s="16"/>
      <c r="D3693" s="16"/>
      <c r="E3693" s="16"/>
      <c r="F3693" s="16"/>
      <c r="G3693" s="16"/>
      <c r="H3693" s="16"/>
      <c r="I3693" s="16"/>
      <c r="J3693" s="17"/>
      <c r="K3693" s="15">
        <v>0</v>
      </c>
      <c r="L3693" s="17"/>
    </row>
    <row r="3694" spans="1:12" x14ac:dyDescent="0.25">
      <c r="A3694" s="18"/>
      <c r="B3694" s="18"/>
      <c r="C3694" s="18"/>
      <c r="D3694" s="18"/>
      <c r="E3694" s="18"/>
      <c r="F3694" s="18"/>
      <c r="G3694" s="18"/>
      <c r="H3694" s="18"/>
      <c r="I3694" s="18"/>
      <c r="J3694" s="18"/>
      <c r="K3694" s="18"/>
      <c r="L3694" s="18"/>
    </row>
    <row r="3695" spans="1:12" ht="15" customHeight="1" x14ac:dyDescent="0.25">
      <c r="A3695" s="27" t="s">
        <v>61</v>
      </c>
      <c r="B3695" s="27"/>
      <c r="C3695" s="27"/>
      <c r="D3695" s="27"/>
      <c r="E3695" s="27"/>
      <c r="F3695" s="27"/>
      <c r="G3695" s="27"/>
      <c r="H3695" s="27"/>
      <c r="I3695" s="27"/>
      <c r="J3695" s="27"/>
      <c r="K3695" s="27">
        <v>18.93</v>
      </c>
      <c r="L3695" s="27"/>
    </row>
    <row r="3696" spans="1:12" ht="15" customHeight="1" x14ac:dyDescent="0.25">
      <c r="A3696" s="27" t="s">
        <v>62</v>
      </c>
      <c r="B3696" s="27"/>
      <c r="C3696" s="27"/>
      <c r="D3696" s="27"/>
      <c r="E3696" s="27"/>
      <c r="F3696" s="27"/>
      <c r="G3696" s="27"/>
      <c r="H3696" s="27"/>
      <c r="I3696" s="27"/>
      <c r="J3696" s="27"/>
      <c r="K3696" s="27">
        <v>6.29</v>
      </c>
      <c r="L3696" s="27"/>
    </row>
    <row r="3697" spans="1:12" ht="15" customHeight="1" x14ac:dyDescent="0.25">
      <c r="A3697" s="27" t="s">
        <v>63</v>
      </c>
      <c r="B3697" s="27"/>
      <c r="C3697" s="27"/>
      <c r="D3697" s="27"/>
      <c r="E3697" s="27"/>
      <c r="F3697" s="27"/>
      <c r="G3697" s="27"/>
      <c r="H3697" s="27"/>
      <c r="I3697" s="27"/>
      <c r="J3697" s="27"/>
      <c r="K3697" s="27">
        <v>25.22</v>
      </c>
      <c r="L3697" s="27"/>
    </row>
    <row r="3698" spans="1:12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</row>
    <row r="3699" spans="1:12" ht="15" customHeight="1" x14ac:dyDescent="0.25">
      <c r="A3699" s="3" t="s">
        <v>8</v>
      </c>
      <c r="B3699" s="6" t="s">
        <v>9</v>
      </c>
      <c r="C3699" s="6"/>
      <c r="D3699" s="6"/>
      <c r="E3699" s="6"/>
      <c r="F3699" s="6"/>
      <c r="G3699" s="6"/>
      <c r="H3699" s="6"/>
      <c r="I3699" s="6"/>
      <c r="J3699" s="6"/>
      <c r="K3699" s="6"/>
      <c r="L3699" s="6"/>
    </row>
    <row r="3700" spans="1:12" ht="30" customHeight="1" x14ac:dyDescent="0.25">
      <c r="A3700" s="3" t="s">
        <v>10</v>
      </c>
      <c r="B3700" s="6" t="s">
        <v>473</v>
      </c>
      <c r="C3700" s="6"/>
      <c r="D3700" s="6"/>
      <c r="E3700" s="6"/>
      <c r="F3700" s="6"/>
      <c r="G3700" s="6"/>
      <c r="H3700" s="6"/>
      <c r="I3700" s="6"/>
      <c r="J3700" s="6"/>
      <c r="K3700" s="3" t="s">
        <v>12</v>
      </c>
      <c r="L3700" s="4" t="s">
        <v>87</v>
      </c>
    </row>
    <row r="3701" spans="1:12" ht="15" customHeight="1" x14ac:dyDescent="0.25">
      <c r="A3701" s="3" t="s">
        <v>14</v>
      </c>
      <c r="B3701" s="6" t="s">
        <v>88</v>
      </c>
      <c r="C3701" s="6"/>
      <c r="D3701" s="7" t="s">
        <v>16</v>
      </c>
      <c r="E3701" s="7"/>
      <c r="F3701" s="6" t="str">
        <f>"4079.000088"</f>
        <v>4079.000088</v>
      </c>
      <c r="G3701" s="6"/>
      <c r="H3701" s="3" t="s">
        <v>17</v>
      </c>
      <c r="I3701" s="6" t="s">
        <v>89</v>
      </c>
      <c r="J3701" s="6"/>
      <c r="K3701" s="3" t="s">
        <v>19</v>
      </c>
      <c r="L3701" s="5">
        <v>1</v>
      </c>
    </row>
    <row r="3702" spans="1:12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</row>
    <row r="3703" spans="1:12" ht="15" customHeight="1" x14ac:dyDescent="0.25">
      <c r="A3703" s="10" t="s">
        <v>20</v>
      </c>
      <c r="B3703" s="11"/>
      <c r="C3703" s="12"/>
      <c r="D3703" s="8" t="s">
        <v>21</v>
      </c>
      <c r="E3703" s="8" t="s">
        <v>22</v>
      </c>
      <c r="F3703" s="9" t="s">
        <v>23</v>
      </c>
      <c r="G3703" s="9" t="s">
        <v>24</v>
      </c>
      <c r="H3703" s="9" t="s">
        <v>25</v>
      </c>
      <c r="I3703" s="9" t="s">
        <v>26</v>
      </c>
      <c r="J3703" s="9" t="s">
        <v>27</v>
      </c>
      <c r="K3703" s="13" t="s">
        <v>28</v>
      </c>
      <c r="L3703" s="14"/>
    </row>
    <row r="3704" spans="1:12" ht="15" customHeight="1" x14ac:dyDescent="0.25">
      <c r="A3704" s="15" t="s">
        <v>29</v>
      </c>
      <c r="B3704" s="16"/>
      <c r="C3704" s="16"/>
      <c r="D3704" s="16"/>
      <c r="E3704" s="16"/>
      <c r="F3704" s="16"/>
      <c r="G3704" s="16"/>
      <c r="H3704" s="16"/>
      <c r="I3704" s="16"/>
      <c r="J3704" s="17"/>
      <c r="K3704" s="15">
        <v>0</v>
      </c>
      <c r="L3704" s="17"/>
    </row>
    <row r="3705" spans="1:12" x14ac:dyDescent="0.25">
      <c r="A3705" s="18"/>
      <c r="B3705" s="18"/>
      <c r="C3705" s="18"/>
      <c r="D3705" s="18"/>
      <c r="E3705" s="18"/>
      <c r="F3705" s="18"/>
      <c r="G3705" s="18"/>
      <c r="H3705" s="18"/>
      <c r="I3705" s="18"/>
      <c r="J3705" s="18"/>
      <c r="K3705" s="18"/>
      <c r="L3705" s="18"/>
    </row>
    <row r="3706" spans="1:12" ht="15" customHeight="1" x14ac:dyDescent="0.25">
      <c r="A3706" s="10" t="s">
        <v>30</v>
      </c>
      <c r="B3706" s="11"/>
      <c r="C3706" s="12"/>
      <c r="D3706" s="8" t="s">
        <v>21</v>
      </c>
      <c r="E3706" s="8" t="s">
        <v>22</v>
      </c>
      <c r="F3706" s="9" t="s">
        <v>31</v>
      </c>
      <c r="G3706" s="9" t="s">
        <v>32</v>
      </c>
      <c r="H3706" s="9" t="s">
        <v>33</v>
      </c>
      <c r="I3706" s="13" t="s">
        <v>34</v>
      </c>
      <c r="J3706" s="14"/>
      <c r="K3706" s="13" t="s">
        <v>28</v>
      </c>
      <c r="L3706" s="14"/>
    </row>
    <row r="3707" spans="1:12" ht="15" customHeight="1" x14ac:dyDescent="0.25">
      <c r="A3707" s="15" t="s">
        <v>38</v>
      </c>
      <c r="B3707" s="16"/>
      <c r="C3707" s="16"/>
      <c r="D3707" s="16"/>
      <c r="E3707" s="16"/>
      <c r="F3707" s="16"/>
      <c r="G3707" s="16"/>
      <c r="H3707" s="16"/>
      <c r="I3707" s="16"/>
      <c r="J3707" s="17"/>
      <c r="K3707" s="15">
        <v>0</v>
      </c>
      <c r="L3707" s="17"/>
    </row>
    <row r="3708" spans="1:12" x14ac:dyDescent="0.25">
      <c r="A3708" s="18"/>
      <c r="B3708" s="18"/>
      <c r="C3708" s="18"/>
      <c r="D3708" s="18"/>
      <c r="E3708" s="18"/>
      <c r="F3708" s="18"/>
      <c r="G3708" s="18"/>
      <c r="H3708" s="18"/>
      <c r="I3708" s="18"/>
      <c r="J3708" s="18"/>
      <c r="K3708" s="18"/>
      <c r="L3708" s="18"/>
    </row>
    <row r="3709" spans="1:12" ht="15" customHeight="1" x14ac:dyDescent="0.25">
      <c r="A3709" s="10" t="s">
        <v>39</v>
      </c>
      <c r="B3709" s="11"/>
      <c r="C3709" s="12"/>
      <c r="D3709" s="8" t="s">
        <v>21</v>
      </c>
      <c r="E3709" s="13" t="s">
        <v>40</v>
      </c>
      <c r="F3709" s="14"/>
      <c r="G3709" s="8" t="s">
        <v>41</v>
      </c>
      <c r="H3709" s="8" t="s">
        <v>42</v>
      </c>
      <c r="I3709" s="8" t="s">
        <v>43</v>
      </c>
      <c r="J3709" s="13" t="s">
        <v>44</v>
      </c>
      <c r="K3709" s="26"/>
      <c r="L3709" s="14"/>
    </row>
    <row r="3710" spans="1:12" ht="15" customHeight="1" x14ac:dyDescent="0.25">
      <c r="A3710" s="15" t="s">
        <v>45</v>
      </c>
      <c r="B3710" s="16"/>
      <c r="C3710" s="16"/>
      <c r="D3710" s="16"/>
      <c r="E3710" s="16"/>
      <c r="F3710" s="16"/>
      <c r="G3710" s="16"/>
      <c r="H3710" s="16"/>
      <c r="I3710" s="16"/>
      <c r="J3710" s="17"/>
      <c r="K3710" s="15">
        <v>0</v>
      </c>
      <c r="L3710" s="17"/>
    </row>
    <row r="3711" spans="1:12" x14ac:dyDescent="0.25">
      <c r="A3711" s="18"/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8"/>
    </row>
    <row r="3712" spans="1:12" ht="15" customHeight="1" x14ac:dyDescent="0.25">
      <c r="A3712" s="27" t="s">
        <v>46</v>
      </c>
      <c r="B3712" s="27"/>
      <c r="C3712" s="27"/>
      <c r="D3712" s="27"/>
      <c r="E3712" s="27"/>
      <c r="F3712" s="27"/>
      <c r="G3712" s="27"/>
      <c r="H3712" s="27"/>
      <c r="I3712" s="27"/>
      <c r="J3712" s="27"/>
      <c r="K3712" s="27">
        <v>0</v>
      </c>
      <c r="L3712" s="27"/>
    </row>
    <row r="3713" spans="1:12" ht="15" customHeight="1" x14ac:dyDescent="0.25">
      <c r="A3713" s="27" t="s">
        <v>47</v>
      </c>
      <c r="B3713" s="27"/>
      <c r="C3713" s="27"/>
      <c r="D3713" s="27"/>
      <c r="E3713" s="27"/>
      <c r="F3713" s="27"/>
      <c r="G3713" s="27"/>
      <c r="H3713" s="27"/>
      <c r="I3713" s="27"/>
      <c r="J3713" s="27"/>
      <c r="K3713" s="27">
        <v>1</v>
      </c>
      <c r="L3713" s="27"/>
    </row>
    <row r="3714" spans="1:12" ht="15" customHeight="1" x14ac:dyDescent="0.25">
      <c r="A3714" s="27" t="s">
        <v>48</v>
      </c>
      <c r="B3714" s="27"/>
      <c r="C3714" s="27"/>
      <c r="D3714" s="27"/>
      <c r="E3714" s="27"/>
      <c r="F3714" s="27"/>
      <c r="G3714" s="27"/>
      <c r="H3714" s="27"/>
      <c r="I3714" s="27"/>
      <c r="J3714" s="27"/>
      <c r="K3714" s="27">
        <v>0</v>
      </c>
      <c r="L3714" s="27"/>
    </row>
    <row r="3715" spans="1:12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</row>
    <row r="3716" spans="1:12" ht="15" customHeight="1" x14ac:dyDescent="0.25">
      <c r="A3716" s="10" t="s">
        <v>49</v>
      </c>
      <c r="B3716" s="11"/>
      <c r="C3716" s="11"/>
      <c r="D3716" s="11"/>
      <c r="E3716" s="12"/>
      <c r="F3716" s="8" t="s">
        <v>21</v>
      </c>
      <c r="G3716" s="8" t="s">
        <v>22</v>
      </c>
      <c r="H3716" s="9" t="s">
        <v>44</v>
      </c>
      <c r="I3716" s="13" t="s">
        <v>34</v>
      </c>
      <c r="J3716" s="14"/>
      <c r="K3716" s="13" t="s">
        <v>50</v>
      </c>
      <c r="L3716" s="14"/>
    </row>
    <row r="3717" spans="1:12" ht="15" customHeight="1" x14ac:dyDescent="0.25">
      <c r="A3717" s="15" t="s">
        <v>51</v>
      </c>
      <c r="B3717" s="16"/>
      <c r="C3717" s="16"/>
      <c r="D3717" s="16"/>
      <c r="E3717" s="16"/>
      <c r="F3717" s="16"/>
      <c r="G3717" s="16"/>
      <c r="H3717" s="16"/>
      <c r="I3717" s="16"/>
      <c r="J3717" s="17"/>
      <c r="K3717" s="15">
        <v>0</v>
      </c>
      <c r="L3717" s="17"/>
    </row>
    <row r="3718" spans="1:12" x14ac:dyDescent="0.25">
      <c r="A3718" s="18"/>
      <c r="B3718" s="18"/>
      <c r="C3718" s="18"/>
      <c r="D3718" s="18"/>
      <c r="E3718" s="18"/>
      <c r="F3718" s="18"/>
      <c r="G3718" s="18"/>
      <c r="H3718" s="18"/>
      <c r="I3718" s="18"/>
      <c r="J3718" s="18"/>
      <c r="K3718" s="18"/>
      <c r="L3718" s="18"/>
    </row>
    <row r="3719" spans="1:12" ht="15" customHeight="1" x14ac:dyDescent="0.25">
      <c r="A3719" s="10" t="s">
        <v>52</v>
      </c>
      <c r="B3719" s="11"/>
      <c r="C3719" s="11"/>
      <c r="D3719" s="11"/>
      <c r="E3719" s="12"/>
      <c r="F3719" s="8" t="s">
        <v>21</v>
      </c>
      <c r="G3719" s="8" t="s">
        <v>22</v>
      </c>
      <c r="H3719" s="9" t="s">
        <v>44</v>
      </c>
      <c r="I3719" s="13" t="s">
        <v>34</v>
      </c>
      <c r="J3719" s="14"/>
      <c r="K3719" s="13" t="s">
        <v>50</v>
      </c>
      <c r="L3719" s="14"/>
    </row>
    <row r="3720" spans="1:12" ht="15" customHeight="1" x14ac:dyDescent="0.25">
      <c r="A3720" s="21" t="s">
        <v>474</v>
      </c>
      <c r="B3720" s="22"/>
      <c r="C3720" s="22"/>
      <c r="D3720" s="22"/>
      <c r="E3720" s="23"/>
      <c r="F3720" s="19" t="s">
        <v>475</v>
      </c>
      <c r="G3720" s="19" t="s">
        <v>87</v>
      </c>
      <c r="H3720" s="20">
        <v>1</v>
      </c>
      <c r="I3720" s="24">
        <v>20.34</v>
      </c>
      <c r="J3720" s="25"/>
      <c r="K3720" s="24">
        <v>20.34</v>
      </c>
      <c r="L3720" s="25"/>
    </row>
    <row r="3721" spans="1:12" ht="15" customHeight="1" x14ac:dyDescent="0.25">
      <c r="A3721" s="15" t="s">
        <v>53</v>
      </c>
      <c r="B3721" s="16"/>
      <c r="C3721" s="16"/>
      <c r="D3721" s="16"/>
      <c r="E3721" s="16"/>
      <c r="F3721" s="16"/>
      <c r="G3721" s="16"/>
      <c r="H3721" s="16"/>
      <c r="I3721" s="16"/>
      <c r="J3721" s="17"/>
      <c r="K3721" s="15">
        <v>20.34</v>
      </c>
      <c r="L3721" s="17"/>
    </row>
    <row r="3722" spans="1:12" x14ac:dyDescent="0.25">
      <c r="A3722" s="18"/>
      <c r="B3722" s="18"/>
      <c r="C3722" s="18"/>
      <c r="D3722" s="18"/>
      <c r="E3722" s="18"/>
      <c r="F3722" s="18"/>
      <c r="G3722" s="18"/>
      <c r="H3722" s="18"/>
      <c r="I3722" s="18"/>
      <c r="J3722" s="18"/>
      <c r="K3722" s="18"/>
      <c r="L3722" s="18"/>
    </row>
    <row r="3723" spans="1:12" ht="15" customHeight="1" x14ac:dyDescent="0.25">
      <c r="A3723" s="10" t="s">
        <v>54</v>
      </c>
      <c r="B3723" s="11"/>
      <c r="C3723" s="12"/>
      <c r="D3723" s="8" t="s">
        <v>21</v>
      </c>
      <c r="E3723" s="8" t="s">
        <v>22</v>
      </c>
      <c r="F3723" s="9" t="s">
        <v>55</v>
      </c>
      <c r="G3723" s="8" t="s">
        <v>56</v>
      </c>
      <c r="H3723" s="8" t="s">
        <v>57</v>
      </c>
      <c r="I3723" s="8" t="s">
        <v>58</v>
      </c>
      <c r="J3723" s="9" t="s">
        <v>59</v>
      </c>
      <c r="K3723" s="9" t="s">
        <v>34</v>
      </c>
      <c r="L3723" s="9" t="s">
        <v>50</v>
      </c>
    </row>
    <row r="3724" spans="1:12" ht="15" customHeight="1" x14ac:dyDescent="0.25">
      <c r="A3724" s="15" t="s">
        <v>60</v>
      </c>
      <c r="B3724" s="16"/>
      <c r="C3724" s="16"/>
      <c r="D3724" s="16"/>
      <c r="E3724" s="16"/>
      <c r="F3724" s="16"/>
      <c r="G3724" s="16"/>
      <c r="H3724" s="16"/>
      <c r="I3724" s="16"/>
      <c r="J3724" s="17"/>
      <c r="K3724" s="15">
        <v>0</v>
      </c>
      <c r="L3724" s="17"/>
    </row>
    <row r="3725" spans="1:12" x14ac:dyDescent="0.25">
      <c r="A3725" s="18"/>
      <c r="B3725" s="18"/>
      <c r="C3725" s="18"/>
      <c r="D3725" s="18"/>
      <c r="E3725" s="18"/>
      <c r="F3725" s="18"/>
      <c r="G3725" s="18"/>
      <c r="H3725" s="18"/>
      <c r="I3725" s="18"/>
      <c r="J3725" s="18"/>
      <c r="K3725" s="18"/>
      <c r="L3725" s="18"/>
    </row>
    <row r="3726" spans="1:12" ht="15" customHeight="1" x14ac:dyDescent="0.25">
      <c r="A3726" s="27" t="s">
        <v>61</v>
      </c>
      <c r="B3726" s="27"/>
      <c r="C3726" s="27"/>
      <c r="D3726" s="27"/>
      <c r="E3726" s="27"/>
      <c r="F3726" s="27"/>
      <c r="G3726" s="27"/>
      <c r="H3726" s="27"/>
      <c r="I3726" s="27"/>
      <c r="J3726" s="27"/>
      <c r="K3726" s="27">
        <v>20.34</v>
      </c>
      <c r="L3726" s="27"/>
    </row>
    <row r="3727" spans="1:12" ht="15" customHeight="1" x14ac:dyDescent="0.25">
      <c r="A3727" s="27" t="s">
        <v>62</v>
      </c>
      <c r="B3727" s="27"/>
      <c r="C3727" s="27"/>
      <c r="D3727" s="27"/>
      <c r="E3727" s="27"/>
      <c r="F3727" s="27"/>
      <c r="G3727" s="27"/>
      <c r="H3727" s="27"/>
      <c r="I3727" s="27"/>
      <c r="J3727" s="27"/>
      <c r="K3727" s="27">
        <v>6.76</v>
      </c>
      <c r="L3727" s="27"/>
    </row>
    <row r="3728" spans="1:12" ht="15" customHeight="1" x14ac:dyDescent="0.25">
      <c r="A3728" s="27" t="s">
        <v>63</v>
      </c>
      <c r="B3728" s="27"/>
      <c r="C3728" s="27"/>
      <c r="D3728" s="27"/>
      <c r="E3728" s="27"/>
      <c r="F3728" s="27"/>
      <c r="G3728" s="27"/>
      <c r="H3728" s="27"/>
      <c r="I3728" s="27"/>
      <c r="J3728" s="27"/>
      <c r="K3728" s="27">
        <v>27.1</v>
      </c>
      <c r="L3728" s="27"/>
    </row>
    <row r="3729" spans="1:12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</row>
    <row r="3730" spans="1:12" ht="15" customHeight="1" x14ac:dyDescent="0.25">
      <c r="A3730" s="3" t="s">
        <v>8</v>
      </c>
      <c r="B3730" s="6" t="s">
        <v>9</v>
      </c>
      <c r="C3730" s="6"/>
      <c r="D3730" s="6"/>
      <c r="E3730" s="6"/>
      <c r="F3730" s="6"/>
      <c r="G3730" s="6"/>
      <c r="H3730" s="6"/>
      <c r="I3730" s="6"/>
      <c r="J3730" s="6"/>
      <c r="K3730" s="6"/>
      <c r="L3730" s="6"/>
    </row>
    <row r="3731" spans="1:12" ht="30" customHeight="1" x14ac:dyDescent="0.25">
      <c r="A3731" s="3" t="s">
        <v>10</v>
      </c>
      <c r="B3731" s="6" t="s">
        <v>476</v>
      </c>
      <c r="C3731" s="6"/>
      <c r="D3731" s="6"/>
      <c r="E3731" s="6"/>
      <c r="F3731" s="6"/>
      <c r="G3731" s="6"/>
      <c r="H3731" s="6"/>
      <c r="I3731" s="6"/>
      <c r="J3731" s="6"/>
      <c r="K3731" s="3" t="s">
        <v>12</v>
      </c>
      <c r="L3731" s="4" t="s">
        <v>87</v>
      </c>
    </row>
    <row r="3732" spans="1:12" ht="15" customHeight="1" x14ac:dyDescent="0.25">
      <c r="A3732" s="3" t="s">
        <v>14</v>
      </c>
      <c r="B3732" s="6" t="s">
        <v>88</v>
      </c>
      <c r="C3732" s="6"/>
      <c r="D3732" s="7" t="s">
        <v>16</v>
      </c>
      <c r="E3732" s="7"/>
      <c r="F3732" s="6" t="str">
        <f>"3FC4.000222"</f>
        <v>3FC4.000222</v>
      </c>
      <c r="G3732" s="6"/>
      <c r="H3732" s="3" t="s">
        <v>17</v>
      </c>
      <c r="I3732" s="6" t="s">
        <v>89</v>
      </c>
      <c r="J3732" s="6"/>
      <c r="K3732" s="3" t="s">
        <v>19</v>
      </c>
      <c r="L3732" s="5">
        <v>1</v>
      </c>
    </row>
    <row r="3733" spans="1:12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</row>
    <row r="3734" spans="1:12" ht="15" customHeight="1" x14ac:dyDescent="0.25">
      <c r="A3734" s="10" t="s">
        <v>20</v>
      </c>
      <c r="B3734" s="11"/>
      <c r="C3734" s="12"/>
      <c r="D3734" s="8" t="s">
        <v>21</v>
      </c>
      <c r="E3734" s="8" t="s">
        <v>22</v>
      </c>
      <c r="F3734" s="9" t="s">
        <v>23</v>
      </c>
      <c r="G3734" s="9" t="s">
        <v>24</v>
      </c>
      <c r="H3734" s="9" t="s">
        <v>25</v>
      </c>
      <c r="I3734" s="9" t="s">
        <v>26</v>
      </c>
      <c r="J3734" s="9" t="s">
        <v>27</v>
      </c>
      <c r="K3734" s="13" t="s">
        <v>28</v>
      </c>
      <c r="L3734" s="14"/>
    </row>
    <row r="3735" spans="1:12" ht="15" customHeight="1" x14ac:dyDescent="0.25">
      <c r="A3735" s="15" t="s">
        <v>29</v>
      </c>
      <c r="B3735" s="16"/>
      <c r="C3735" s="16"/>
      <c r="D3735" s="16"/>
      <c r="E3735" s="16"/>
      <c r="F3735" s="16"/>
      <c r="G3735" s="16"/>
      <c r="H3735" s="16"/>
      <c r="I3735" s="16"/>
      <c r="J3735" s="17"/>
      <c r="K3735" s="15">
        <v>0</v>
      </c>
      <c r="L3735" s="17"/>
    </row>
    <row r="3736" spans="1:12" x14ac:dyDescent="0.25">
      <c r="A3736" s="18"/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8"/>
    </row>
    <row r="3737" spans="1:12" ht="15" customHeight="1" x14ac:dyDescent="0.25">
      <c r="A3737" s="10" t="s">
        <v>30</v>
      </c>
      <c r="B3737" s="11"/>
      <c r="C3737" s="12"/>
      <c r="D3737" s="8" t="s">
        <v>21</v>
      </c>
      <c r="E3737" s="8" t="s">
        <v>22</v>
      </c>
      <c r="F3737" s="9" t="s">
        <v>31</v>
      </c>
      <c r="G3737" s="9" t="s">
        <v>32</v>
      </c>
      <c r="H3737" s="9" t="s">
        <v>33</v>
      </c>
      <c r="I3737" s="13" t="s">
        <v>34</v>
      </c>
      <c r="J3737" s="14"/>
      <c r="K3737" s="13" t="s">
        <v>28</v>
      </c>
      <c r="L3737" s="14"/>
    </row>
    <row r="3738" spans="1:12" ht="15" customHeight="1" x14ac:dyDescent="0.25">
      <c r="A3738" s="15" t="s">
        <v>38</v>
      </c>
      <c r="B3738" s="16"/>
      <c r="C3738" s="16"/>
      <c r="D3738" s="16"/>
      <c r="E3738" s="16"/>
      <c r="F3738" s="16"/>
      <c r="G3738" s="16"/>
      <c r="H3738" s="16"/>
      <c r="I3738" s="16"/>
      <c r="J3738" s="17"/>
      <c r="K3738" s="15">
        <v>0</v>
      </c>
      <c r="L3738" s="17"/>
    </row>
    <row r="3739" spans="1:12" x14ac:dyDescent="0.25">
      <c r="A3739" s="18"/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8"/>
    </row>
    <row r="3740" spans="1:12" ht="15" customHeight="1" x14ac:dyDescent="0.25">
      <c r="A3740" s="10" t="s">
        <v>39</v>
      </c>
      <c r="B3740" s="11"/>
      <c r="C3740" s="12"/>
      <c r="D3740" s="8" t="s">
        <v>21</v>
      </c>
      <c r="E3740" s="13" t="s">
        <v>40</v>
      </c>
      <c r="F3740" s="14"/>
      <c r="G3740" s="8" t="s">
        <v>41</v>
      </c>
      <c r="H3740" s="8" t="s">
        <v>42</v>
      </c>
      <c r="I3740" s="8" t="s">
        <v>43</v>
      </c>
      <c r="J3740" s="13" t="s">
        <v>44</v>
      </c>
      <c r="K3740" s="26"/>
      <c r="L3740" s="14"/>
    </row>
    <row r="3741" spans="1:12" ht="15" customHeight="1" x14ac:dyDescent="0.25">
      <c r="A3741" s="15" t="s">
        <v>45</v>
      </c>
      <c r="B3741" s="16"/>
      <c r="C3741" s="16"/>
      <c r="D3741" s="16"/>
      <c r="E3741" s="16"/>
      <c r="F3741" s="16"/>
      <c r="G3741" s="16"/>
      <c r="H3741" s="16"/>
      <c r="I3741" s="16"/>
      <c r="J3741" s="17"/>
      <c r="K3741" s="15">
        <v>0</v>
      </c>
      <c r="L3741" s="17"/>
    </row>
    <row r="3742" spans="1:12" x14ac:dyDescent="0.25">
      <c r="A3742" s="18"/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8"/>
    </row>
    <row r="3743" spans="1:12" ht="15" customHeight="1" x14ac:dyDescent="0.25">
      <c r="A3743" s="27" t="s">
        <v>46</v>
      </c>
      <c r="B3743" s="27"/>
      <c r="C3743" s="27"/>
      <c r="D3743" s="27"/>
      <c r="E3743" s="27"/>
      <c r="F3743" s="27"/>
      <c r="G3743" s="27"/>
      <c r="H3743" s="27"/>
      <c r="I3743" s="27"/>
      <c r="J3743" s="27"/>
      <c r="K3743" s="27">
        <v>0</v>
      </c>
      <c r="L3743" s="27"/>
    </row>
    <row r="3744" spans="1:12" ht="15" customHeight="1" x14ac:dyDescent="0.25">
      <c r="A3744" s="27" t="s">
        <v>47</v>
      </c>
      <c r="B3744" s="27"/>
      <c r="C3744" s="27"/>
      <c r="D3744" s="27"/>
      <c r="E3744" s="27"/>
      <c r="F3744" s="27"/>
      <c r="G3744" s="27"/>
      <c r="H3744" s="27"/>
      <c r="I3744" s="27"/>
      <c r="J3744" s="27"/>
      <c r="K3744" s="27">
        <v>1</v>
      </c>
      <c r="L3744" s="27"/>
    </row>
    <row r="3745" spans="1:12" ht="15" customHeight="1" x14ac:dyDescent="0.25">
      <c r="A3745" s="27" t="s">
        <v>48</v>
      </c>
      <c r="B3745" s="27"/>
      <c r="C3745" s="27"/>
      <c r="D3745" s="27"/>
      <c r="E3745" s="27"/>
      <c r="F3745" s="27"/>
      <c r="G3745" s="27"/>
      <c r="H3745" s="27"/>
      <c r="I3745" s="27"/>
      <c r="J3745" s="27"/>
      <c r="K3745" s="27">
        <v>0</v>
      </c>
      <c r="L3745" s="27"/>
    </row>
    <row r="3746" spans="1:12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</row>
    <row r="3747" spans="1:12" ht="15" customHeight="1" x14ac:dyDescent="0.25">
      <c r="A3747" s="10" t="s">
        <v>49</v>
      </c>
      <c r="B3747" s="11"/>
      <c r="C3747" s="11"/>
      <c r="D3747" s="11"/>
      <c r="E3747" s="12"/>
      <c r="F3747" s="8" t="s">
        <v>21</v>
      </c>
      <c r="G3747" s="8" t="s">
        <v>22</v>
      </c>
      <c r="H3747" s="9" t="s">
        <v>44</v>
      </c>
      <c r="I3747" s="13" t="s">
        <v>34</v>
      </c>
      <c r="J3747" s="14"/>
      <c r="K3747" s="13" t="s">
        <v>50</v>
      </c>
      <c r="L3747" s="14"/>
    </row>
    <row r="3748" spans="1:12" ht="15" customHeight="1" x14ac:dyDescent="0.25">
      <c r="A3748" s="15" t="s">
        <v>51</v>
      </c>
      <c r="B3748" s="16"/>
      <c r="C3748" s="16"/>
      <c r="D3748" s="16"/>
      <c r="E3748" s="16"/>
      <c r="F3748" s="16"/>
      <c r="G3748" s="16"/>
      <c r="H3748" s="16"/>
      <c r="I3748" s="16"/>
      <c r="J3748" s="17"/>
      <c r="K3748" s="15">
        <v>0</v>
      </c>
      <c r="L3748" s="17"/>
    </row>
    <row r="3749" spans="1:12" x14ac:dyDescent="0.25">
      <c r="A3749" s="18"/>
      <c r="B3749" s="18"/>
      <c r="C3749" s="18"/>
      <c r="D3749" s="18"/>
      <c r="E3749" s="18"/>
      <c r="F3749" s="18"/>
      <c r="G3749" s="18"/>
      <c r="H3749" s="18"/>
      <c r="I3749" s="18"/>
      <c r="J3749" s="18"/>
      <c r="K3749" s="18"/>
      <c r="L3749" s="18"/>
    </row>
    <row r="3750" spans="1:12" ht="15" customHeight="1" x14ac:dyDescent="0.25">
      <c r="A3750" s="10" t="s">
        <v>52</v>
      </c>
      <c r="B3750" s="11"/>
      <c r="C3750" s="11"/>
      <c r="D3750" s="11"/>
      <c r="E3750" s="12"/>
      <c r="F3750" s="8" t="s">
        <v>21</v>
      </c>
      <c r="G3750" s="8" t="s">
        <v>22</v>
      </c>
      <c r="H3750" s="9" t="s">
        <v>44</v>
      </c>
      <c r="I3750" s="13" t="s">
        <v>34</v>
      </c>
      <c r="J3750" s="14"/>
      <c r="K3750" s="13" t="s">
        <v>50</v>
      </c>
      <c r="L3750" s="14"/>
    </row>
    <row r="3751" spans="1:12" ht="15" customHeight="1" x14ac:dyDescent="0.25">
      <c r="A3751" s="21" t="s">
        <v>477</v>
      </c>
      <c r="B3751" s="22"/>
      <c r="C3751" s="22"/>
      <c r="D3751" s="22"/>
      <c r="E3751" s="23"/>
      <c r="F3751" s="19" t="s">
        <v>478</v>
      </c>
      <c r="G3751" s="19" t="s">
        <v>87</v>
      </c>
      <c r="H3751" s="20">
        <v>1</v>
      </c>
      <c r="I3751" s="24">
        <v>36.86</v>
      </c>
      <c r="J3751" s="25"/>
      <c r="K3751" s="24">
        <v>36.86</v>
      </c>
      <c r="L3751" s="25"/>
    </row>
    <row r="3752" spans="1:12" ht="15" customHeight="1" x14ac:dyDescent="0.25">
      <c r="A3752" s="15" t="s">
        <v>53</v>
      </c>
      <c r="B3752" s="16"/>
      <c r="C3752" s="16"/>
      <c r="D3752" s="16"/>
      <c r="E3752" s="16"/>
      <c r="F3752" s="16"/>
      <c r="G3752" s="16"/>
      <c r="H3752" s="16"/>
      <c r="I3752" s="16"/>
      <c r="J3752" s="17"/>
      <c r="K3752" s="15">
        <v>36.86</v>
      </c>
      <c r="L3752" s="17"/>
    </row>
    <row r="3753" spans="1:12" x14ac:dyDescent="0.25">
      <c r="A3753" s="18"/>
      <c r="B3753" s="18"/>
      <c r="C3753" s="18"/>
      <c r="D3753" s="18"/>
      <c r="E3753" s="18"/>
      <c r="F3753" s="18"/>
      <c r="G3753" s="18"/>
      <c r="H3753" s="18"/>
      <c r="I3753" s="18"/>
      <c r="J3753" s="18"/>
      <c r="K3753" s="18"/>
      <c r="L3753" s="18"/>
    </row>
    <row r="3754" spans="1:12" ht="15" customHeight="1" x14ac:dyDescent="0.25">
      <c r="A3754" s="10" t="s">
        <v>54</v>
      </c>
      <c r="B3754" s="11"/>
      <c r="C3754" s="12"/>
      <c r="D3754" s="8" t="s">
        <v>21</v>
      </c>
      <c r="E3754" s="8" t="s">
        <v>22</v>
      </c>
      <c r="F3754" s="9" t="s">
        <v>55</v>
      </c>
      <c r="G3754" s="8" t="s">
        <v>56</v>
      </c>
      <c r="H3754" s="8" t="s">
        <v>57</v>
      </c>
      <c r="I3754" s="8" t="s">
        <v>58</v>
      </c>
      <c r="J3754" s="9" t="s">
        <v>59</v>
      </c>
      <c r="K3754" s="9" t="s">
        <v>34</v>
      </c>
      <c r="L3754" s="9" t="s">
        <v>50</v>
      </c>
    </row>
    <row r="3755" spans="1:12" ht="15" customHeight="1" x14ac:dyDescent="0.25">
      <c r="A3755" s="15" t="s">
        <v>60</v>
      </c>
      <c r="B3755" s="16"/>
      <c r="C3755" s="16"/>
      <c r="D3755" s="16"/>
      <c r="E3755" s="16"/>
      <c r="F3755" s="16"/>
      <c r="G3755" s="16"/>
      <c r="H3755" s="16"/>
      <c r="I3755" s="16"/>
      <c r="J3755" s="17"/>
      <c r="K3755" s="15">
        <v>0</v>
      </c>
      <c r="L3755" s="17"/>
    </row>
    <row r="3756" spans="1:12" x14ac:dyDescent="0.25">
      <c r="A3756" s="18"/>
      <c r="B3756" s="18"/>
      <c r="C3756" s="18"/>
      <c r="D3756" s="18"/>
      <c r="E3756" s="18"/>
      <c r="F3756" s="18"/>
      <c r="G3756" s="18"/>
      <c r="H3756" s="18"/>
      <c r="I3756" s="18"/>
      <c r="J3756" s="18"/>
      <c r="K3756" s="18"/>
      <c r="L3756" s="18"/>
    </row>
    <row r="3757" spans="1:12" ht="15" customHeight="1" x14ac:dyDescent="0.25">
      <c r="A3757" s="27" t="s">
        <v>61</v>
      </c>
      <c r="B3757" s="27"/>
      <c r="C3757" s="27"/>
      <c r="D3757" s="27"/>
      <c r="E3757" s="27"/>
      <c r="F3757" s="27"/>
      <c r="G3757" s="27"/>
      <c r="H3757" s="27"/>
      <c r="I3757" s="27"/>
      <c r="J3757" s="27"/>
      <c r="K3757" s="27">
        <v>36.86</v>
      </c>
      <c r="L3757" s="27"/>
    </row>
    <row r="3758" spans="1:12" ht="15" customHeight="1" x14ac:dyDescent="0.25">
      <c r="A3758" s="27" t="s">
        <v>62</v>
      </c>
      <c r="B3758" s="27"/>
      <c r="C3758" s="27"/>
      <c r="D3758" s="27"/>
      <c r="E3758" s="27"/>
      <c r="F3758" s="27"/>
      <c r="G3758" s="27"/>
      <c r="H3758" s="27"/>
      <c r="I3758" s="27"/>
      <c r="J3758" s="27"/>
      <c r="K3758" s="27">
        <v>12.26</v>
      </c>
      <c r="L3758" s="27"/>
    </row>
    <row r="3759" spans="1:12" ht="15" customHeight="1" x14ac:dyDescent="0.25">
      <c r="A3759" s="27" t="s">
        <v>63</v>
      </c>
      <c r="B3759" s="27"/>
      <c r="C3759" s="27"/>
      <c r="D3759" s="27"/>
      <c r="E3759" s="27"/>
      <c r="F3759" s="27"/>
      <c r="G3759" s="27"/>
      <c r="H3759" s="27"/>
      <c r="I3759" s="27"/>
      <c r="J3759" s="27"/>
      <c r="K3759" s="27">
        <v>49.12</v>
      </c>
      <c r="L3759" s="27"/>
    </row>
    <row r="3760" spans="1:12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</row>
    <row r="3761" spans="1:12" ht="15" customHeight="1" x14ac:dyDescent="0.25">
      <c r="A3761" s="3" t="s">
        <v>8</v>
      </c>
      <c r="B3761" s="6" t="s">
        <v>9</v>
      </c>
      <c r="C3761" s="6"/>
      <c r="D3761" s="6"/>
      <c r="E3761" s="6"/>
      <c r="F3761" s="6"/>
      <c r="G3761" s="6"/>
      <c r="H3761" s="6"/>
      <c r="I3761" s="6"/>
      <c r="J3761" s="6"/>
      <c r="K3761" s="6"/>
      <c r="L3761" s="6"/>
    </row>
    <row r="3762" spans="1:12" ht="15" customHeight="1" x14ac:dyDescent="0.25">
      <c r="A3762" s="3" t="s">
        <v>10</v>
      </c>
      <c r="B3762" s="6" t="s">
        <v>479</v>
      </c>
      <c r="C3762" s="6"/>
      <c r="D3762" s="6"/>
      <c r="E3762" s="6"/>
      <c r="F3762" s="6"/>
      <c r="G3762" s="6"/>
      <c r="H3762" s="6"/>
      <c r="I3762" s="6"/>
      <c r="J3762" s="6"/>
      <c r="K3762" s="3" t="s">
        <v>12</v>
      </c>
      <c r="L3762" s="4" t="s">
        <v>84</v>
      </c>
    </row>
    <row r="3763" spans="1:12" ht="15" customHeight="1" x14ac:dyDescent="0.25">
      <c r="A3763" s="3" t="s">
        <v>14</v>
      </c>
      <c r="B3763" s="6" t="s">
        <v>88</v>
      </c>
      <c r="C3763" s="6"/>
      <c r="D3763" s="7" t="s">
        <v>16</v>
      </c>
      <c r="E3763" s="7"/>
      <c r="F3763" s="6" t="str">
        <f>"3428.000039"</f>
        <v>3428.000039</v>
      </c>
      <c r="G3763" s="6"/>
      <c r="H3763" s="3" t="s">
        <v>17</v>
      </c>
      <c r="I3763" s="6" t="s">
        <v>89</v>
      </c>
      <c r="J3763" s="6"/>
      <c r="K3763" s="3" t="s">
        <v>19</v>
      </c>
      <c r="L3763" s="5">
        <v>1</v>
      </c>
    </row>
    <row r="3764" spans="1:12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</row>
    <row r="3765" spans="1:12" ht="15" customHeight="1" x14ac:dyDescent="0.25">
      <c r="A3765" s="10" t="s">
        <v>20</v>
      </c>
      <c r="B3765" s="11"/>
      <c r="C3765" s="12"/>
      <c r="D3765" s="8" t="s">
        <v>21</v>
      </c>
      <c r="E3765" s="8" t="s">
        <v>22</v>
      </c>
      <c r="F3765" s="9" t="s">
        <v>23</v>
      </c>
      <c r="G3765" s="9" t="s">
        <v>24</v>
      </c>
      <c r="H3765" s="9" t="s">
        <v>25</v>
      </c>
      <c r="I3765" s="9" t="s">
        <v>26</v>
      </c>
      <c r="J3765" s="9" t="s">
        <v>27</v>
      </c>
      <c r="K3765" s="13" t="s">
        <v>28</v>
      </c>
      <c r="L3765" s="14"/>
    </row>
    <row r="3766" spans="1:12" ht="15" customHeight="1" x14ac:dyDescent="0.25">
      <c r="A3766" s="15" t="s">
        <v>29</v>
      </c>
      <c r="B3766" s="16"/>
      <c r="C3766" s="16"/>
      <c r="D3766" s="16"/>
      <c r="E3766" s="16"/>
      <c r="F3766" s="16"/>
      <c r="G3766" s="16"/>
      <c r="H3766" s="16"/>
      <c r="I3766" s="16"/>
      <c r="J3766" s="17"/>
      <c r="K3766" s="15">
        <v>0</v>
      </c>
      <c r="L3766" s="17"/>
    </row>
    <row r="3767" spans="1:12" x14ac:dyDescent="0.25">
      <c r="A3767" s="18"/>
      <c r="B3767" s="18"/>
      <c r="C3767" s="18"/>
      <c r="D3767" s="18"/>
      <c r="E3767" s="18"/>
      <c r="F3767" s="18"/>
      <c r="G3767" s="18"/>
      <c r="H3767" s="18"/>
      <c r="I3767" s="18"/>
      <c r="J3767" s="18"/>
      <c r="K3767" s="18"/>
      <c r="L3767" s="18"/>
    </row>
    <row r="3768" spans="1:12" ht="15" customHeight="1" x14ac:dyDescent="0.25">
      <c r="A3768" s="10" t="s">
        <v>30</v>
      </c>
      <c r="B3768" s="11"/>
      <c r="C3768" s="12"/>
      <c r="D3768" s="8" t="s">
        <v>21</v>
      </c>
      <c r="E3768" s="8" t="s">
        <v>22</v>
      </c>
      <c r="F3768" s="9" t="s">
        <v>31</v>
      </c>
      <c r="G3768" s="9" t="s">
        <v>32</v>
      </c>
      <c r="H3768" s="9" t="s">
        <v>33</v>
      </c>
      <c r="I3768" s="13" t="s">
        <v>34</v>
      </c>
      <c r="J3768" s="14"/>
      <c r="K3768" s="13" t="s">
        <v>28</v>
      </c>
      <c r="L3768" s="14"/>
    </row>
    <row r="3769" spans="1:12" ht="15" customHeight="1" x14ac:dyDescent="0.25">
      <c r="A3769" s="15" t="s">
        <v>38</v>
      </c>
      <c r="B3769" s="16"/>
      <c r="C3769" s="16"/>
      <c r="D3769" s="16"/>
      <c r="E3769" s="16"/>
      <c r="F3769" s="16"/>
      <c r="G3769" s="16"/>
      <c r="H3769" s="16"/>
      <c r="I3769" s="16"/>
      <c r="J3769" s="17"/>
      <c r="K3769" s="15">
        <v>0</v>
      </c>
      <c r="L3769" s="17"/>
    </row>
    <row r="3770" spans="1:12" x14ac:dyDescent="0.25">
      <c r="A3770" s="18"/>
      <c r="B3770" s="18"/>
      <c r="C3770" s="18"/>
      <c r="D3770" s="18"/>
      <c r="E3770" s="18"/>
      <c r="F3770" s="18"/>
      <c r="G3770" s="18"/>
      <c r="H3770" s="18"/>
      <c r="I3770" s="18"/>
      <c r="J3770" s="18"/>
      <c r="K3770" s="18"/>
      <c r="L3770" s="18"/>
    </row>
    <row r="3771" spans="1:12" ht="15" customHeight="1" x14ac:dyDescent="0.25">
      <c r="A3771" s="10" t="s">
        <v>39</v>
      </c>
      <c r="B3771" s="11"/>
      <c r="C3771" s="12"/>
      <c r="D3771" s="8" t="s">
        <v>21</v>
      </c>
      <c r="E3771" s="13" t="s">
        <v>40</v>
      </c>
      <c r="F3771" s="14"/>
      <c r="G3771" s="8" t="s">
        <v>41</v>
      </c>
      <c r="H3771" s="8" t="s">
        <v>42</v>
      </c>
      <c r="I3771" s="8" t="s">
        <v>43</v>
      </c>
      <c r="J3771" s="13" t="s">
        <v>44</v>
      </c>
      <c r="K3771" s="26"/>
      <c r="L3771" s="14"/>
    </row>
    <row r="3772" spans="1:12" ht="15" customHeight="1" x14ac:dyDescent="0.25">
      <c r="A3772" s="15" t="s">
        <v>45</v>
      </c>
      <c r="B3772" s="16"/>
      <c r="C3772" s="16"/>
      <c r="D3772" s="16"/>
      <c r="E3772" s="16"/>
      <c r="F3772" s="16"/>
      <c r="G3772" s="16"/>
      <c r="H3772" s="16"/>
      <c r="I3772" s="16"/>
      <c r="J3772" s="17"/>
      <c r="K3772" s="15">
        <v>0</v>
      </c>
      <c r="L3772" s="17"/>
    </row>
    <row r="3773" spans="1:12" x14ac:dyDescent="0.25">
      <c r="A3773" s="18"/>
      <c r="B3773" s="18"/>
      <c r="C3773" s="18"/>
      <c r="D3773" s="18"/>
      <c r="E3773" s="18"/>
      <c r="F3773" s="18"/>
      <c r="G3773" s="18"/>
      <c r="H3773" s="18"/>
      <c r="I3773" s="18"/>
      <c r="J3773" s="18"/>
      <c r="K3773" s="18"/>
      <c r="L3773" s="18"/>
    </row>
    <row r="3774" spans="1:12" ht="15" customHeight="1" x14ac:dyDescent="0.25">
      <c r="A3774" s="27" t="s">
        <v>46</v>
      </c>
      <c r="B3774" s="27"/>
      <c r="C3774" s="27"/>
      <c r="D3774" s="27"/>
      <c r="E3774" s="27"/>
      <c r="F3774" s="27"/>
      <c r="G3774" s="27"/>
      <c r="H3774" s="27"/>
      <c r="I3774" s="27"/>
      <c r="J3774" s="27"/>
      <c r="K3774" s="27">
        <v>0</v>
      </c>
      <c r="L3774" s="27"/>
    </row>
    <row r="3775" spans="1:12" ht="15" customHeight="1" x14ac:dyDescent="0.25">
      <c r="A3775" s="27" t="s">
        <v>47</v>
      </c>
      <c r="B3775" s="27"/>
      <c r="C3775" s="27"/>
      <c r="D3775" s="27"/>
      <c r="E3775" s="27"/>
      <c r="F3775" s="27"/>
      <c r="G3775" s="27"/>
      <c r="H3775" s="27"/>
      <c r="I3775" s="27"/>
      <c r="J3775" s="27"/>
      <c r="K3775" s="27">
        <v>1</v>
      </c>
      <c r="L3775" s="27"/>
    </row>
    <row r="3776" spans="1:12" ht="15" customHeight="1" x14ac:dyDescent="0.25">
      <c r="A3776" s="27" t="s">
        <v>48</v>
      </c>
      <c r="B3776" s="27"/>
      <c r="C3776" s="27"/>
      <c r="D3776" s="27"/>
      <c r="E3776" s="27"/>
      <c r="F3776" s="27"/>
      <c r="G3776" s="27"/>
      <c r="H3776" s="27"/>
      <c r="I3776" s="27"/>
      <c r="J3776" s="27"/>
      <c r="K3776" s="27">
        <v>0</v>
      </c>
      <c r="L3776" s="27"/>
    </row>
    <row r="3777" spans="1:12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</row>
    <row r="3778" spans="1:12" ht="15" customHeight="1" x14ac:dyDescent="0.25">
      <c r="A3778" s="10" t="s">
        <v>49</v>
      </c>
      <c r="B3778" s="11"/>
      <c r="C3778" s="11"/>
      <c r="D3778" s="11"/>
      <c r="E3778" s="12"/>
      <c r="F3778" s="8" t="s">
        <v>21</v>
      </c>
      <c r="G3778" s="8" t="s">
        <v>22</v>
      </c>
      <c r="H3778" s="9" t="s">
        <v>44</v>
      </c>
      <c r="I3778" s="13" t="s">
        <v>34</v>
      </c>
      <c r="J3778" s="14"/>
      <c r="K3778" s="13" t="s">
        <v>50</v>
      </c>
      <c r="L3778" s="14"/>
    </row>
    <row r="3779" spans="1:12" ht="15" customHeight="1" x14ac:dyDescent="0.25">
      <c r="A3779" s="15" t="s">
        <v>51</v>
      </c>
      <c r="B3779" s="16"/>
      <c r="C3779" s="16"/>
      <c r="D3779" s="16"/>
      <c r="E3779" s="16"/>
      <c r="F3779" s="16"/>
      <c r="G3779" s="16"/>
      <c r="H3779" s="16"/>
      <c r="I3779" s="16"/>
      <c r="J3779" s="17"/>
      <c r="K3779" s="15">
        <v>0</v>
      </c>
      <c r="L3779" s="17"/>
    </row>
    <row r="3780" spans="1:12" x14ac:dyDescent="0.25">
      <c r="A3780" s="18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8"/>
    </row>
    <row r="3781" spans="1:12" ht="15" customHeight="1" x14ac:dyDescent="0.25">
      <c r="A3781" s="10" t="s">
        <v>52</v>
      </c>
      <c r="B3781" s="11"/>
      <c r="C3781" s="11"/>
      <c r="D3781" s="11"/>
      <c r="E3781" s="12"/>
      <c r="F3781" s="8" t="s">
        <v>21</v>
      </c>
      <c r="G3781" s="8" t="s">
        <v>22</v>
      </c>
      <c r="H3781" s="9" t="s">
        <v>44</v>
      </c>
      <c r="I3781" s="13" t="s">
        <v>34</v>
      </c>
      <c r="J3781" s="14"/>
      <c r="K3781" s="13" t="s">
        <v>50</v>
      </c>
      <c r="L3781" s="14"/>
    </row>
    <row r="3782" spans="1:12" ht="15" customHeight="1" x14ac:dyDescent="0.25">
      <c r="A3782" s="21" t="s">
        <v>480</v>
      </c>
      <c r="B3782" s="22"/>
      <c r="C3782" s="22"/>
      <c r="D3782" s="22"/>
      <c r="E3782" s="23"/>
      <c r="F3782" s="19" t="s">
        <v>481</v>
      </c>
      <c r="G3782" s="19" t="s">
        <v>84</v>
      </c>
      <c r="H3782" s="20">
        <v>1</v>
      </c>
      <c r="I3782" s="24">
        <v>6.03</v>
      </c>
      <c r="J3782" s="25"/>
      <c r="K3782" s="24">
        <v>6.03</v>
      </c>
      <c r="L3782" s="25"/>
    </row>
    <row r="3783" spans="1:12" ht="15" customHeight="1" x14ac:dyDescent="0.25">
      <c r="A3783" s="15" t="s">
        <v>53</v>
      </c>
      <c r="B3783" s="16"/>
      <c r="C3783" s="16"/>
      <c r="D3783" s="16"/>
      <c r="E3783" s="16"/>
      <c r="F3783" s="16"/>
      <c r="G3783" s="16"/>
      <c r="H3783" s="16"/>
      <c r="I3783" s="16"/>
      <c r="J3783" s="17"/>
      <c r="K3783" s="15">
        <v>6.03</v>
      </c>
      <c r="L3783" s="17"/>
    </row>
    <row r="3784" spans="1:12" x14ac:dyDescent="0.25">
      <c r="A3784" s="18"/>
      <c r="B3784" s="18"/>
      <c r="C3784" s="18"/>
      <c r="D3784" s="18"/>
      <c r="E3784" s="18"/>
      <c r="F3784" s="18"/>
      <c r="G3784" s="18"/>
      <c r="H3784" s="18"/>
      <c r="I3784" s="18"/>
      <c r="J3784" s="18"/>
      <c r="K3784" s="18"/>
      <c r="L3784" s="18"/>
    </row>
    <row r="3785" spans="1:12" ht="15" customHeight="1" x14ac:dyDescent="0.25">
      <c r="A3785" s="10" t="s">
        <v>54</v>
      </c>
      <c r="B3785" s="11"/>
      <c r="C3785" s="12"/>
      <c r="D3785" s="8" t="s">
        <v>21</v>
      </c>
      <c r="E3785" s="8" t="s">
        <v>22</v>
      </c>
      <c r="F3785" s="9" t="s">
        <v>55</v>
      </c>
      <c r="G3785" s="8" t="s">
        <v>56</v>
      </c>
      <c r="H3785" s="8" t="s">
        <v>57</v>
      </c>
      <c r="I3785" s="8" t="s">
        <v>58</v>
      </c>
      <c r="J3785" s="9" t="s">
        <v>59</v>
      </c>
      <c r="K3785" s="9" t="s">
        <v>34</v>
      </c>
      <c r="L3785" s="9" t="s">
        <v>50</v>
      </c>
    </row>
    <row r="3786" spans="1:12" ht="15" customHeight="1" x14ac:dyDescent="0.25">
      <c r="A3786" s="15" t="s">
        <v>60</v>
      </c>
      <c r="B3786" s="16"/>
      <c r="C3786" s="16"/>
      <c r="D3786" s="16"/>
      <c r="E3786" s="16"/>
      <c r="F3786" s="16"/>
      <c r="G3786" s="16"/>
      <c r="H3786" s="16"/>
      <c r="I3786" s="16"/>
      <c r="J3786" s="17"/>
      <c r="K3786" s="15">
        <v>0</v>
      </c>
      <c r="L3786" s="17"/>
    </row>
    <row r="3787" spans="1:12" x14ac:dyDescent="0.25">
      <c r="A3787" s="18"/>
      <c r="B3787" s="18"/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</row>
    <row r="3788" spans="1:12" ht="15" customHeight="1" x14ac:dyDescent="0.25">
      <c r="A3788" s="27" t="s">
        <v>61</v>
      </c>
      <c r="B3788" s="27"/>
      <c r="C3788" s="27"/>
      <c r="D3788" s="27"/>
      <c r="E3788" s="27"/>
      <c r="F3788" s="27"/>
      <c r="G3788" s="27"/>
      <c r="H3788" s="27"/>
      <c r="I3788" s="27"/>
      <c r="J3788" s="27"/>
      <c r="K3788" s="27">
        <v>6.03</v>
      </c>
      <c r="L3788" s="27"/>
    </row>
    <row r="3789" spans="1:12" ht="15" customHeight="1" x14ac:dyDescent="0.25">
      <c r="A3789" s="27" t="s">
        <v>62</v>
      </c>
      <c r="B3789" s="27"/>
      <c r="C3789" s="27"/>
      <c r="D3789" s="27"/>
      <c r="E3789" s="27"/>
      <c r="F3789" s="27"/>
      <c r="G3789" s="27"/>
      <c r="H3789" s="27"/>
      <c r="I3789" s="27"/>
      <c r="J3789" s="27"/>
      <c r="K3789" s="27">
        <v>2</v>
      </c>
      <c r="L3789" s="27"/>
    </row>
    <row r="3790" spans="1:12" ht="15" customHeight="1" x14ac:dyDescent="0.25">
      <c r="A3790" s="27" t="s">
        <v>63</v>
      </c>
      <c r="B3790" s="27"/>
      <c r="C3790" s="27"/>
      <c r="D3790" s="27"/>
      <c r="E3790" s="27"/>
      <c r="F3790" s="27"/>
      <c r="G3790" s="27"/>
      <c r="H3790" s="27"/>
      <c r="I3790" s="27"/>
      <c r="J3790" s="27"/>
      <c r="K3790" s="27">
        <v>8.0299999999999994</v>
      </c>
      <c r="L3790" s="27"/>
    </row>
    <row r="3791" spans="1:12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</row>
    <row r="3792" spans="1:12" ht="15" customHeight="1" x14ac:dyDescent="0.25">
      <c r="A3792" s="3" t="s">
        <v>8</v>
      </c>
      <c r="B3792" s="6" t="s">
        <v>9</v>
      </c>
      <c r="C3792" s="6"/>
      <c r="D3792" s="6"/>
      <c r="E3792" s="6"/>
      <c r="F3792" s="6"/>
      <c r="G3792" s="6"/>
      <c r="H3792" s="6"/>
      <c r="I3792" s="6"/>
      <c r="J3792" s="6"/>
      <c r="K3792" s="6"/>
      <c r="L3792" s="6"/>
    </row>
    <row r="3793" spans="1:12" ht="15" customHeight="1" x14ac:dyDescent="0.25">
      <c r="A3793" s="3" t="s">
        <v>10</v>
      </c>
      <c r="B3793" s="6" t="s">
        <v>482</v>
      </c>
      <c r="C3793" s="6"/>
      <c r="D3793" s="6"/>
      <c r="E3793" s="6"/>
      <c r="F3793" s="6"/>
      <c r="G3793" s="6"/>
      <c r="H3793" s="6"/>
      <c r="I3793" s="6"/>
      <c r="J3793" s="6"/>
      <c r="K3793" s="3" t="s">
        <v>12</v>
      </c>
      <c r="L3793" s="4" t="s">
        <v>84</v>
      </c>
    </row>
    <row r="3794" spans="1:12" ht="15" customHeight="1" x14ac:dyDescent="0.25">
      <c r="A3794" s="3" t="s">
        <v>14</v>
      </c>
      <c r="B3794" s="6" t="s">
        <v>88</v>
      </c>
      <c r="C3794" s="6"/>
      <c r="D3794" s="7" t="s">
        <v>16</v>
      </c>
      <c r="E3794" s="7"/>
      <c r="F3794" s="6" t="str">
        <f>"2A87.000229"</f>
        <v>2A87.000229</v>
      </c>
      <c r="G3794" s="6"/>
      <c r="H3794" s="3" t="s">
        <v>17</v>
      </c>
      <c r="I3794" s="6" t="s">
        <v>89</v>
      </c>
      <c r="J3794" s="6"/>
      <c r="K3794" s="3" t="s">
        <v>19</v>
      </c>
      <c r="L3794" s="5">
        <v>1</v>
      </c>
    </row>
    <row r="3795" spans="1:12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</row>
    <row r="3796" spans="1:12" ht="15" customHeight="1" x14ac:dyDescent="0.25">
      <c r="A3796" s="10" t="s">
        <v>20</v>
      </c>
      <c r="B3796" s="11"/>
      <c r="C3796" s="12"/>
      <c r="D3796" s="8" t="s">
        <v>21</v>
      </c>
      <c r="E3796" s="8" t="s">
        <v>22</v>
      </c>
      <c r="F3796" s="9" t="s">
        <v>23</v>
      </c>
      <c r="G3796" s="9" t="s">
        <v>24</v>
      </c>
      <c r="H3796" s="9" t="s">
        <v>25</v>
      </c>
      <c r="I3796" s="9" t="s">
        <v>26</v>
      </c>
      <c r="J3796" s="9" t="s">
        <v>27</v>
      </c>
      <c r="K3796" s="13" t="s">
        <v>28</v>
      </c>
      <c r="L3796" s="14"/>
    </row>
    <row r="3797" spans="1:12" ht="15" customHeight="1" x14ac:dyDescent="0.25">
      <c r="A3797" s="15" t="s">
        <v>29</v>
      </c>
      <c r="B3797" s="16"/>
      <c r="C3797" s="16"/>
      <c r="D3797" s="16"/>
      <c r="E3797" s="16"/>
      <c r="F3797" s="16"/>
      <c r="G3797" s="16"/>
      <c r="H3797" s="16"/>
      <c r="I3797" s="16"/>
      <c r="J3797" s="17"/>
      <c r="K3797" s="15">
        <v>0</v>
      </c>
      <c r="L3797" s="17"/>
    </row>
    <row r="3798" spans="1:12" x14ac:dyDescent="0.25">
      <c r="A3798" s="18"/>
      <c r="B3798" s="18"/>
      <c r="C3798" s="18"/>
      <c r="D3798" s="18"/>
      <c r="E3798" s="18"/>
      <c r="F3798" s="18"/>
      <c r="G3798" s="18"/>
      <c r="H3798" s="18"/>
      <c r="I3798" s="18"/>
      <c r="J3798" s="18"/>
      <c r="K3798" s="18"/>
      <c r="L3798" s="18"/>
    </row>
    <row r="3799" spans="1:12" ht="15" customHeight="1" x14ac:dyDescent="0.25">
      <c r="A3799" s="10" t="s">
        <v>30</v>
      </c>
      <c r="B3799" s="11"/>
      <c r="C3799" s="12"/>
      <c r="D3799" s="8" t="s">
        <v>21</v>
      </c>
      <c r="E3799" s="8" t="s">
        <v>22</v>
      </c>
      <c r="F3799" s="9" t="s">
        <v>31</v>
      </c>
      <c r="G3799" s="9" t="s">
        <v>32</v>
      </c>
      <c r="H3799" s="9" t="s">
        <v>33</v>
      </c>
      <c r="I3799" s="13" t="s">
        <v>34</v>
      </c>
      <c r="J3799" s="14"/>
      <c r="K3799" s="13" t="s">
        <v>28</v>
      </c>
      <c r="L3799" s="14"/>
    </row>
    <row r="3800" spans="1:12" ht="15" customHeight="1" x14ac:dyDescent="0.25">
      <c r="A3800" s="21" t="s">
        <v>281</v>
      </c>
      <c r="B3800" s="22"/>
      <c r="C3800" s="23"/>
      <c r="D3800" s="19" t="str">
        <f>"010101"</f>
        <v>010101</v>
      </c>
      <c r="E3800" s="19" t="s">
        <v>36</v>
      </c>
      <c r="F3800" s="20">
        <v>8.5299999999999994</v>
      </c>
      <c r="G3800" s="20">
        <v>157.27000000000001</v>
      </c>
      <c r="H3800" s="20">
        <v>21.94</v>
      </c>
      <c r="I3800" s="24">
        <v>0.25</v>
      </c>
      <c r="J3800" s="25"/>
      <c r="K3800" s="24">
        <v>5.48</v>
      </c>
      <c r="L3800" s="25"/>
    </row>
    <row r="3801" spans="1:12" ht="15" customHeight="1" x14ac:dyDescent="0.25">
      <c r="A3801" s="15" t="s">
        <v>38</v>
      </c>
      <c r="B3801" s="16"/>
      <c r="C3801" s="16"/>
      <c r="D3801" s="16"/>
      <c r="E3801" s="16"/>
      <c r="F3801" s="16"/>
      <c r="G3801" s="16"/>
      <c r="H3801" s="16"/>
      <c r="I3801" s="16"/>
      <c r="J3801" s="17"/>
      <c r="K3801" s="15">
        <v>5.48</v>
      </c>
      <c r="L3801" s="17"/>
    </row>
    <row r="3802" spans="1:12" x14ac:dyDescent="0.25">
      <c r="A3802" s="18"/>
      <c r="B3802" s="18"/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</row>
    <row r="3803" spans="1:12" ht="15" customHeight="1" x14ac:dyDescent="0.25">
      <c r="A3803" s="10" t="s">
        <v>39</v>
      </c>
      <c r="B3803" s="11"/>
      <c r="C3803" s="12"/>
      <c r="D3803" s="8" t="s">
        <v>21</v>
      </c>
      <c r="E3803" s="13" t="s">
        <v>40</v>
      </c>
      <c r="F3803" s="14"/>
      <c r="G3803" s="8" t="s">
        <v>41</v>
      </c>
      <c r="H3803" s="8" t="s">
        <v>42</v>
      </c>
      <c r="I3803" s="8" t="s">
        <v>43</v>
      </c>
      <c r="J3803" s="13" t="s">
        <v>44</v>
      </c>
      <c r="K3803" s="26"/>
      <c r="L3803" s="14"/>
    </row>
    <row r="3804" spans="1:12" ht="15" customHeight="1" x14ac:dyDescent="0.25">
      <c r="A3804" s="15" t="s">
        <v>45</v>
      </c>
      <c r="B3804" s="16"/>
      <c r="C3804" s="16"/>
      <c r="D3804" s="16"/>
      <c r="E3804" s="16"/>
      <c r="F3804" s="16"/>
      <c r="G3804" s="16"/>
      <c r="H3804" s="16"/>
      <c r="I3804" s="16"/>
      <c r="J3804" s="17"/>
      <c r="K3804" s="15">
        <v>0</v>
      </c>
      <c r="L3804" s="17"/>
    </row>
    <row r="3805" spans="1:12" x14ac:dyDescent="0.25">
      <c r="A3805" s="18"/>
      <c r="B3805" s="18"/>
      <c r="C3805" s="18"/>
      <c r="D3805" s="18"/>
      <c r="E3805" s="18"/>
      <c r="F3805" s="18"/>
      <c r="G3805" s="18"/>
      <c r="H3805" s="18"/>
      <c r="I3805" s="18"/>
      <c r="J3805" s="18"/>
      <c r="K3805" s="18"/>
      <c r="L3805" s="18"/>
    </row>
    <row r="3806" spans="1:12" ht="15" customHeight="1" x14ac:dyDescent="0.25">
      <c r="A3806" s="27" t="s">
        <v>46</v>
      </c>
      <c r="B3806" s="27"/>
      <c r="C3806" s="27"/>
      <c r="D3806" s="27"/>
      <c r="E3806" s="27"/>
      <c r="F3806" s="27"/>
      <c r="G3806" s="27"/>
      <c r="H3806" s="27"/>
      <c r="I3806" s="27"/>
      <c r="J3806" s="27"/>
      <c r="K3806" s="27">
        <v>5.48</v>
      </c>
      <c r="L3806" s="27"/>
    </row>
    <row r="3807" spans="1:12" ht="15" customHeight="1" x14ac:dyDescent="0.25">
      <c r="A3807" s="27" t="s">
        <v>47</v>
      </c>
      <c r="B3807" s="27"/>
      <c r="C3807" s="27"/>
      <c r="D3807" s="27"/>
      <c r="E3807" s="27"/>
      <c r="F3807" s="27"/>
      <c r="G3807" s="27"/>
      <c r="H3807" s="27"/>
      <c r="I3807" s="27"/>
      <c r="J3807" s="27"/>
      <c r="K3807" s="27">
        <v>1</v>
      </c>
      <c r="L3807" s="27"/>
    </row>
    <row r="3808" spans="1:12" ht="15" customHeight="1" x14ac:dyDescent="0.25">
      <c r="A3808" s="27" t="s">
        <v>48</v>
      </c>
      <c r="B3808" s="27"/>
      <c r="C3808" s="27"/>
      <c r="D3808" s="27"/>
      <c r="E3808" s="27"/>
      <c r="F3808" s="27"/>
      <c r="G3808" s="27"/>
      <c r="H3808" s="27"/>
      <c r="I3808" s="27"/>
      <c r="J3808" s="27"/>
      <c r="K3808" s="27">
        <v>5.48</v>
      </c>
      <c r="L3808" s="27"/>
    </row>
    <row r="3809" spans="1:12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</row>
    <row r="3810" spans="1:12" ht="15" customHeight="1" x14ac:dyDescent="0.25">
      <c r="A3810" s="10" t="s">
        <v>49</v>
      </c>
      <c r="B3810" s="11"/>
      <c r="C3810" s="11"/>
      <c r="D3810" s="11"/>
      <c r="E3810" s="12"/>
      <c r="F3810" s="8" t="s">
        <v>21</v>
      </c>
      <c r="G3810" s="8" t="s">
        <v>22</v>
      </c>
      <c r="H3810" s="9" t="s">
        <v>44</v>
      </c>
      <c r="I3810" s="13" t="s">
        <v>34</v>
      </c>
      <c r="J3810" s="14"/>
      <c r="K3810" s="13" t="s">
        <v>50</v>
      </c>
      <c r="L3810" s="14"/>
    </row>
    <row r="3811" spans="1:12" ht="15" customHeight="1" x14ac:dyDescent="0.25">
      <c r="A3811" s="21" t="s">
        <v>483</v>
      </c>
      <c r="B3811" s="22"/>
      <c r="C3811" s="22"/>
      <c r="D3811" s="22"/>
      <c r="E3811" s="23"/>
      <c r="F3811" s="19" t="str">
        <f>"026664"</f>
        <v>026664</v>
      </c>
      <c r="G3811" s="19" t="s">
        <v>81</v>
      </c>
      <c r="H3811" s="20">
        <v>0.26</v>
      </c>
      <c r="I3811" s="24">
        <v>1</v>
      </c>
      <c r="J3811" s="25"/>
      <c r="K3811" s="24">
        <v>0.26</v>
      </c>
      <c r="L3811" s="25"/>
    </row>
    <row r="3812" spans="1:12" ht="15" customHeight="1" x14ac:dyDescent="0.25">
      <c r="A3812" s="21" t="s">
        <v>484</v>
      </c>
      <c r="B3812" s="22"/>
      <c r="C3812" s="22"/>
      <c r="D3812" s="22"/>
      <c r="E3812" s="23"/>
      <c r="F3812" s="19" t="str">
        <f>"048556"</f>
        <v>048556</v>
      </c>
      <c r="G3812" s="19" t="s">
        <v>81</v>
      </c>
      <c r="H3812" s="20">
        <v>3.12</v>
      </c>
      <c r="I3812" s="24">
        <v>1</v>
      </c>
      <c r="J3812" s="25"/>
      <c r="K3812" s="24">
        <v>3.12</v>
      </c>
      <c r="L3812" s="25"/>
    </row>
    <row r="3813" spans="1:12" ht="15" customHeight="1" x14ac:dyDescent="0.25">
      <c r="A3813" s="15" t="s">
        <v>51</v>
      </c>
      <c r="B3813" s="16"/>
      <c r="C3813" s="16"/>
      <c r="D3813" s="16"/>
      <c r="E3813" s="16"/>
      <c r="F3813" s="16"/>
      <c r="G3813" s="16"/>
      <c r="H3813" s="16"/>
      <c r="I3813" s="16"/>
      <c r="J3813" s="17"/>
      <c r="K3813" s="15">
        <v>3.38</v>
      </c>
      <c r="L3813" s="17"/>
    </row>
    <row r="3814" spans="1:12" x14ac:dyDescent="0.25">
      <c r="A3814" s="18"/>
      <c r="B3814" s="18"/>
      <c r="C3814" s="18"/>
      <c r="D3814" s="18"/>
      <c r="E3814" s="18"/>
      <c r="F3814" s="18"/>
      <c r="G3814" s="18"/>
      <c r="H3814" s="18"/>
      <c r="I3814" s="18"/>
      <c r="J3814" s="18"/>
      <c r="K3814" s="18"/>
      <c r="L3814" s="18"/>
    </row>
    <row r="3815" spans="1:12" ht="15" customHeight="1" x14ac:dyDescent="0.25">
      <c r="A3815" s="10" t="s">
        <v>52</v>
      </c>
      <c r="B3815" s="11"/>
      <c r="C3815" s="11"/>
      <c r="D3815" s="11"/>
      <c r="E3815" s="12"/>
      <c r="F3815" s="8" t="s">
        <v>21</v>
      </c>
      <c r="G3815" s="8" t="s">
        <v>22</v>
      </c>
      <c r="H3815" s="9" t="s">
        <v>44</v>
      </c>
      <c r="I3815" s="13" t="s">
        <v>34</v>
      </c>
      <c r="J3815" s="14"/>
      <c r="K3815" s="13" t="s">
        <v>50</v>
      </c>
      <c r="L3815" s="14"/>
    </row>
    <row r="3816" spans="1:12" ht="15" customHeight="1" x14ac:dyDescent="0.25">
      <c r="A3816" s="15" t="s">
        <v>53</v>
      </c>
      <c r="B3816" s="16"/>
      <c r="C3816" s="16"/>
      <c r="D3816" s="16"/>
      <c r="E3816" s="16"/>
      <c r="F3816" s="16"/>
      <c r="G3816" s="16"/>
      <c r="H3816" s="16"/>
      <c r="I3816" s="16"/>
      <c r="J3816" s="17"/>
      <c r="K3816" s="15">
        <v>0</v>
      </c>
      <c r="L3816" s="17"/>
    </row>
    <row r="3817" spans="1:12" x14ac:dyDescent="0.25">
      <c r="A3817" s="18"/>
      <c r="B3817" s="18"/>
      <c r="C3817" s="18"/>
      <c r="D3817" s="18"/>
      <c r="E3817" s="18"/>
      <c r="F3817" s="18"/>
      <c r="G3817" s="18"/>
      <c r="H3817" s="18"/>
      <c r="I3817" s="18"/>
      <c r="J3817" s="18"/>
      <c r="K3817" s="18"/>
      <c r="L3817" s="18"/>
    </row>
    <row r="3818" spans="1:12" ht="15" customHeight="1" x14ac:dyDescent="0.25">
      <c r="A3818" s="10" t="s">
        <v>54</v>
      </c>
      <c r="B3818" s="11"/>
      <c r="C3818" s="12"/>
      <c r="D3818" s="8" t="s">
        <v>21</v>
      </c>
      <c r="E3818" s="8" t="s">
        <v>22</v>
      </c>
      <c r="F3818" s="9" t="s">
        <v>55</v>
      </c>
      <c r="G3818" s="8" t="s">
        <v>56</v>
      </c>
      <c r="H3818" s="8" t="s">
        <v>57</v>
      </c>
      <c r="I3818" s="8" t="s">
        <v>58</v>
      </c>
      <c r="J3818" s="9" t="s">
        <v>59</v>
      </c>
      <c r="K3818" s="9" t="s">
        <v>34</v>
      </c>
      <c r="L3818" s="9" t="s">
        <v>50</v>
      </c>
    </row>
    <row r="3819" spans="1:12" ht="15" customHeight="1" x14ac:dyDescent="0.25">
      <c r="A3819" s="15" t="s">
        <v>60</v>
      </c>
      <c r="B3819" s="16"/>
      <c r="C3819" s="16"/>
      <c r="D3819" s="16"/>
      <c r="E3819" s="16"/>
      <c r="F3819" s="16"/>
      <c r="G3819" s="16"/>
      <c r="H3819" s="16"/>
      <c r="I3819" s="16"/>
      <c r="J3819" s="17"/>
      <c r="K3819" s="15">
        <v>0</v>
      </c>
      <c r="L3819" s="17"/>
    </row>
    <row r="3820" spans="1:12" x14ac:dyDescent="0.25">
      <c r="A3820" s="18"/>
      <c r="B3820" s="18"/>
      <c r="C3820" s="18"/>
      <c r="D3820" s="18"/>
      <c r="E3820" s="18"/>
      <c r="F3820" s="18"/>
      <c r="G3820" s="18"/>
      <c r="H3820" s="18"/>
      <c r="I3820" s="18"/>
      <c r="J3820" s="18"/>
      <c r="K3820" s="18"/>
      <c r="L3820" s="18"/>
    </row>
    <row r="3821" spans="1:12" ht="15" customHeight="1" x14ac:dyDescent="0.25">
      <c r="A3821" s="27" t="s">
        <v>61</v>
      </c>
      <c r="B3821" s="27"/>
      <c r="C3821" s="27"/>
      <c r="D3821" s="27"/>
      <c r="E3821" s="27"/>
      <c r="F3821" s="27"/>
      <c r="G3821" s="27"/>
      <c r="H3821" s="27"/>
      <c r="I3821" s="27"/>
      <c r="J3821" s="27"/>
      <c r="K3821" s="27">
        <v>8.86</v>
      </c>
      <c r="L3821" s="27"/>
    </row>
    <row r="3822" spans="1:12" ht="15" customHeight="1" x14ac:dyDescent="0.25">
      <c r="A3822" s="27" t="s">
        <v>62</v>
      </c>
      <c r="B3822" s="27"/>
      <c r="C3822" s="27"/>
      <c r="D3822" s="27"/>
      <c r="E3822" s="27"/>
      <c r="F3822" s="27"/>
      <c r="G3822" s="27"/>
      <c r="H3822" s="27"/>
      <c r="I3822" s="27"/>
      <c r="J3822" s="27"/>
      <c r="K3822" s="27">
        <v>2.95</v>
      </c>
      <c r="L3822" s="27"/>
    </row>
    <row r="3823" spans="1:12" ht="15" customHeight="1" x14ac:dyDescent="0.25">
      <c r="A3823" s="27" t="s">
        <v>63</v>
      </c>
      <c r="B3823" s="27"/>
      <c r="C3823" s="27"/>
      <c r="D3823" s="27"/>
      <c r="E3823" s="27"/>
      <c r="F3823" s="27"/>
      <c r="G3823" s="27"/>
      <c r="H3823" s="27"/>
      <c r="I3823" s="27"/>
      <c r="J3823" s="27"/>
      <c r="K3823" s="27">
        <v>11.81</v>
      </c>
      <c r="L3823" s="27"/>
    </row>
    <row r="3824" spans="1:12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</row>
    <row r="3825" spans="1:12" ht="15" customHeight="1" x14ac:dyDescent="0.25">
      <c r="A3825" s="3" t="s">
        <v>8</v>
      </c>
      <c r="B3825" s="6" t="s">
        <v>9</v>
      </c>
      <c r="C3825" s="6"/>
      <c r="D3825" s="6"/>
      <c r="E3825" s="6"/>
      <c r="F3825" s="6"/>
      <c r="G3825" s="6"/>
      <c r="H3825" s="6"/>
      <c r="I3825" s="6"/>
      <c r="J3825" s="6"/>
      <c r="K3825" s="6"/>
      <c r="L3825" s="6"/>
    </row>
    <row r="3826" spans="1:12" ht="15" customHeight="1" x14ac:dyDescent="0.25">
      <c r="A3826" s="3" t="s">
        <v>10</v>
      </c>
      <c r="B3826" s="6" t="s">
        <v>485</v>
      </c>
      <c r="C3826" s="6"/>
      <c r="D3826" s="6"/>
      <c r="E3826" s="6"/>
      <c r="F3826" s="6"/>
      <c r="G3826" s="6"/>
      <c r="H3826" s="6"/>
      <c r="I3826" s="6"/>
      <c r="J3826" s="6"/>
      <c r="K3826" s="3" t="s">
        <v>12</v>
      </c>
      <c r="L3826" s="4" t="s">
        <v>87</v>
      </c>
    </row>
    <row r="3827" spans="1:12" ht="15" customHeight="1" x14ac:dyDescent="0.25">
      <c r="A3827" s="3" t="s">
        <v>14</v>
      </c>
      <c r="B3827" s="6" t="s">
        <v>88</v>
      </c>
      <c r="C3827" s="6"/>
      <c r="D3827" s="7" t="s">
        <v>16</v>
      </c>
      <c r="E3827" s="7"/>
      <c r="F3827" s="6" t="str">
        <f>"3DD3.000277"</f>
        <v>3DD3.000277</v>
      </c>
      <c r="G3827" s="6"/>
      <c r="H3827" s="3" t="s">
        <v>17</v>
      </c>
      <c r="I3827" s="6" t="s">
        <v>89</v>
      </c>
      <c r="J3827" s="6"/>
      <c r="K3827" s="3" t="s">
        <v>19</v>
      </c>
      <c r="L3827" s="5">
        <v>1</v>
      </c>
    </row>
    <row r="3828" spans="1:12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</row>
    <row r="3829" spans="1:12" ht="15" customHeight="1" x14ac:dyDescent="0.25">
      <c r="A3829" s="10" t="s">
        <v>20</v>
      </c>
      <c r="B3829" s="11"/>
      <c r="C3829" s="12"/>
      <c r="D3829" s="8" t="s">
        <v>21</v>
      </c>
      <c r="E3829" s="8" t="s">
        <v>22</v>
      </c>
      <c r="F3829" s="9" t="s">
        <v>23</v>
      </c>
      <c r="G3829" s="9" t="s">
        <v>24</v>
      </c>
      <c r="H3829" s="9" t="s">
        <v>25</v>
      </c>
      <c r="I3829" s="9" t="s">
        <v>26</v>
      </c>
      <c r="J3829" s="9" t="s">
        <v>27</v>
      </c>
      <c r="K3829" s="13" t="s">
        <v>28</v>
      </c>
      <c r="L3829" s="14"/>
    </row>
    <row r="3830" spans="1:12" ht="15" customHeight="1" x14ac:dyDescent="0.25">
      <c r="A3830" s="15" t="s">
        <v>29</v>
      </c>
      <c r="B3830" s="16"/>
      <c r="C3830" s="16"/>
      <c r="D3830" s="16"/>
      <c r="E3830" s="16"/>
      <c r="F3830" s="16"/>
      <c r="G3830" s="16"/>
      <c r="H3830" s="16"/>
      <c r="I3830" s="16"/>
      <c r="J3830" s="17"/>
      <c r="K3830" s="15">
        <v>0</v>
      </c>
      <c r="L3830" s="17"/>
    </row>
    <row r="3831" spans="1:12" x14ac:dyDescent="0.25">
      <c r="A3831" s="18"/>
      <c r="B3831" s="18"/>
      <c r="C3831" s="18"/>
      <c r="D3831" s="18"/>
      <c r="E3831" s="18"/>
      <c r="F3831" s="18"/>
      <c r="G3831" s="18"/>
      <c r="H3831" s="18"/>
      <c r="I3831" s="18"/>
      <c r="J3831" s="18"/>
      <c r="K3831" s="18"/>
      <c r="L3831" s="18"/>
    </row>
    <row r="3832" spans="1:12" ht="15" customHeight="1" x14ac:dyDescent="0.25">
      <c r="A3832" s="10" t="s">
        <v>30</v>
      </c>
      <c r="B3832" s="11"/>
      <c r="C3832" s="12"/>
      <c r="D3832" s="8" t="s">
        <v>21</v>
      </c>
      <c r="E3832" s="8" t="s">
        <v>22</v>
      </c>
      <c r="F3832" s="9" t="s">
        <v>31</v>
      </c>
      <c r="G3832" s="9" t="s">
        <v>32</v>
      </c>
      <c r="H3832" s="9" t="s">
        <v>33</v>
      </c>
      <c r="I3832" s="13" t="s">
        <v>34</v>
      </c>
      <c r="J3832" s="14"/>
      <c r="K3832" s="13" t="s">
        <v>28</v>
      </c>
      <c r="L3832" s="14"/>
    </row>
    <row r="3833" spans="1:12" ht="15" customHeight="1" x14ac:dyDescent="0.25">
      <c r="A3833" s="15" t="s">
        <v>38</v>
      </c>
      <c r="B3833" s="16"/>
      <c r="C3833" s="16"/>
      <c r="D3833" s="16"/>
      <c r="E3833" s="16"/>
      <c r="F3833" s="16"/>
      <c r="G3833" s="16"/>
      <c r="H3833" s="16"/>
      <c r="I3833" s="16"/>
      <c r="J3833" s="17"/>
      <c r="K3833" s="15">
        <v>0</v>
      </c>
      <c r="L3833" s="17"/>
    </row>
    <row r="3834" spans="1:12" x14ac:dyDescent="0.25">
      <c r="A3834" s="18"/>
      <c r="B3834" s="18"/>
      <c r="C3834" s="18"/>
      <c r="D3834" s="18"/>
      <c r="E3834" s="18"/>
      <c r="F3834" s="18"/>
      <c r="G3834" s="18"/>
      <c r="H3834" s="18"/>
      <c r="I3834" s="18"/>
      <c r="J3834" s="18"/>
      <c r="K3834" s="18"/>
      <c r="L3834" s="18"/>
    </row>
    <row r="3835" spans="1:12" ht="15" customHeight="1" x14ac:dyDescent="0.25">
      <c r="A3835" s="10" t="s">
        <v>39</v>
      </c>
      <c r="B3835" s="11"/>
      <c r="C3835" s="12"/>
      <c r="D3835" s="8" t="s">
        <v>21</v>
      </c>
      <c r="E3835" s="13" t="s">
        <v>40</v>
      </c>
      <c r="F3835" s="14"/>
      <c r="G3835" s="8" t="s">
        <v>41</v>
      </c>
      <c r="H3835" s="8" t="s">
        <v>42</v>
      </c>
      <c r="I3835" s="8" t="s">
        <v>43</v>
      </c>
      <c r="J3835" s="13" t="s">
        <v>44</v>
      </c>
      <c r="K3835" s="26"/>
      <c r="L3835" s="14"/>
    </row>
    <row r="3836" spans="1:12" ht="15" customHeight="1" x14ac:dyDescent="0.25">
      <c r="A3836" s="15" t="s">
        <v>45</v>
      </c>
      <c r="B3836" s="16"/>
      <c r="C3836" s="16"/>
      <c r="D3836" s="16"/>
      <c r="E3836" s="16"/>
      <c r="F3836" s="16"/>
      <c r="G3836" s="16"/>
      <c r="H3836" s="16"/>
      <c r="I3836" s="16"/>
      <c r="J3836" s="17"/>
      <c r="K3836" s="15">
        <v>0</v>
      </c>
      <c r="L3836" s="17"/>
    </row>
    <row r="3837" spans="1:12" x14ac:dyDescent="0.25">
      <c r="A3837" s="18"/>
      <c r="B3837" s="18"/>
      <c r="C3837" s="18"/>
      <c r="D3837" s="18"/>
      <c r="E3837" s="18"/>
      <c r="F3837" s="18"/>
      <c r="G3837" s="18"/>
      <c r="H3837" s="18"/>
      <c r="I3837" s="18"/>
      <c r="J3837" s="18"/>
      <c r="K3837" s="18"/>
      <c r="L3837" s="18"/>
    </row>
    <row r="3838" spans="1:12" ht="15" customHeight="1" x14ac:dyDescent="0.25">
      <c r="A3838" s="27" t="s">
        <v>46</v>
      </c>
      <c r="B3838" s="27"/>
      <c r="C3838" s="27"/>
      <c r="D3838" s="27"/>
      <c r="E3838" s="27"/>
      <c r="F3838" s="27"/>
      <c r="G3838" s="27"/>
      <c r="H3838" s="27"/>
      <c r="I3838" s="27"/>
      <c r="J3838" s="27"/>
      <c r="K3838" s="27">
        <v>0</v>
      </c>
      <c r="L3838" s="27"/>
    </row>
    <row r="3839" spans="1:12" ht="15" customHeight="1" x14ac:dyDescent="0.25">
      <c r="A3839" s="27" t="s">
        <v>47</v>
      </c>
      <c r="B3839" s="27"/>
      <c r="C3839" s="27"/>
      <c r="D3839" s="27"/>
      <c r="E3839" s="27"/>
      <c r="F3839" s="27"/>
      <c r="G3839" s="27"/>
      <c r="H3839" s="27"/>
      <c r="I3839" s="27"/>
      <c r="J3839" s="27"/>
      <c r="K3839" s="27">
        <v>1</v>
      </c>
      <c r="L3839" s="27"/>
    </row>
    <row r="3840" spans="1:12" ht="15" customHeight="1" x14ac:dyDescent="0.25">
      <c r="A3840" s="27" t="s">
        <v>48</v>
      </c>
      <c r="B3840" s="27"/>
      <c r="C3840" s="27"/>
      <c r="D3840" s="27"/>
      <c r="E3840" s="27"/>
      <c r="F3840" s="27"/>
      <c r="G3840" s="27"/>
      <c r="H3840" s="27"/>
      <c r="I3840" s="27"/>
      <c r="J3840" s="27"/>
      <c r="K3840" s="27">
        <v>0</v>
      </c>
      <c r="L3840" s="27"/>
    </row>
    <row r="3841" spans="1:12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</row>
    <row r="3842" spans="1:12" ht="15" customHeight="1" x14ac:dyDescent="0.25">
      <c r="A3842" s="10" t="s">
        <v>49</v>
      </c>
      <c r="B3842" s="11"/>
      <c r="C3842" s="11"/>
      <c r="D3842" s="11"/>
      <c r="E3842" s="12"/>
      <c r="F3842" s="8" t="s">
        <v>21</v>
      </c>
      <c r="G3842" s="8" t="s">
        <v>22</v>
      </c>
      <c r="H3842" s="9" t="s">
        <v>44</v>
      </c>
      <c r="I3842" s="13" t="s">
        <v>34</v>
      </c>
      <c r="J3842" s="14"/>
      <c r="K3842" s="13" t="s">
        <v>50</v>
      </c>
      <c r="L3842" s="14"/>
    </row>
    <row r="3843" spans="1:12" ht="15" customHeight="1" x14ac:dyDescent="0.25">
      <c r="A3843" s="21" t="s">
        <v>486</v>
      </c>
      <c r="B3843" s="22"/>
      <c r="C3843" s="22"/>
      <c r="D3843" s="22"/>
      <c r="E3843" s="23"/>
      <c r="F3843" s="19" t="str">
        <f>"048165"</f>
        <v>048165</v>
      </c>
      <c r="G3843" s="19" t="s">
        <v>81</v>
      </c>
      <c r="H3843" s="20">
        <v>0.64</v>
      </c>
      <c r="I3843" s="24">
        <v>0.33329999999999999</v>
      </c>
      <c r="J3843" s="25"/>
      <c r="K3843" s="24">
        <v>0.21</v>
      </c>
      <c r="L3843" s="25"/>
    </row>
    <row r="3844" spans="1:12" ht="15" customHeight="1" x14ac:dyDescent="0.25">
      <c r="A3844" s="21" t="s">
        <v>487</v>
      </c>
      <c r="B3844" s="22"/>
      <c r="C3844" s="22"/>
      <c r="D3844" s="22"/>
      <c r="E3844" s="23"/>
      <c r="F3844" s="19" t="str">
        <f>"048960"</f>
        <v>048960</v>
      </c>
      <c r="G3844" s="19" t="s">
        <v>99</v>
      </c>
      <c r="H3844" s="20">
        <v>8</v>
      </c>
      <c r="I3844" s="24">
        <v>1</v>
      </c>
      <c r="J3844" s="25"/>
      <c r="K3844" s="24">
        <v>8</v>
      </c>
      <c r="L3844" s="25"/>
    </row>
    <row r="3845" spans="1:12" ht="15" customHeight="1" x14ac:dyDescent="0.25">
      <c r="A3845" s="21" t="s">
        <v>488</v>
      </c>
      <c r="B3845" s="22"/>
      <c r="C3845" s="22"/>
      <c r="D3845" s="22"/>
      <c r="E3845" s="23"/>
      <c r="F3845" s="19" t="str">
        <f>"049122"</f>
        <v>049122</v>
      </c>
      <c r="G3845" s="19" t="s">
        <v>81</v>
      </c>
      <c r="H3845" s="20">
        <v>3.43</v>
      </c>
      <c r="I3845" s="24">
        <v>0.5</v>
      </c>
      <c r="J3845" s="25"/>
      <c r="K3845" s="24">
        <v>1.71</v>
      </c>
      <c r="L3845" s="25"/>
    </row>
    <row r="3846" spans="1:12" ht="15" customHeight="1" x14ac:dyDescent="0.25">
      <c r="A3846" s="15" t="s">
        <v>51</v>
      </c>
      <c r="B3846" s="16"/>
      <c r="C3846" s="16"/>
      <c r="D3846" s="16"/>
      <c r="E3846" s="16"/>
      <c r="F3846" s="16"/>
      <c r="G3846" s="16"/>
      <c r="H3846" s="16"/>
      <c r="I3846" s="16"/>
      <c r="J3846" s="17"/>
      <c r="K3846" s="15">
        <v>9.92</v>
      </c>
      <c r="L3846" s="17"/>
    </row>
    <row r="3847" spans="1:12" x14ac:dyDescent="0.25">
      <c r="A3847" s="18"/>
      <c r="B3847" s="18"/>
      <c r="C3847" s="18"/>
      <c r="D3847" s="18"/>
      <c r="E3847" s="18"/>
      <c r="F3847" s="18"/>
      <c r="G3847" s="18"/>
      <c r="H3847" s="18"/>
      <c r="I3847" s="18"/>
      <c r="J3847" s="18"/>
      <c r="K3847" s="18"/>
      <c r="L3847" s="18"/>
    </row>
    <row r="3848" spans="1:12" ht="15" customHeight="1" x14ac:dyDescent="0.25">
      <c r="A3848" s="10" t="s">
        <v>52</v>
      </c>
      <c r="B3848" s="11"/>
      <c r="C3848" s="11"/>
      <c r="D3848" s="11"/>
      <c r="E3848" s="12"/>
      <c r="F3848" s="8" t="s">
        <v>21</v>
      </c>
      <c r="G3848" s="8" t="s">
        <v>22</v>
      </c>
      <c r="H3848" s="9" t="s">
        <v>44</v>
      </c>
      <c r="I3848" s="13" t="s">
        <v>34</v>
      </c>
      <c r="J3848" s="14"/>
      <c r="K3848" s="13" t="s">
        <v>50</v>
      </c>
      <c r="L3848" s="14"/>
    </row>
    <row r="3849" spans="1:12" ht="30" customHeight="1" x14ac:dyDescent="0.25">
      <c r="A3849" s="21" t="s">
        <v>489</v>
      </c>
      <c r="B3849" s="22"/>
      <c r="C3849" s="22"/>
      <c r="D3849" s="22"/>
      <c r="E3849" s="23"/>
      <c r="F3849" s="19" t="s">
        <v>490</v>
      </c>
      <c r="G3849" s="19" t="s">
        <v>84</v>
      </c>
      <c r="H3849" s="20">
        <v>0.33329999999999999</v>
      </c>
      <c r="I3849" s="24" t="s">
        <v>164</v>
      </c>
      <c r="J3849" s="25"/>
      <c r="K3849" s="24" t="s">
        <v>164</v>
      </c>
      <c r="L3849" s="25"/>
    </row>
    <row r="3850" spans="1:12" ht="15" customHeight="1" x14ac:dyDescent="0.25">
      <c r="A3850" s="21" t="s">
        <v>491</v>
      </c>
      <c r="B3850" s="22"/>
      <c r="C3850" s="22"/>
      <c r="D3850" s="22"/>
      <c r="E3850" s="23"/>
      <c r="F3850" s="19" t="s">
        <v>492</v>
      </c>
      <c r="G3850" s="19" t="s">
        <v>87</v>
      </c>
      <c r="H3850" s="20">
        <v>1</v>
      </c>
      <c r="I3850" s="24" t="s">
        <v>164</v>
      </c>
      <c r="J3850" s="25"/>
      <c r="K3850" s="24" t="s">
        <v>164</v>
      </c>
      <c r="L3850" s="25"/>
    </row>
    <row r="3851" spans="1:12" ht="45" customHeight="1" x14ac:dyDescent="0.25">
      <c r="A3851" s="21" t="s">
        <v>493</v>
      </c>
      <c r="B3851" s="22"/>
      <c r="C3851" s="22"/>
      <c r="D3851" s="22"/>
      <c r="E3851" s="23"/>
      <c r="F3851" s="19" t="s">
        <v>494</v>
      </c>
      <c r="G3851" s="19" t="s">
        <v>84</v>
      </c>
      <c r="H3851" s="20">
        <v>0.5</v>
      </c>
      <c r="I3851" s="24" t="s">
        <v>164</v>
      </c>
      <c r="J3851" s="25"/>
      <c r="K3851" s="24" t="s">
        <v>164</v>
      </c>
      <c r="L3851" s="25"/>
    </row>
    <row r="3852" spans="1:12" ht="15" customHeight="1" x14ac:dyDescent="0.25">
      <c r="A3852" s="15" t="s">
        <v>53</v>
      </c>
      <c r="B3852" s="16"/>
      <c r="C3852" s="16"/>
      <c r="D3852" s="16"/>
      <c r="E3852" s="16"/>
      <c r="F3852" s="16"/>
      <c r="G3852" s="16"/>
      <c r="H3852" s="16"/>
      <c r="I3852" s="16"/>
      <c r="J3852" s="17"/>
      <c r="K3852" s="15">
        <v>37.32</v>
      </c>
      <c r="L3852" s="17"/>
    </row>
    <row r="3853" spans="1:12" x14ac:dyDescent="0.25">
      <c r="A3853" s="18"/>
      <c r="B3853" s="18"/>
      <c r="C3853" s="18"/>
      <c r="D3853" s="18"/>
      <c r="E3853" s="18"/>
      <c r="F3853" s="18"/>
      <c r="G3853" s="18"/>
      <c r="H3853" s="18"/>
      <c r="I3853" s="18"/>
      <c r="J3853" s="18"/>
      <c r="K3853" s="18"/>
      <c r="L3853" s="18"/>
    </row>
    <row r="3854" spans="1:12" ht="15" customHeight="1" x14ac:dyDescent="0.25">
      <c r="A3854" s="10" t="s">
        <v>54</v>
      </c>
      <c r="B3854" s="11"/>
      <c r="C3854" s="12"/>
      <c r="D3854" s="8" t="s">
        <v>21</v>
      </c>
      <c r="E3854" s="8" t="s">
        <v>22</v>
      </c>
      <c r="F3854" s="9" t="s">
        <v>55</v>
      </c>
      <c r="G3854" s="8" t="s">
        <v>56</v>
      </c>
      <c r="H3854" s="8" t="s">
        <v>57</v>
      </c>
      <c r="I3854" s="8" t="s">
        <v>58</v>
      </c>
      <c r="J3854" s="9" t="s">
        <v>59</v>
      </c>
      <c r="K3854" s="9" t="s">
        <v>34</v>
      </c>
      <c r="L3854" s="9" t="s">
        <v>50</v>
      </c>
    </row>
    <row r="3855" spans="1:12" ht="15" customHeight="1" x14ac:dyDescent="0.25">
      <c r="A3855" s="15" t="s">
        <v>60</v>
      </c>
      <c r="B3855" s="16"/>
      <c r="C3855" s="16"/>
      <c r="D3855" s="16"/>
      <c r="E3855" s="16"/>
      <c r="F3855" s="16"/>
      <c r="G3855" s="16"/>
      <c r="H3855" s="16"/>
      <c r="I3855" s="16"/>
      <c r="J3855" s="17"/>
      <c r="K3855" s="15">
        <v>0</v>
      </c>
      <c r="L3855" s="17"/>
    </row>
    <row r="3856" spans="1:12" x14ac:dyDescent="0.25">
      <c r="A3856" s="18"/>
      <c r="B3856" s="18"/>
      <c r="C3856" s="18"/>
      <c r="D3856" s="18"/>
      <c r="E3856" s="18"/>
      <c r="F3856" s="18"/>
      <c r="G3856" s="18"/>
      <c r="H3856" s="18"/>
      <c r="I3856" s="18"/>
      <c r="J3856" s="18"/>
      <c r="K3856" s="18"/>
      <c r="L3856" s="18"/>
    </row>
    <row r="3857" spans="1:12" ht="15" customHeight="1" x14ac:dyDescent="0.25">
      <c r="A3857" s="27" t="s">
        <v>61</v>
      </c>
      <c r="B3857" s="27"/>
      <c r="C3857" s="27"/>
      <c r="D3857" s="27"/>
      <c r="E3857" s="27"/>
      <c r="F3857" s="27"/>
      <c r="G3857" s="27"/>
      <c r="H3857" s="27"/>
      <c r="I3857" s="27"/>
      <c r="J3857" s="27"/>
      <c r="K3857" s="27">
        <v>47.24</v>
      </c>
      <c r="L3857" s="27"/>
    </row>
    <row r="3858" spans="1:12" ht="15" customHeight="1" x14ac:dyDescent="0.25">
      <c r="A3858" s="27" t="s">
        <v>62</v>
      </c>
      <c r="B3858" s="27"/>
      <c r="C3858" s="27"/>
      <c r="D3858" s="27"/>
      <c r="E3858" s="27"/>
      <c r="F3858" s="27"/>
      <c r="G3858" s="27"/>
      <c r="H3858" s="27"/>
      <c r="I3858" s="27"/>
      <c r="J3858" s="27"/>
      <c r="K3858" s="27">
        <v>15.71</v>
      </c>
      <c r="L3858" s="27"/>
    </row>
    <row r="3859" spans="1:12" ht="15" customHeight="1" x14ac:dyDescent="0.25">
      <c r="A3859" s="27" t="s">
        <v>63</v>
      </c>
      <c r="B3859" s="27"/>
      <c r="C3859" s="27"/>
      <c r="D3859" s="27"/>
      <c r="E3859" s="27"/>
      <c r="F3859" s="27"/>
      <c r="G3859" s="27"/>
      <c r="H3859" s="27"/>
      <c r="I3859" s="27"/>
      <c r="J3859" s="27"/>
      <c r="K3859" s="27">
        <v>62.95</v>
      </c>
      <c r="L3859" s="27"/>
    </row>
    <row r="3860" spans="1:12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</row>
    <row r="3861" spans="1:12" ht="15" customHeight="1" x14ac:dyDescent="0.25">
      <c r="A3861" s="3" t="s">
        <v>8</v>
      </c>
      <c r="B3861" s="6" t="s">
        <v>9</v>
      </c>
      <c r="C3861" s="6"/>
      <c r="D3861" s="6"/>
      <c r="E3861" s="6"/>
      <c r="F3861" s="6"/>
      <c r="G3861" s="6"/>
      <c r="H3861" s="6"/>
      <c r="I3861" s="6"/>
      <c r="J3861" s="6"/>
      <c r="K3861" s="6"/>
      <c r="L3861" s="6"/>
    </row>
    <row r="3862" spans="1:12" ht="15" customHeight="1" x14ac:dyDescent="0.25">
      <c r="A3862" s="3" t="s">
        <v>10</v>
      </c>
      <c r="B3862" s="6" t="s">
        <v>495</v>
      </c>
      <c r="C3862" s="6"/>
      <c r="D3862" s="6"/>
      <c r="E3862" s="6"/>
      <c r="F3862" s="6"/>
      <c r="G3862" s="6"/>
      <c r="H3862" s="6"/>
      <c r="I3862" s="6"/>
      <c r="J3862" s="6"/>
      <c r="K3862" s="3" t="s">
        <v>12</v>
      </c>
      <c r="L3862" s="4" t="s">
        <v>84</v>
      </c>
    </row>
    <row r="3863" spans="1:12" ht="15" customHeight="1" x14ac:dyDescent="0.25">
      <c r="A3863" s="3" t="s">
        <v>14</v>
      </c>
      <c r="B3863" s="6" t="s">
        <v>15</v>
      </c>
      <c r="C3863" s="6"/>
      <c r="D3863" s="7" t="s">
        <v>16</v>
      </c>
      <c r="E3863" s="7"/>
      <c r="F3863" s="6" t="str">
        <f>"150850"</f>
        <v>150850</v>
      </c>
      <c r="G3863" s="6"/>
      <c r="H3863" s="3" t="s">
        <v>17</v>
      </c>
      <c r="I3863" s="6" t="s">
        <v>18</v>
      </c>
      <c r="J3863" s="6"/>
      <c r="K3863" s="3" t="s">
        <v>19</v>
      </c>
      <c r="L3863" s="5">
        <v>1</v>
      </c>
    </row>
    <row r="3864" spans="1:12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</row>
    <row r="3865" spans="1:12" ht="15" customHeight="1" x14ac:dyDescent="0.25">
      <c r="A3865" s="10" t="s">
        <v>20</v>
      </c>
      <c r="B3865" s="11"/>
      <c r="C3865" s="12"/>
      <c r="D3865" s="8" t="s">
        <v>21</v>
      </c>
      <c r="E3865" s="8" t="s">
        <v>22</v>
      </c>
      <c r="F3865" s="9" t="s">
        <v>23</v>
      </c>
      <c r="G3865" s="9" t="s">
        <v>24</v>
      </c>
      <c r="H3865" s="9" t="s">
        <v>25</v>
      </c>
      <c r="I3865" s="9" t="s">
        <v>26</v>
      </c>
      <c r="J3865" s="9" t="s">
        <v>27</v>
      </c>
      <c r="K3865" s="13" t="s">
        <v>28</v>
      </c>
      <c r="L3865" s="14"/>
    </row>
    <row r="3866" spans="1:12" ht="15" customHeight="1" x14ac:dyDescent="0.25">
      <c r="A3866" s="15" t="s">
        <v>29</v>
      </c>
      <c r="B3866" s="16"/>
      <c r="C3866" s="16"/>
      <c r="D3866" s="16"/>
      <c r="E3866" s="16"/>
      <c r="F3866" s="16"/>
      <c r="G3866" s="16"/>
      <c r="H3866" s="16"/>
      <c r="I3866" s="16"/>
      <c r="J3866" s="17"/>
      <c r="K3866" s="15">
        <v>0</v>
      </c>
      <c r="L3866" s="17"/>
    </row>
    <row r="3867" spans="1:12" x14ac:dyDescent="0.25">
      <c r="A3867" s="18"/>
      <c r="B3867" s="18"/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</row>
    <row r="3868" spans="1:12" ht="15" customHeight="1" x14ac:dyDescent="0.25">
      <c r="A3868" s="10" t="s">
        <v>30</v>
      </c>
      <c r="B3868" s="11"/>
      <c r="C3868" s="12"/>
      <c r="D3868" s="8" t="s">
        <v>21</v>
      </c>
      <c r="E3868" s="8" t="s">
        <v>22</v>
      </c>
      <c r="F3868" s="9" t="s">
        <v>31</v>
      </c>
      <c r="G3868" s="9" t="s">
        <v>32</v>
      </c>
      <c r="H3868" s="9" t="s">
        <v>33</v>
      </c>
      <c r="I3868" s="13" t="s">
        <v>34</v>
      </c>
      <c r="J3868" s="14"/>
      <c r="K3868" s="13" t="s">
        <v>28</v>
      </c>
      <c r="L3868" s="14"/>
    </row>
    <row r="3869" spans="1:12" ht="15" customHeight="1" x14ac:dyDescent="0.25">
      <c r="A3869" s="21" t="s">
        <v>76</v>
      </c>
      <c r="B3869" s="22"/>
      <c r="C3869" s="23"/>
      <c r="D3869" s="19" t="str">
        <f>"010101"</f>
        <v>010101</v>
      </c>
      <c r="E3869" s="19" t="s">
        <v>36</v>
      </c>
      <c r="F3869" s="20">
        <v>8.5299999999999994</v>
      </c>
      <c r="G3869" s="20">
        <v>157.27000000000001</v>
      </c>
      <c r="H3869" s="20">
        <v>21.94</v>
      </c>
      <c r="I3869" s="24">
        <v>0.15</v>
      </c>
      <c r="J3869" s="25"/>
      <c r="K3869" s="24">
        <v>3.29</v>
      </c>
      <c r="L3869" s="25"/>
    </row>
    <row r="3870" spans="1:12" ht="15" customHeight="1" x14ac:dyDescent="0.25">
      <c r="A3870" s="21" t="s">
        <v>461</v>
      </c>
      <c r="B3870" s="22"/>
      <c r="C3870" s="23"/>
      <c r="D3870" s="19" t="str">
        <f>"010115"</f>
        <v>010115</v>
      </c>
      <c r="E3870" s="19" t="s">
        <v>36</v>
      </c>
      <c r="F3870" s="20">
        <v>10.119999999999999</v>
      </c>
      <c r="G3870" s="20">
        <v>157.27000000000001</v>
      </c>
      <c r="H3870" s="20">
        <v>26.03</v>
      </c>
      <c r="I3870" s="24">
        <v>0.15</v>
      </c>
      <c r="J3870" s="25"/>
      <c r="K3870" s="24">
        <v>3.9</v>
      </c>
      <c r="L3870" s="25"/>
    </row>
    <row r="3871" spans="1:12" ht="15" customHeight="1" x14ac:dyDescent="0.25">
      <c r="A3871" s="15" t="s">
        <v>38</v>
      </c>
      <c r="B3871" s="16"/>
      <c r="C3871" s="16"/>
      <c r="D3871" s="16"/>
      <c r="E3871" s="16"/>
      <c r="F3871" s="16"/>
      <c r="G3871" s="16"/>
      <c r="H3871" s="16"/>
      <c r="I3871" s="16"/>
      <c r="J3871" s="17"/>
      <c r="K3871" s="15">
        <v>7.19</v>
      </c>
      <c r="L3871" s="17"/>
    </row>
    <row r="3872" spans="1:12" x14ac:dyDescent="0.25">
      <c r="A3872" s="18"/>
      <c r="B3872" s="18"/>
      <c r="C3872" s="18"/>
      <c r="D3872" s="18"/>
      <c r="E3872" s="18"/>
      <c r="F3872" s="18"/>
      <c r="G3872" s="18"/>
      <c r="H3872" s="18"/>
      <c r="I3872" s="18"/>
      <c r="J3872" s="18"/>
      <c r="K3872" s="18"/>
      <c r="L3872" s="18"/>
    </row>
    <row r="3873" spans="1:12" ht="15" customHeight="1" x14ac:dyDescent="0.25">
      <c r="A3873" s="10" t="s">
        <v>39</v>
      </c>
      <c r="B3873" s="11"/>
      <c r="C3873" s="12"/>
      <c r="D3873" s="8" t="s">
        <v>21</v>
      </c>
      <c r="E3873" s="13" t="s">
        <v>40</v>
      </c>
      <c r="F3873" s="14"/>
      <c r="G3873" s="8" t="s">
        <v>41</v>
      </c>
      <c r="H3873" s="8" t="s">
        <v>42</v>
      </c>
      <c r="I3873" s="8" t="s">
        <v>43</v>
      </c>
      <c r="J3873" s="13" t="s">
        <v>44</v>
      </c>
      <c r="K3873" s="26"/>
      <c r="L3873" s="14"/>
    </row>
    <row r="3874" spans="1:12" ht="15" customHeight="1" x14ac:dyDescent="0.25">
      <c r="A3874" s="15" t="s">
        <v>45</v>
      </c>
      <c r="B3874" s="16"/>
      <c r="C3874" s="16"/>
      <c r="D3874" s="16"/>
      <c r="E3874" s="16"/>
      <c r="F3874" s="16"/>
      <c r="G3874" s="16"/>
      <c r="H3874" s="16"/>
      <c r="I3874" s="16"/>
      <c r="J3874" s="17"/>
      <c r="K3874" s="15">
        <v>0</v>
      </c>
      <c r="L3874" s="17"/>
    </row>
    <row r="3875" spans="1:12" x14ac:dyDescent="0.25">
      <c r="A3875" s="18"/>
      <c r="B3875" s="18"/>
      <c r="C3875" s="18"/>
      <c r="D3875" s="18"/>
      <c r="E3875" s="18"/>
      <c r="F3875" s="18"/>
      <c r="G3875" s="18"/>
      <c r="H3875" s="18"/>
      <c r="I3875" s="18"/>
      <c r="J3875" s="18"/>
      <c r="K3875" s="18"/>
      <c r="L3875" s="18"/>
    </row>
    <row r="3876" spans="1:12" ht="15" customHeight="1" x14ac:dyDescent="0.25">
      <c r="A3876" s="27" t="s">
        <v>46</v>
      </c>
      <c r="B3876" s="27"/>
      <c r="C3876" s="27"/>
      <c r="D3876" s="27"/>
      <c r="E3876" s="27"/>
      <c r="F3876" s="27"/>
      <c r="G3876" s="27"/>
      <c r="H3876" s="27"/>
      <c r="I3876" s="27"/>
      <c r="J3876" s="27"/>
      <c r="K3876" s="27">
        <v>7.19</v>
      </c>
      <c r="L3876" s="27"/>
    </row>
    <row r="3877" spans="1:12" ht="15" customHeight="1" x14ac:dyDescent="0.25">
      <c r="A3877" s="27" t="s">
        <v>47</v>
      </c>
      <c r="B3877" s="27"/>
      <c r="C3877" s="27"/>
      <c r="D3877" s="27"/>
      <c r="E3877" s="27"/>
      <c r="F3877" s="27"/>
      <c r="G3877" s="27"/>
      <c r="H3877" s="27"/>
      <c r="I3877" s="27"/>
      <c r="J3877" s="27"/>
      <c r="K3877" s="27">
        <v>1</v>
      </c>
      <c r="L3877" s="27"/>
    </row>
    <row r="3878" spans="1:12" ht="15" customHeight="1" x14ac:dyDescent="0.25">
      <c r="A3878" s="27" t="s">
        <v>48</v>
      </c>
      <c r="B3878" s="27"/>
      <c r="C3878" s="27"/>
      <c r="D3878" s="27"/>
      <c r="E3878" s="27"/>
      <c r="F3878" s="27"/>
      <c r="G3878" s="27"/>
      <c r="H3878" s="27"/>
      <c r="I3878" s="27"/>
      <c r="J3878" s="27"/>
      <c r="K3878" s="27">
        <v>7.19</v>
      </c>
      <c r="L3878" s="27"/>
    </row>
    <row r="3879" spans="1:12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</row>
    <row r="3880" spans="1:12" ht="15" customHeight="1" x14ac:dyDescent="0.25">
      <c r="A3880" s="10" t="s">
        <v>49</v>
      </c>
      <c r="B3880" s="11"/>
      <c r="C3880" s="11"/>
      <c r="D3880" s="11"/>
      <c r="E3880" s="12"/>
      <c r="F3880" s="8" t="s">
        <v>21</v>
      </c>
      <c r="G3880" s="8" t="s">
        <v>22</v>
      </c>
      <c r="H3880" s="9" t="s">
        <v>44</v>
      </c>
      <c r="I3880" s="13" t="s">
        <v>34</v>
      </c>
      <c r="J3880" s="14"/>
      <c r="K3880" s="13" t="s">
        <v>50</v>
      </c>
      <c r="L3880" s="14"/>
    </row>
    <row r="3881" spans="1:12" ht="15" customHeight="1" x14ac:dyDescent="0.25">
      <c r="A3881" s="21" t="s">
        <v>496</v>
      </c>
      <c r="B3881" s="22"/>
      <c r="C3881" s="22"/>
      <c r="D3881" s="22"/>
      <c r="E3881" s="23"/>
      <c r="F3881" s="19" t="str">
        <f>"049064"</f>
        <v>049064</v>
      </c>
      <c r="G3881" s="19" t="s">
        <v>81</v>
      </c>
      <c r="H3881" s="20">
        <v>2.89</v>
      </c>
      <c r="I3881" s="24">
        <v>1</v>
      </c>
      <c r="J3881" s="25"/>
      <c r="K3881" s="24">
        <v>2.89</v>
      </c>
      <c r="L3881" s="25"/>
    </row>
    <row r="3882" spans="1:12" ht="15" customHeight="1" x14ac:dyDescent="0.25">
      <c r="A3882" s="15" t="s">
        <v>51</v>
      </c>
      <c r="B3882" s="16"/>
      <c r="C3882" s="16"/>
      <c r="D3882" s="16"/>
      <c r="E3882" s="16"/>
      <c r="F3882" s="16"/>
      <c r="G3882" s="16"/>
      <c r="H3882" s="16"/>
      <c r="I3882" s="16"/>
      <c r="J3882" s="17"/>
      <c r="K3882" s="15">
        <v>2.89</v>
      </c>
      <c r="L3882" s="17"/>
    </row>
    <row r="3883" spans="1:12" x14ac:dyDescent="0.25">
      <c r="A3883" s="18"/>
      <c r="B3883" s="18"/>
      <c r="C3883" s="18"/>
      <c r="D3883" s="18"/>
      <c r="E3883" s="18"/>
      <c r="F3883" s="18"/>
      <c r="G3883" s="18"/>
      <c r="H3883" s="18"/>
      <c r="I3883" s="18"/>
      <c r="J3883" s="18"/>
      <c r="K3883" s="18"/>
      <c r="L3883" s="18"/>
    </row>
    <row r="3884" spans="1:12" ht="15" customHeight="1" x14ac:dyDescent="0.25">
      <c r="A3884" s="10" t="s">
        <v>52</v>
      </c>
      <c r="B3884" s="11"/>
      <c r="C3884" s="11"/>
      <c r="D3884" s="11"/>
      <c r="E3884" s="12"/>
      <c r="F3884" s="8" t="s">
        <v>21</v>
      </c>
      <c r="G3884" s="8" t="s">
        <v>22</v>
      </c>
      <c r="H3884" s="9" t="s">
        <v>44</v>
      </c>
      <c r="I3884" s="13" t="s">
        <v>34</v>
      </c>
      <c r="J3884" s="14"/>
      <c r="K3884" s="13" t="s">
        <v>50</v>
      </c>
      <c r="L3884" s="14"/>
    </row>
    <row r="3885" spans="1:12" ht="15" customHeight="1" x14ac:dyDescent="0.25">
      <c r="A3885" s="15" t="s">
        <v>53</v>
      </c>
      <c r="B3885" s="16"/>
      <c r="C3885" s="16"/>
      <c r="D3885" s="16"/>
      <c r="E3885" s="16"/>
      <c r="F3885" s="16"/>
      <c r="G3885" s="16"/>
      <c r="H3885" s="16"/>
      <c r="I3885" s="16"/>
      <c r="J3885" s="17"/>
      <c r="K3885" s="15">
        <v>0</v>
      </c>
      <c r="L3885" s="17"/>
    </row>
    <row r="3886" spans="1:12" x14ac:dyDescent="0.25">
      <c r="A3886" s="18"/>
      <c r="B3886" s="18"/>
      <c r="C3886" s="18"/>
      <c r="D3886" s="18"/>
      <c r="E3886" s="18"/>
      <c r="F3886" s="18"/>
      <c r="G3886" s="18"/>
      <c r="H3886" s="18"/>
      <c r="I3886" s="18"/>
      <c r="J3886" s="18"/>
      <c r="K3886" s="18"/>
      <c r="L3886" s="18"/>
    </row>
    <row r="3887" spans="1:12" ht="15" customHeight="1" x14ac:dyDescent="0.25">
      <c r="A3887" s="10" t="s">
        <v>54</v>
      </c>
      <c r="B3887" s="11"/>
      <c r="C3887" s="12"/>
      <c r="D3887" s="8" t="s">
        <v>21</v>
      </c>
      <c r="E3887" s="8" t="s">
        <v>22</v>
      </c>
      <c r="F3887" s="9" t="s">
        <v>55</v>
      </c>
      <c r="G3887" s="8" t="s">
        <v>56</v>
      </c>
      <c r="H3887" s="8" t="s">
        <v>57</v>
      </c>
      <c r="I3887" s="8" t="s">
        <v>58</v>
      </c>
      <c r="J3887" s="9" t="s">
        <v>59</v>
      </c>
      <c r="K3887" s="9" t="s">
        <v>34</v>
      </c>
      <c r="L3887" s="9" t="s">
        <v>50</v>
      </c>
    </row>
    <row r="3888" spans="1:12" ht="15" customHeight="1" x14ac:dyDescent="0.25">
      <c r="A3888" s="15" t="s">
        <v>60</v>
      </c>
      <c r="B3888" s="16"/>
      <c r="C3888" s="16"/>
      <c r="D3888" s="16"/>
      <c r="E3888" s="16"/>
      <c r="F3888" s="16"/>
      <c r="G3888" s="16"/>
      <c r="H3888" s="16"/>
      <c r="I3888" s="16"/>
      <c r="J3888" s="17"/>
      <c r="K3888" s="15">
        <v>0</v>
      </c>
      <c r="L3888" s="17"/>
    </row>
    <row r="3889" spans="1:12" x14ac:dyDescent="0.25">
      <c r="A3889" s="18"/>
      <c r="B3889" s="18"/>
      <c r="C3889" s="18"/>
      <c r="D3889" s="18"/>
      <c r="E3889" s="18"/>
      <c r="F3889" s="18"/>
      <c r="G3889" s="18"/>
      <c r="H3889" s="18"/>
      <c r="I3889" s="18"/>
      <c r="J3889" s="18"/>
      <c r="K3889" s="18"/>
      <c r="L3889" s="18"/>
    </row>
    <row r="3890" spans="1:12" ht="15" customHeight="1" x14ac:dyDescent="0.25">
      <c r="A3890" s="27" t="s">
        <v>61</v>
      </c>
      <c r="B3890" s="27"/>
      <c r="C3890" s="27"/>
      <c r="D3890" s="27"/>
      <c r="E3890" s="27"/>
      <c r="F3890" s="27"/>
      <c r="G3890" s="27"/>
      <c r="H3890" s="27"/>
      <c r="I3890" s="27"/>
      <c r="J3890" s="27"/>
      <c r="K3890" s="27">
        <v>10.08</v>
      </c>
      <c r="L3890" s="27"/>
    </row>
    <row r="3891" spans="1:12" ht="15" customHeight="1" x14ac:dyDescent="0.25">
      <c r="A3891" s="27" t="s">
        <v>62</v>
      </c>
      <c r="B3891" s="27"/>
      <c r="C3891" s="27"/>
      <c r="D3891" s="27"/>
      <c r="E3891" s="27"/>
      <c r="F3891" s="27"/>
      <c r="G3891" s="27"/>
      <c r="H3891" s="27"/>
      <c r="I3891" s="27"/>
      <c r="J3891" s="27"/>
      <c r="K3891" s="27">
        <v>3.35</v>
      </c>
      <c r="L3891" s="27"/>
    </row>
    <row r="3892" spans="1:12" ht="15" customHeight="1" x14ac:dyDescent="0.25">
      <c r="A3892" s="27" t="s">
        <v>63</v>
      </c>
      <c r="B3892" s="27"/>
      <c r="C3892" s="27"/>
      <c r="D3892" s="27"/>
      <c r="E3892" s="27"/>
      <c r="F3892" s="27"/>
      <c r="G3892" s="27"/>
      <c r="H3892" s="27"/>
      <c r="I3892" s="27"/>
      <c r="J3892" s="27"/>
      <c r="K3892" s="27">
        <v>13.43</v>
      </c>
      <c r="L3892" s="27"/>
    </row>
    <row r="3893" spans="1:12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</row>
    <row r="3894" spans="1:12" ht="15" customHeight="1" x14ac:dyDescent="0.25">
      <c r="A3894" s="3" t="s">
        <v>8</v>
      </c>
      <c r="B3894" s="6" t="s">
        <v>9</v>
      </c>
      <c r="C3894" s="6"/>
      <c r="D3894" s="6"/>
      <c r="E3894" s="6"/>
      <c r="F3894" s="6"/>
      <c r="G3894" s="6"/>
      <c r="H3894" s="6"/>
      <c r="I3894" s="6"/>
      <c r="J3894" s="6"/>
      <c r="K3894" s="6"/>
      <c r="L3894" s="6"/>
    </row>
    <row r="3895" spans="1:12" ht="15" customHeight="1" x14ac:dyDescent="0.25">
      <c r="A3895" s="3" t="s">
        <v>10</v>
      </c>
      <c r="B3895" s="6" t="s">
        <v>497</v>
      </c>
      <c r="C3895" s="6"/>
      <c r="D3895" s="6"/>
      <c r="E3895" s="6"/>
      <c r="F3895" s="6"/>
      <c r="G3895" s="6"/>
      <c r="H3895" s="6"/>
      <c r="I3895" s="6"/>
      <c r="J3895" s="6"/>
      <c r="K3895" s="3" t="s">
        <v>12</v>
      </c>
      <c r="L3895" s="4" t="s">
        <v>84</v>
      </c>
    </row>
    <row r="3896" spans="1:12" ht="15" customHeight="1" x14ac:dyDescent="0.25">
      <c r="A3896" s="3" t="s">
        <v>14</v>
      </c>
      <c r="B3896" s="6" t="s">
        <v>15</v>
      </c>
      <c r="C3896" s="6"/>
      <c r="D3896" s="7" t="s">
        <v>16</v>
      </c>
      <c r="E3896" s="7"/>
      <c r="F3896" s="6" t="str">
        <f>"152116"</f>
        <v>152116</v>
      </c>
      <c r="G3896" s="6"/>
      <c r="H3896" s="3" t="s">
        <v>17</v>
      </c>
      <c r="I3896" s="6" t="s">
        <v>18</v>
      </c>
      <c r="J3896" s="6"/>
      <c r="K3896" s="3" t="s">
        <v>19</v>
      </c>
      <c r="L3896" s="5">
        <v>1</v>
      </c>
    </row>
    <row r="3897" spans="1:12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</row>
    <row r="3898" spans="1:12" ht="15" customHeight="1" x14ac:dyDescent="0.25">
      <c r="A3898" s="10" t="s">
        <v>20</v>
      </c>
      <c r="B3898" s="11"/>
      <c r="C3898" s="12"/>
      <c r="D3898" s="8" t="s">
        <v>21</v>
      </c>
      <c r="E3898" s="8" t="s">
        <v>22</v>
      </c>
      <c r="F3898" s="9" t="s">
        <v>23</v>
      </c>
      <c r="G3898" s="9" t="s">
        <v>24</v>
      </c>
      <c r="H3898" s="9" t="s">
        <v>25</v>
      </c>
      <c r="I3898" s="9" t="s">
        <v>26</v>
      </c>
      <c r="J3898" s="9" t="s">
        <v>27</v>
      </c>
      <c r="K3898" s="13" t="s">
        <v>28</v>
      </c>
      <c r="L3898" s="14"/>
    </row>
    <row r="3899" spans="1:12" ht="15" customHeight="1" x14ac:dyDescent="0.25">
      <c r="A3899" s="15" t="s">
        <v>29</v>
      </c>
      <c r="B3899" s="16"/>
      <c r="C3899" s="16"/>
      <c r="D3899" s="16"/>
      <c r="E3899" s="16"/>
      <c r="F3899" s="16"/>
      <c r="G3899" s="16"/>
      <c r="H3899" s="16"/>
      <c r="I3899" s="16"/>
      <c r="J3899" s="17"/>
      <c r="K3899" s="15">
        <v>0</v>
      </c>
      <c r="L3899" s="17"/>
    </row>
    <row r="3900" spans="1:12" x14ac:dyDescent="0.25">
      <c r="A3900" s="18"/>
      <c r="B3900" s="18"/>
      <c r="C3900" s="18"/>
      <c r="D3900" s="18"/>
      <c r="E3900" s="18"/>
      <c r="F3900" s="18"/>
      <c r="G3900" s="18"/>
      <c r="H3900" s="18"/>
      <c r="I3900" s="18"/>
      <c r="J3900" s="18"/>
      <c r="K3900" s="18"/>
      <c r="L3900" s="18"/>
    </row>
    <row r="3901" spans="1:12" ht="15" customHeight="1" x14ac:dyDescent="0.25">
      <c r="A3901" s="10" t="s">
        <v>30</v>
      </c>
      <c r="B3901" s="11"/>
      <c r="C3901" s="12"/>
      <c r="D3901" s="8" t="s">
        <v>21</v>
      </c>
      <c r="E3901" s="8" t="s">
        <v>22</v>
      </c>
      <c r="F3901" s="9" t="s">
        <v>31</v>
      </c>
      <c r="G3901" s="9" t="s">
        <v>32</v>
      </c>
      <c r="H3901" s="9" t="s">
        <v>33</v>
      </c>
      <c r="I3901" s="13" t="s">
        <v>34</v>
      </c>
      <c r="J3901" s="14"/>
      <c r="K3901" s="13" t="s">
        <v>28</v>
      </c>
      <c r="L3901" s="14"/>
    </row>
    <row r="3902" spans="1:12" ht="15" customHeight="1" x14ac:dyDescent="0.25">
      <c r="A3902" s="21" t="s">
        <v>76</v>
      </c>
      <c r="B3902" s="22"/>
      <c r="C3902" s="23"/>
      <c r="D3902" s="19" t="str">
        <f>"010101"</f>
        <v>010101</v>
      </c>
      <c r="E3902" s="19" t="s">
        <v>36</v>
      </c>
      <c r="F3902" s="20">
        <v>8.5299999999999994</v>
      </c>
      <c r="G3902" s="20">
        <v>157.27000000000001</v>
      </c>
      <c r="H3902" s="20">
        <v>21.94</v>
      </c>
      <c r="I3902" s="24">
        <v>0.5</v>
      </c>
      <c r="J3902" s="25"/>
      <c r="K3902" s="24">
        <v>10.97</v>
      </c>
      <c r="L3902" s="25"/>
    </row>
    <row r="3903" spans="1:12" ht="15" customHeight="1" x14ac:dyDescent="0.25">
      <c r="A3903" s="21" t="s">
        <v>461</v>
      </c>
      <c r="B3903" s="22"/>
      <c r="C3903" s="23"/>
      <c r="D3903" s="19" t="str">
        <f>"010115"</f>
        <v>010115</v>
      </c>
      <c r="E3903" s="19" t="s">
        <v>36</v>
      </c>
      <c r="F3903" s="20">
        <v>10.119999999999999</v>
      </c>
      <c r="G3903" s="20">
        <v>157.27000000000001</v>
      </c>
      <c r="H3903" s="20">
        <v>26.03</v>
      </c>
      <c r="I3903" s="24">
        <v>0.5</v>
      </c>
      <c r="J3903" s="25"/>
      <c r="K3903" s="24">
        <v>13.01</v>
      </c>
      <c r="L3903" s="25"/>
    </row>
    <row r="3904" spans="1:12" ht="15" customHeight="1" x14ac:dyDescent="0.25">
      <c r="A3904" s="15" t="s">
        <v>38</v>
      </c>
      <c r="B3904" s="16"/>
      <c r="C3904" s="16"/>
      <c r="D3904" s="16"/>
      <c r="E3904" s="16"/>
      <c r="F3904" s="16"/>
      <c r="G3904" s="16"/>
      <c r="H3904" s="16"/>
      <c r="I3904" s="16"/>
      <c r="J3904" s="17"/>
      <c r="K3904" s="15">
        <v>23.98</v>
      </c>
      <c r="L3904" s="17"/>
    </row>
    <row r="3905" spans="1:12" x14ac:dyDescent="0.25">
      <c r="A3905" s="18"/>
      <c r="B3905" s="18"/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</row>
    <row r="3906" spans="1:12" ht="15" customHeight="1" x14ac:dyDescent="0.25">
      <c r="A3906" s="10" t="s">
        <v>39</v>
      </c>
      <c r="B3906" s="11"/>
      <c r="C3906" s="12"/>
      <c r="D3906" s="8" t="s">
        <v>21</v>
      </c>
      <c r="E3906" s="13" t="s">
        <v>40</v>
      </c>
      <c r="F3906" s="14"/>
      <c r="G3906" s="8" t="s">
        <v>41</v>
      </c>
      <c r="H3906" s="8" t="s">
        <v>42</v>
      </c>
      <c r="I3906" s="8" t="s">
        <v>43</v>
      </c>
      <c r="J3906" s="13" t="s">
        <v>44</v>
      </c>
      <c r="K3906" s="26"/>
      <c r="L3906" s="14"/>
    </row>
    <row r="3907" spans="1:12" ht="15" customHeight="1" x14ac:dyDescent="0.25">
      <c r="A3907" s="15" t="s">
        <v>45</v>
      </c>
      <c r="B3907" s="16"/>
      <c r="C3907" s="16"/>
      <c r="D3907" s="16"/>
      <c r="E3907" s="16"/>
      <c r="F3907" s="16"/>
      <c r="G3907" s="16"/>
      <c r="H3907" s="16"/>
      <c r="I3907" s="16"/>
      <c r="J3907" s="17"/>
      <c r="K3907" s="15">
        <v>0</v>
      </c>
      <c r="L3907" s="17"/>
    </row>
    <row r="3908" spans="1:12" x14ac:dyDescent="0.25">
      <c r="A3908" s="18"/>
      <c r="B3908" s="18"/>
      <c r="C3908" s="18"/>
      <c r="D3908" s="18"/>
      <c r="E3908" s="18"/>
      <c r="F3908" s="18"/>
      <c r="G3908" s="18"/>
      <c r="H3908" s="18"/>
      <c r="I3908" s="18"/>
      <c r="J3908" s="18"/>
      <c r="K3908" s="18"/>
      <c r="L3908" s="18"/>
    </row>
    <row r="3909" spans="1:12" ht="15" customHeight="1" x14ac:dyDescent="0.25">
      <c r="A3909" s="27" t="s">
        <v>46</v>
      </c>
      <c r="B3909" s="27"/>
      <c r="C3909" s="27"/>
      <c r="D3909" s="27"/>
      <c r="E3909" s="27"/>
      <c r="F3909" s="27"/>
      <c r="G3909" s="27"/>
      <c r="H3909" s="27"/>
      <c r="I3909" s="27"/>
      <c r="J3909" s="27"/>
      <c r="K3909" s="27">
        <v>23.98</v>
      </c>
      <c r="L3909" s="27"/>
    </row>
    <row r="3910" spans="1:12" ht="15" customHeight="1" x14ac:dyDescent="0.25">
      <c r="A3910" s="27" t="s">
        <v>47</v>
      </c>
      <c r="B3910" s="27"/>
      <c r="C3910" s="27"/>
      <c r="D3910" s="27"/>
      <c r="E3910" s="27"/>
      <c r="F3910" s="27"/>
      <c r="G3910" s="27"/>
      <c r="H3910" s="27"/>
      <c r="I3910" s="27"/>
      <c r="J3910" s="27"/>
      <c r="K3910" s="27">
        <v>1</v>
      </c>
      <c r="L3910" s="27"/>
    </row>
    <row r="3911" spans="1:12" ht="15" customHeight="1" x14ac:dyDescent="0.25">
      <c r="A3911" s="27" t="s">
        <v>48</v>
      </c>
      <c r="B3911" s="27"/>
      <c r="C3911" s="27"/>
      <c r="D3911" s="27"/>
      <c r="E3911" s="27"/>
      <c r="F3911" s="27"/>
      <c r="G3911" s="27"/>
      <c r="H3911" s="27"/>
      <c r="I3911" s="27"/>
      <c r="J3911" s="27"/>
      <c r="K3911" s="27">
        <v>23.98</v>
      </c>
      <c r="L3911" s="27"/>
    </row>
    <row r="3912" spans="1:12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</row>
    <row r="3913" spans="1:12" ht="15" customHeight="1" x14ac:dyDescent="0.25">
      <c r="A3913" s="10" t="s">
        <v>49</v>
      </c>
      <c r="B3913" s="11"/>
      <c r="C3913" s="11"/>
      <c r="D3913" s="11"/>
      <c r="E3913" s="12"/>
      <c r="F3913" s="8" t="s">
        <v>21</v>
      </c>
      <c r="G3913" s="8" t="s">
        <v>22</v>
      </c>
      <c r="H3913" s="9" t="s">
        <v>44</v>
      </c>
      <c r="I3913" s="13" t="s">
        <v>34</v>
      </c>
      <c r="J3913" s="14"/>
      <c r="K3913" s="13" t="s">
        <v>50</v>
      </c>
      <c r="L3913" s="14"/>
    </row>
    <row r="3914" spans="1:12" ht="15" customHeight="1" x14ac:dyDescent="0.25">
      <c r="A3914" s="21" t="s">
        <v>498</v>
      </c>
      <c r="B3914" s="22"/>
      <c r="C3914" s="22"/>
      <c r="D3914" s="22"/>
      <c r="E3914" s="23"/>
      <c r="F3914" s="19" t="str">
        <f>"041342"</f>
        <v>041342</v>
      </c>
      <c r="G3914" s="19" t="s">
        <v>81</v>
      </c>
      <c r="H3914" s="20">
        <v>22.35</v>
      </c>
      <c r="I3914" s="24">
        <v>1</v>
      </c>
      <c r="J3914" s="25"/>
      <c r="K3914" s="24">
        <v>22.35</v>
      </c>
      <c r="L3914" s="25"/>
    </row>
    <row r="3915" spans="1:12" ht="15" customHeight="1" x14ac:dyDescent="0.25">
      <c r="A3915" s="15" t="s">
        <v>51</v>
      </c>
      <c r="B3915" s="16"/>
      <c r="C3915" s="16"/>
      <c r="D3915" s="16"/>
      <c r="E3915" s="16"/>
      <c r="F3915" s="16"/>
      <c r="G3915" s="16"/>
      <c r="H3915" s="16"/>
      <c r="I3915" s="16"/>
      <c r="J3915" s="17"/>
      <c r="K3915" s="15">
        <v>22.35</v>
      </c>
      <c r="L3915" s="17"/>
    </row>
    <row r="3916" spans="1:12" x14ac:dyDescent="0.25">
      <c r="A3916" s="18"/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8"/>
    </row>
    <row r="3917" spans="1:12" ht="15" customHeight="1" x14ac:dyDescent="0.25">
      <c r="A3917" s="10" t="s">
        <v>52</v>
      </c>
      <c r="B3917" s="11"/>
      <c r="C3917" s="11"/>
      <c r="D3917" s="11"/>
      <c r="E3917" s="12"/>
      <c r="F3917" s="8" t="s">
        <v>21</v>
      </c>
      <c r="G3917" s="8" t="s">
        <v>22</v>
      </c>
      <c r="H3917" s="9" t="s">
        <v>44</v>
      </c>
      <c r="I3917" s="13" t="s">
        <v>34</v>
      </c>
      <c r="J3917" s="14"/>
      <c r="K3917" s="13" t="s">
        <v>50</v>
      </c>
      <c r="L3917" s="14"/>
    </row>
    <row r="3918" spans="1:12" ht="15" customHeight="1" x14ac:dyDescent="0.25">
      <c r="A3918" s="15" t="s">
        <v>53</v>
      </c>
      <c r="B3918" s="16"/>
      <c r="C3918" s="16"/>
      <c r="D3918" s="16"/>
      <c r="E3918" s="16"/>
      <c r="F3918" s="16"/>
      <c r="G3918" s="16"/>
      <c r="H3918" s="16"/>
      <c r="I3918" s="16"/>
      <c r="J3918" s="17"/>
      <c r="K3918" s="15">
        <v>0</v>
      </c>
      <c r="L3918" s="17"/>
    </row>
    <row r="3919" spans="1:12" x14ac:dyDescent="0.25">
      <c r="A3919" s="18"/>
      <c r="B3919" s="18"/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</row>
    <row r="3920" spans="1:12" ht="15" customHeight="1" x14ac:dyDescent="0.25">
      <c r="A3920" s="10" t="s">
        <v>54</v>
      </c>
      <c r="B3920" s="11"/>
      <c r="C3920" s="12"/>
      <c r="D3920" s="8" t="s">
        <v>21</v>
      </c>
      <c r="E3920" s="8" t="s">
        <v>22</v>
      </c>
      <c r="F3920" s="9" t="s">
        <v>55</v>
      </c>
      <c r="G3920" s="8" t="s">
        <v>56</v>
      </c>
      <c r="H3920" s="8" t="s">
        <v>57</v>
      </c>
      <c r="I3920" s="8" t="s">
        <v>58</v>
      </c>
      <c r="J3920" s="9" t="s">
        <v>59</v>
      </c>
      <c r="K3920" s="9" t="s">
        <v>34</v>
      </c>
      <c r="L3920" s="9" t="s">
        <v>50</v>
      </c>
    </row>
    <row r="3921" spans="1:12" ht="15" customHeight="1" x14ac:dyDescent="0.25">
      <c r="A3921" s="15" t="s">
        <v>60</v>
      </c>
      <c r="B3921" s="16"/>
      <c r="C3921" s="16"/>
      <c r="D3921" s="16"/>
      <c r="E3921" s="16"/>
      <c r="F3921" s="16"/>
      <c r="G3921" s="16"/>
      <c r="H3921" s="16"/>
      <c r="I3921" s="16"/>
      <c r="J3921" s="17"/>
      <c r="K3921" s="15">
        <v>0</v>
      </c>
      <c r="L3921" s="17"/>
    </row>
    <row r="3922" spans="1:12" x14ac:dyDescent="0.25">
      <c r="A3922" s="18"/>
      <c r="B3922" s="18"/>
      <c r="C3922" s="18"/>
      <c r="D3922" s="18"/>
      <c r="E3922" s="18"/>
      <c r="F3922" s="18"/>
      <c r="G3922" s="18"/>
      <c r="H3922" s="18"/>
      <c r="I3922" s="18"/>
      <c r="J3922" s="18"/>
      <c r="K3922" s="18"/>
      <c r="L3922" s="18"/>
    </row>
    <row r="3923" spans="1:12" ht="15" customHeight="1" x14ac:dyDescent="0.25">
      <c r="A3923" s="27" t="s">
        <v>61</v>
      </c>
      <c r="B3923" s="27"/>
      <c r="C3923" s="27"/>
      <c r="D3923" s="27"/>
      <c r="E3923" s="27"/>
      <c r="F3923" s="27"/>
      <c r="G3923" s="27"/>
      <c r="H3923" s="27"/>
      <c r="I3923" s="27"/>
      <c r="J3923" s="27"/>
      <c r="K3923" s="27">
        <v>46.33</v>
      </c>
      <c r="L3923" s="27"/>
    </row>
    <row r="3924" spans="1:12" ht="15" customHeight="1" x14ac:dyDescent="0.25">
      <c r="A3924" s="27" t="s">
        <v>62</v>
      </c>
      <c r="B3924" s="27"/>
      <c r="C3924" s="27"/>
      <c r="D3924" s="27"/>
      <c r="E3924" s="27"/>
      <c r="F3924" s="27"/>
      <c r="G3924" s="27"/>
      <c r="H3924" s="27"/>
      <c r="I3924" s="27"/>
      <c r="J3924" s="27"/>
      <c r="K3924" s="27">
        <v>15.4</v>
      </c>
      <c r="L3924" s="27"/>
    </row>
    <row r="3925" spans="1:12" ht="15" customHeight="1" x14ac:dyDescent="0.25">
      <c r="A3925" s="27" t="s">
        <v>63</v>
      </c>
      <c r="B3925" s="27"/>
      <c r="C3925" s="27"/>
      <c r="D3925" s="27"/>
      <c r="E3925" s="27"/>
      <c r="F3925" s="27"/>
      <c r="G3925" s="27"/>
      <c r="H3925" s="27"/>
      <c r="I3925" s="27"/>
      <c r="J3925" s="27"/>
      <c r="K3925" s="27">
        <v>61.73</v>
      </c>
      <c r="L3925" s="27"/>
    </row>
    <row r="3926" spans="1:12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</row>
    <row r="3927" spans="1:12" ht="15" customHeight="1" x14ac:dyDescent="0.25">
      <c r="A3927" s="3" t="s">
        <v>8</v>
      </c>
      <c r="B3927" s="6" t="s">
        <v>9</v>
      </c>
      <c r="C3927" s="6"/>
      <c r="D3927" s="6"/>
      <c r="E3927" s="6"/>
      <c r="F3927" s="6"/>
      <c r="G3927" s="6"/>
      <c r="H3927" s="6"/>
      <c r="I3927" s="6"/>
      <c r="J3927" s="6"/>
      <c r="K3927" s="6"/>
      <c r="L3927" s="6"/>
    </row>
    <row r="3928" spans="1:12" ht="15" customHeight="1" x14ac:dyDescent="0.25">
      <c r="A3928" s="3" t="s">
        <v>10</v>
      </c>
      <c r="B3928" s="6" t="s">
        <v>499</v>
      </c>
      <c r="C3928" s="6"/>
      <c r="D3928" s="6"/>
      <c r="E3928" s="6"/>
      <c r="F3928" s="6"/>
      <c r="G3928" s="6"/>
      <c r="H3928" s="6"/>
      <c r="I3928" s="6"/>
      <c r="J3928" s="6"/>
      <c r="K3928" s="3" t="s">
        <v>12</v>
      </c>
      <c r="L3928" s="4" t="s">
        <v>84</v>
      </c>
    </row>
    <row r="3929" spans="1:12" ht="15" customHeight="1" x14ac:dyDescent="0.25">
      <c r="A3929" s="3" t="s">
        <v>14</v>
      </c>
      <c r="B3929" s="6" t="s">
        <v>15</v>
      </c>
      <c r="C3929" s="6"/>
      <c r="D3929" s="7" t="s">
        <v>16</v>
      </c>
      <c r="E3929" s="7"/>
      <c r="F3929" s="6" t="str">
        <f>"152101"</f>
        <v>152101</v>
      </c>
      <c r="G3929" s="6"/>
      <c r="H3929" s="3" t="s">
        <v>17</v>
      </c>
      <c r="I3929" s="6" t="s">
        <v>18</v>
      </c>
      <c r="J3929" s="6"/>
      <c r="K3929" s="3" t="s">
        <v>19</v>
      </c>
      <c r="L3929" s="5">
        <v>1</v>
      </c>
    </row>
    <row r="3930" spans="1:12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</row>
    <row r="3931" spans="1:12" ht="15" customHeight="1" x14ac:dyDescent="0.25">
      <c r="A3931" s="10" t="s">
        <v>20</v>
      </c>
      <c r="B3931" s="11"/>
      <c r="C3931" s="12"/>
      <c r="D3931" s="8" t="s">
        <v>21</v>
      </c>
      <c r="E3931" s="8" t="s">
        <v>22</v>
      </c>
      <c r="F3931" s="9" t="s">
        <v>23</v>
      </c>
      <c r="G3931" s="9" t="s">
        <v>24</v>
      </c>
      <c r="H3931" s="9" t="s">
        <v>25</v>
      </c>
      <c r="I3931" s="9" t="s">
        <v>26</v>
      </c>
      <c r="J3931" s="9" t="s">
        <v>27</v>
      </c>
      <c r="K3931" s="13" t="s">
        <v>28</v>
      </c>
      <c r="L3931" s="14"/>
    </row>
    <row r="3932" spans="1:12" ht="15" customHeight="1" x14ac:dyDescent="0.25">
      <c r="A3932" s="15" t="s">
        <v>29</v>
      </c>
      <c r="B3932" s="16"/>
      <c r="C3932" s="16"/>
      <c r="D3932" s="16"/>
      <c r="E3932" s="16"/>
      <c r="F3932" s="16"/>
      <c r="G3932" s="16"/>
      <c r="H3932" s="16"/>
      <c r="I3932" s="16"/>
      <c r="J3932" s="17"/>
      <c r="K3932" s="15">
        <v>0</v>
      </c>
      <c r="L3932" s="17"/>
    </row>
    <row r="3933" spans="1:12" x14ac:dyDescent="0.25">
      <c r="A3933" s="18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8"/>
    </row>
    <row r="3934" spans="1:12" ht="15" customHeight="1" x14ac:dyDescent="0.25">
      <c r="A3934" s="10" t="s">
        <v>30</v>
      </c>
      <c r="B3934" s="11"/>
      <c r="C3934" s="12"/>
      <c r="D3934" s="8" t="s">
        <v>21</v>
      </c>
      <c r="E3934" s="8" t="s">
        <v>22</v>
      </c>
      <c r="F3934" s="9" t="s">
        <v>31</v>
      </c>
      <c r="G3934" s="9" t="s">
        <v>32</v>
      </c>
      <c r="H3934" s="9" t="s">
        <v>33</v>
      </c>
      <c r="I3934" s="13" t="s">
        <v>34</v>
      </c>
      <c r="J3934" s="14"/>
      <c r="K3934" s="13" t="s">
        <v>28</v>
      </c>
      <c r="L3934" s="14"/>
    </row>
    <row r="3935" spans="1:12" ht="15" customHeight="1" x14ac:dyDescent="0.25">
      <c r="A3935" s="21" t="s">
        <v>76</v>
      </c>
      <c r="B3935" s="22"/>
      <c r="C3935" s="23"/>
      <c r="D3935" s="19" t="str">
        <f>"010101"</f>
        <v>010101</v>
      </c>
      <c r="E3935" s="19" t="s">
        <v>36</v>
      </c>
      <c r="F3935" s="20">
        <v>8.5299999999999994</v>
      </c>
      <c r="G3935" s="20">
        <v>157.27000000000001</v>
      </c>
      <c r="H3935" s="20">
        <v>21.94</v>
      </c>
      <c r="I3935" s="24">
        <v>0.5</v>
      </c>
      <c r="J3935" s="25"/>
      <c r="K3935" s="24">
        <v>10.97</v>
      </c>
      <c r="L3935" s="25"/>
    </row>
    <row r="3936" spans="1:12" ht="15" customHeight="1" x14ac:dyDescent="0.25">
      <c r="A3936" s="21" t="s">
        <v>461</v>
      </c>
      <c r="B3936" s="22"/>
      <c r="C3936" s="23"/>
      <c r="D3936" s="19" t="str">
        <f>"010115"</f>
        <v>010115</v>
      </c>
      <c r="E3936" s="19" t="s">
        <v>36</v>
      </c>
      <c r="F3936" s="20">
        <v>10.119999999999999</v>
      </c>
      <c r="G3936" s="20">
        <v>157.27000000000001</v>
      </c>
      <c r="H3936" s="20">
        <v>26.03</v>
      </c>
      <c r="I3936" s="24">
        <v>0.5</v>
      </c>
      <c r="J3936" s="25"/>
      <c r="K3936" s="24">
        <v>13.01</v>
      </c>
      <c r="L3936" s="25"/>
    </row>
    <row r="3937" spans="1:12" ht="15" customHeight="1" x14ac:dyDescent="0.25">
      <c r="A3937" s="15" t="s">
        <v>38</v>
      </c>
      <c r="B3937" s="16"/>
      <c r="C3937" s="16"/>
      <c r="D3937" s="16"/>
      <c r="E3937" s="16"/>
      <c r="F3937" s="16"/>
      <c r="G3937" s="16"/>
      <c r="H3937" s="16"/>
      <c r="I3937" s="16"/>
      <c r="J3937" s="17"/>
      <c r="K3937" s="15">
        <v>23.98</v>
      </c>
      <c r="L3937" s="17"/>
    </row>
    <row r="3938" spans="1:12" x14ac:dyDescent="0.25">
      <c r="A3938" s="18"/>
      <c r="B3938" s="18"/>
      <c r="C3938" s="18"/>
      <c r="D3938" s="18"/>
      <c r="E3938" s="18"/>
      <c r="F3938" s="18"/>
      <c r="G3938" s="18"/>
      <c r="H3938" s="18"/>
      <c r="I3938" s="18"/>
      <c r="J3938" s="18"/>
      <c r="K3938" s="18"/>
      <c r="L3938" s="18"/>
    </row>
    <row r="3939" spans="1:12" ht="15" customHeight="1" x14ac:dyDescent="0.25">
      <c r="A3939" s="10" t="s">
        <v>39</v>
      </c>
      <c r="B3939" s="11"/>
      <c r="C3939" s="12"/>
      <c r="D3939" s="8" t="s">
        <v>21</v>
      </c>
      <c r="E3939" s="13" t="s">
        <v>40</v>
      </c>
      <c r="F3939" s="14"/>
      <c r="G3939" s="8" t="s">
        <v>41</v>
      </c>
      <c r="H3939" s="8" t="s">
        <v>42</v>
      </c>
      <c r="I3939" s="8" t="s">
        <v>43</v>
      </c>
      <c r="J3939" s="13" t="s">
        <v>44</v>
      </c>
      <c r="K3939" s="26"/>
      <c r="L3939" s="14"/>
    </row>
    <row r="3940" spans="1:12" ht="15" customHeight="1" x14ac:dyDescent="0.25">
      <c r="A3940" s="15" t="s">
        <v>45</v>
      </c>
      <c r="B3940" s="16"/>
      <c r="C3940" s="16"/>
      <c r="D3940" s="16"/>
      <c r="E3940" s="16"/>
      <c r="F3940" s="16"/>
      <c r="G3940" s="16"/>
      <c r="H3940" s="16"/>
      <c r="I3940" s="16"/>
      <c r="J3940" s="17"/>
      <c r="K3940" s="15">
        <v>0</v>
      </c>
      <c r="L3940" s="17"/>
    </row>
    <row r="3941" spans="1:12" x14ac:dyDescent="0.25">
      <c r="A3941" s="18"/>
      <c r="B3941" s="18"/>
      <c r="C3941" s="18"/>
      <c r="D3941" s="18"/>
      <c r="E3941" s="18"/>
      <c r="F3941" s="18"/>
      <c r="G3941" s="18"/>
      <c r="H3941" s="18"/>
      <c r="I3941" s="18"/>
      <c r="J3941" s="18"/>
      <c r="K3941" s="18"/>
      <c r="L3941" s="18"/>
    </row>
    <row r="3942" spans="1:12" ht="15" customHeight="1" x14ac:dyDescent="0.25">
      <c r="A3942" s="27" t="s">
        <v>46</v>
      </c>
      <c r="B3942" s="27"/>
      <c r="C3942" s="27"/>
      <c r="D3942" s="27"/>
      <c r="E3942" s="27"/>
      <c r="F3942" s="27"/>
      <c r="G3942" s="27"/>
      <c r="H3942" s="27"/>
      <c r="I3942" s="27"/>
      <c r="J3942" s="27"/>
      <c r="K3942" s="27">
        <v>23.98</v>
      </c>
      <c r="L3942" s="27"/>
    </row>
    <row r="3943" spans="1:12" ht="15" customHeight="1" x14ac:dyDescent="0.25">
      <c r="A3943" s="27" t="s">
        <v>47</v>
      </c>
      <c r="B3943" s="27"/>
      <c r="C3943" s="27"/>
      <c r="D3943" s="27"/>
      <c r="E3943" s="27"/>
      <c r="F3943" s="27"/>
      <c r="G3943" s="27"/>
      <c r="H3943" s="27"/>
      <c r="I3943" s="27"/>
      <c r="J3943" s="27"/>
      <c r="K3943" s="27">
        <v>1</v>
      </c>
      <c r="L3943" s="27"/>
    </row>
    <row r="3944" spans="1:12" ht="15" customHeight="1" x14ac:dyDescent="0.25">
      <c r="A3944" s="27" t="s">
        <v>48</v>
      </c>
      <c r="B3944" s="27"/>
      <c r="C3944" s="27"/>
      <c r="D3944" s="27"/>
      <c r="E3944" s="27"/>
      <c r="F3944" s="27"/>
      <c r="G3944" s="27"/>
      <c r="H3944" s="27"/>
      <c r="I3944" s="27"/>
      <c r="J3944" s="27"/>
      <c r="K3944" s="27">
        <v>23.98</v>
      </c>
      <c r="L3944" s="27"/>
    </row>
    <row r="3945" spans="1:12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</row>
    <row r="3946" spans="1:12" ht="15" customHeight="1" x14ac:dyDescent="0.25">
      <c r="A3946" s="10" t="s">
        <v>49</v>
      </c>
      <c r="B3946" s="11"/>
      <c r="C3946" s="11"/>
      <c r="D3946" s="11"/>
      <c r="E3946" s="12"/>
      <c r="F3946" s="8" t="s">
        <v>21</v>
      </c>
      <c r="G3946" s="8" t="s">
        <v>22</v>
      </c>
      <c r="H3946" s="9" t="s">
        <v>44</v>
      </c>
      <c r="I3946" s="13" t="s">
        <v>34</v>
      </c>
      <c r="J3946" s="14"/>
      <c r="K3946" s="13" t="s">
        <v>50</v>
      </c>
      <c r="L3946" s="14"/>
    </row>
    <row r="3947" spans="1:12" ht="15" customHeight="1" x14ac:dyDescent="0.25">
      <c r="A3947" s="21" t="s">
        <v>500</v>
      </c>
      <c r="B3947" s="22"/>
      <c r="C3947" s="22"/>
      <c r="D3947" s="22"/>
      <c r="E3947" s="23"/>
      <c r="F3947" s="19" t="str">
        <f>"045071"</f>
        <v>045071</v>
      </c>
      <c r="G3947" s="19" t="s">
        <v>81</v>
      </c>
      <c r="H3947" s="20">
        <v>25.69</v>
      </c>
      <c r="I3947" s="24">
        <v>1</v>
      </c>
      <c r="J3947" s="25"/>
      <c r="K3947" s="24">
        <v>25.69</v>
      </c>
      <c r="L3947" s="25"/>
    </row>
    <row r="3948" spans="1:12" ht="15" customHeight="1" x14ac:dyDescent="0.25">
      <c r="A3948" s="15" t="s">
        <v>51</v>
      </c>
      <c r="B3948" s="16"/>
      <c r="C3948" s="16"/>
      <c r="D3948" s="16"/>
      <c r="E3948" s="16"/>
      <c r="F3948" s="16"/>
      <c r="G3948" s="16"/>
      <c r="H3948" s="16"/>
      <c r="I3948" s="16"/>
      <c r="J3948" s="17"/>
      <c r="K3948" s="15">
        <v>25.69</v>
      </c>
      <c r="L3948" s="17"/>
    </row>
    <row r="3949" spans="1:12" x14ac:dyDescent="0.25">
      <c r="A3949" s="18"/>
      <c r="B3949" s="18"/>
      <c r="C3949" s="18"/>
      <c r="D3949" s="18"/>
      <c r="E3949" s="18"/>
      <c r="F3949" s="18"/>
      <c r="G3949" s="18"/>
      <c r="H3949" s="18"/>
      <c r="I3949" s="18"/>
      <c r="J3949" s="18"/>
      <c r="K3949" s="18"/>
      <c r="L3949" s="18"/>
    </row>
    <row r="3950" spans="1:12" ht="15" customHeight="1" x14ac:dyDescent="0.25">
      <c r="A3950" s="10" t="s">
        <v>52</v>
      </c>
      <c r="B3950" s="11"/>
      <c r="C3950" s="11"/>
      <c r="D3950" s="11"/>
      <c r="E3950" s="12"/>
      <c r="F3950" s="8" t="s">
        <v>21</v>
      </c>
      <c r="G3950" s="8" t="s">
        <v>22</v>
      </c>
      <c r="H3950" s="9" t="s">
        <v>44</v>
      </c>
      <c r="I3950" s="13" t="s">
        <v>34</v>
      </c>
      <c r="J3950" s="14"/>
      <c r="K3950" s="13" t="s">
        <v>50</v>
      </c>
      <c r="L3950" s="14"/>
    </row>
    <row r="3951" spans="1:12" ht="15" customHeight="1" x14ac:dyDescent="0.25">
      <c r="A3951" s="15" t="s">
        <v>53</v>
      </c>
      <c r="B3951" s="16"/>
      <c r="C3951" s="16"/>
      <c r="D3951" s="16"/>
      <c r="E3951" s="16"/>
      <c r="F3951" s="16"/>
      <c r="G3951" s="16"/>
      <c r="H3951" s="16"/>
      <c r="I3951" s="16"/>
      <c r="J3951" s="17"/>
      <c r="K3951" s="15">
        <v>0</v>
      </c>
      <c r="L3951" s="17"/>
    </row>
    <row r="3952" spans="1:12" x14ac:dyDescent="0.25">
      <c r="A3952" s="18"/>
      <c r="B3952" s="18"/>
      <c r="C3952" s="18"/>
      <c r="D3952" s="18"/>
      <c r="E3952" s="18"/>
      <c r="F3952" s="18"/>
      <c r="G3952" s="18"/>
      <c r="H3952" s="18"/>
      <c r="I3952" s="18"/>
      <c r="J3952" s="18"/>
      <c r="K3952" s="18"/>
      <c r="L3952" s="18"/>
    </row>
    <row r="3953" spans="1:12" ht="15" customHeight="1" x14ac:dyDescent="0.25">
      <c r="A3953" s="10" t="s">
        <v>54</v>
      </c>
      <c r="B3953" s="11"/>
      <c r="C3953" s="12"/>
      <c r="D3953" s="8" t="s">
        <v>21</v>
      </c>
      <c r="E3953" s="8" t="s">
        <v>22</v>
      </c>
      <c r="F3953" s="9" t="s">
        <v>55</v>
      </c>
      <c r="G3953" s="8" t="s">
        <v>56</v>
      </c>
      <c r="H3953" s="8" t="s">
        <v>57</v>
      </c>
      <c r="I3953" s="8" t="s">
        <v>58</v>
      </c>
      <c r="J3953" s="9" t="s">
        <v>59</v>
      </c>
      <c r="K3953" s="9" t="s">
        <v>34</v>
      </c>
      <c r="L3953" s="9" t="s">
        <v>50</v>
      </c>
    </row>
    <row r="3954" spans="1:12" ht="15" customHeight="1" x14ac:dyDescent="0.25">
      <c r="A3954" s="15" t="s">
        <v>60</v>
      </c>
      <c r="B3954" s="16"/>
      <c r="C3954" s="16"/>
      <c r="D3954" s="16"/>
      <c r="E3954" s="16"/>
      <c r="F3954" s="16"/>
      <c r="G3954" s="16"/>
      <c r="H3954" s="16"/>
      <c r="I3954" s="16"/>
      <c r="J3954" s="17"/>
      <c r="K3954" s="15">
        <v>0</v>
      </c>
      <c r="L3954" s="17"/>
    </row>
    <row r="3955" spans="1:12" x14ac:dyDescent="0.25">
      <c r="A3955" s="18"/>
      <c r="B3955" s="18"/>
      <c r="C3955" s="18"/>
      <c r="D3955" s="18"/>
      <c r="E3955" s="18"/>
      <c r="F3955" s="18"/>
      <c r="G3955" s="18"/>
      <c r="H3955" s="18"/>
      <c r="I3955" s="18"/>
      <c r="J3955" s="18"/>
      <c r="K3955" s="18"/>
      <c r="L3955" s="18"/>
    </row>
    <row r="3956" spans="1:12" ht="15" customHeight="1" x14ac:dyDescent="0.25">
      <c r="A3956" s="27" t="s">
        <v>61</v>
      </c>
      <c r="B3956" s="27"/>
      <c r="C3956" s="27"/>
      <c r="D3956" s="27"/>
      <c r="E3956" s="27"/>
      <c r="F3956" s="27"/>
      <c r="G3956" s="27"/>
      <c r="H3956" s="27"/>
      <c r="I3956" s="27"/>
      <c r="J3956" s="27"/>
      <c r="K3956" s="27">
        <v>49.67</v>
      </c>
      <c r="L3956" s="27"/>
    </row>
    <row r="3957" spans="1:12" ht="15" customHeight="1" x14ac:dyDescent="0.25">
      <c r="A3957" s="27" t="s">
        <v>62</v>
      </c>
      <c r="B3957" s="27"/>
      <c r="C3957" s="27"/>
      <c r="D3957" s="27"/>
      <c r="E3957" s="27"/>
      <c r="F3957" s="27"/>
      <c r="G3957" s="27"/>
      <c r="H3957" s="27"/>
      <c r="I3957" s="27"/>
      <c r="J3957" s="27"/>
      <c r="K3957" s="27">
        <v>16.52</v>
      </c>
      <c r="L3957" s="27"/>
    </row>
    <row r="3958" spans="1:12" ht="15" customHeight="1" x14ac:dyDescent="0.25">
      <c r="A3958" s="27" t="s">
        <v>63</v>
      </c>
      <c r="B3958" s="27"/>
      <c r="C3958" s="27"/>
      <c r="D3958" s="27"/>
      <c r="E3958" s="27"/>
      <c r="F3958" s="27"/>
      <c r="G3958" s="27"/>
      <c r="H3958" s="27"/>
      <c r="I3958" s="27"/>
      <c r="J3958" s="27"/>
      <c r="K3958" s="27">
        <v>66.19</v>
      </c>
      <c r="L3958" s="27"/>
    </row>
    <row r="3959" spans="1:12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</row>
    <row r="3960" spans="1:12" ht="15" customHeight="1" x14ac:dyDescent="0.25">
      <c r="A3960" s="3" t="s">
        <v>8</v>
      </c>
      <c r="B3960" s="6" t="s">
        <v>9</v>
      </c>
      <c r="C3960" s="6"/>
      <c r="D3960" s="6"/>
      <c r="E3960" s="6"/>
      <c r="F3960" s="6"/>
      <c r="G3960" s="6"/>
      <c r="H3960" s="6"/>
      <c r="I3960" s="6"/>
      <c r="J3960" s="6"/>
      <c r="K3960" s="6"/>
      <c r="L3960" s="6"/>
    </row>
    <row r="3961" spans="1:12" ht="15" customHeight="1" x14ac:dyDescent="0.25">
      <c r="A3961" s="3" t="s">
        <v>10</v>
      </c>
      <c r="B3961" s="6" t="s">
        <v>501</v>
      </c>
      <c r="C3961" s="6"/>
      <c r="D3961" s="6"/>
      <c r="E3961" s="6"/>
      <c r="F3961" s="6"/>
      <c r="G3961" s="6"/>
      <c r="H3961" s="6"/>
      <c r="I3961" s="6"/>
      <c r="J3961" s="6"/>
      <c r="K3961" s="3" t="s">
        <v>12</v>
      </c>
      <c r="L3961" s="4" t="s">
        <v>84</v>
      </c>
    </row>
    <row r="3962" spans="1:12" ht="15" customHeight="1" x14ac:dyDescent="0.25">
      <c r="A3962" s="3" t="s">
        <v>14</v>
      </c>
      <c r="B3962" s="6" t="s">
        <v>15</v>
      </c>
      <c r="C3962" s="6"/>
      <c r="D3962" s="7" t="s">
        <v>16</v>
      </c>
      <c r="E3962" s="7"/>
      <c r="F3962" s="6" t="str">
        <f>"152114"</f>
        <v>152114</v>
      </c>
      <c r="G3962" s="6"/>
      <c r="H3962" s="3" t="s">
        <v>17</v>
      </c>
      <c r="I3962" s="6" t="s">
        <v>18</v>
      </c>
      <c r="J3962" s="6"/>
      <c r="K3962" s="3" t="s">
        <v>19</v>
      </c>
      <c r="L3962" s="5">
        <v>1</v>
      </c>
    </row>
    <row r="3963" spans="1:12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</row>
    <row r="3964" spans="1:12" ht="15" customHeight="1" x14ac:dyDescent="0.25">
      <c r="A3964" s="10" t="s">
        <v>20</v>
      </c>
      <c r="B3964" s="11"/>
      <c r="C3964" s="12"/>
      <c r="D3964" s="8" t="s">
        <v>21</v>
      </c>
      <c r="E3964" s="8" t="s">
        <v>22</v>
      </c>
      <c r="F3964" s="9" t="s">
        <v>23</v>
      </c>
      <c r="G3964" s="9" t="s">
        <v>24</v>
      </c>
      <c r="H3964" s="9" t="s">
        <v>25</v>
      </c>
      <c r="I3964" s="9" t="s">
        <v>26</v>
      </c>
      <c r="J3964" s="9" t="s">
        <v>27</v>
      </c>
      <c r="K3964" s="13" t="s">
        <v>28</v>
      </c>
      <c r="L3964" s="14"/>
    </row>
    <row r="3965" spans="1:12" ht="15" customHeight="1" x14ac:dyDescent="0.25">
      <c r="A3965" s="15" t="s">
        <v>29</v>
      </c>
      <c r="B3965" s="16"/>
      <c r="C3965" s="16"/>
      <c r="D3965" s="16"/>
      <c r="E3965" s="16"/>
      <c r="F3965" s="16"/>
      <c r="G3965" s="16"/>
      <c r="H3965" s="16"/>
      <c r="I3965" s="16"/>
      <c r="J3965" s="17"/>
      <c r="K3965" s="15">
        <v>0</v>
      </c>
      <c r="L3965" s="17"/>
    </row>
    <row r="3966" spans="1:12" x14ac:dyDescent="0.25">
      <c r="A3966" s="18"/>
      <c r="B3966" s="18"/>
      <c r="C3966" s="18"/>
      <c r="D3966" s="18"/>
      <c r="E3966" s="18"/>
      <c r="F3966" s="18"/>
      <c r="G3966" s="18"/>
      <c r="H3966" s="18"/>
      <c r="I3966" s="18"/>
      <c r="J3966" s="18"/>
      <c r="K3966" s="18"/>
      <c r="L3966" s="18"/>
    </row>
    <row r="3967" spans="1:12" ht="15" customHeight="1" x14ac:dyDescent="0.25">
      <c r="A3967" s="10" t="s">
        <v>30</v>
      </c>
      <c r="B3967" s="11"/>
      <c r="C3967" s="12"/>
      <c r="D3967" s="8" t="s">
        <v>21</v>
      </c>
      <c r="E3967" s="8" t="s">
        <v>22</v>
      </c>
      <c r="F3967" s="9" t="s">
        <v>31</v>
      </c>
      <c r="G3967" s="9" t="s">
        <v>32</v>
      </c>
      <c r="H3967" s="9" t="s">
        <v>33</v>
      </c>
      <c r="I3967" s="13" t="s">
        <v>34</v>
      </c>
      <c r="J3967" s="14"/>
      <c r="K3967" s="13" t="s">
        <v>28</v>
      </c>
      <c r="L3967" s="14"/>
    </row>
    <row r="3968" spans="1:12" ht="15" customHeight="1" x14ac:dyDescent="0.25">
      <c r="A3968" s="21" t="s">
        <v>76</v>
      </c>
      <c r="B3968" s="22"/>
      <c r="C3968" s="23"/>
      <c r="D3968" s="19" t="str">
        <f>"010101"</f>
        <v>010101</v>
      </c>
      <c r="E3968" s="19" t="s">
        <v>36</v>
      </c>
      <c r="F3968" s="20">
        <v>8.5299999999999994</v>
      </c>
      <c r="G3968" s="20">
        <v>157.27000000000001</v>
      </c>
      <c r="H3968" s="20">
        <v>21.94</v>
      </c>
      <c r="I3968" s="24">
        <v>0.5</v>
      </c>
      <c r="J3968" s="25"/>
      <c r="K3968" s="24">
        <v>10.97</v>
      </c>
      <c r="L3968" s="25"/>
    </row>
    <row r="3969" spans="1:12" ht="15" customHeight="1" x14ac:dyDescent="0.25">
      <c r="A3969" s="21" t="s">
        <v>461</v>
      </c>
      <c r="B3969" s="22"/>
      <c r="C3969" s="23"/>
      <c r="D3969" s="19" t="str">
        <f>"010115"</f>
        <v>010115</v>
      </c>
      <c r="E3969" s="19" t="s">
        <v>36</v>
      </c>
      <c r="F3969" s="20">
        <v>10.119999999999999</v>
      </c>
      <c r="G3969" s="20">
        <v>157.27000000000001</v>
      </c>
      <c r="H3969" s="20">
        <v>26.03</v>
      </c>
      <c r="I3969" s="24">
        <v>0.5</v>
      </c>
      <c r="J3969" s="25"/>
      <c r="K3969" s="24">
        <v>13.01</v>
      </c>
      <c r="L3969" s="25"/>
    </row>
    <row r="3970" spans="1:12" ht="15" customHeight="1" x14ac:dyDescent="0.25">
      <c r="A3970" s="15" t="s">
        <v>38</v>
      </c>
      <c r="B3970" s="16"/>
      <c r="C3970" s="16"/>
      <c r="D3970" s="16"/>
      <c r="E3970" s="16"/>
      <c r="F3970" s="16"/>
      <c r="G3970" s="16"/>
      <c r="H3970" s="16"/>
      <c r="I3970" s="16"/>
      <c r="J3970" s="17"/>
      <c r="K3970" s="15">
        <v>23.98</v>
      </c>
      <c r="L3970" s="17"/>
    </row>
    <row r="3971" spans="1:12" x14ac:dyDescent="0.25">
      <c r="A3971" s="18"/>
      <c r="B3971" s="18"/>
      <c r="C3971" s="18"/>
      <c r="D3971" s="18"/>
      <c r="E3971" s="18"/>
      <c r="F3971" s="18"/>
      <c r="G3971" s="18"/>
      <c r="H3971" s="18"/>
      <c r="I3971" s="18"/>
      <c r="J3971" s="18"/>
      <c r="K3971" s="18"/>
      <c r="L3971" s="18"/>
    </row>
    <row r="3972" spans="1:12" ht="15" customHeight="1" x14ac:dyDescent="0.25">
      <c r="A3972" s="10" t="s">
        <v>39</v>
      </c>
      <c r="B3972" s="11"/>
      <c r="C3972" s="12"/>
      <c r="D3972" s="8" t="s">
        <v>21</v>
      </c>
      <c r="E3972" s="13" t="s">
        <v>40</v>
      </c>
      <c r="F3972" s="14"/>
      <c r="G3972" s="8" t="s">
        <v>41</v>
      </c>
      <c r="H3972" s="8" t="s">
        <v>42</v>
      </c>
      <c r="I3972" s="8" t="s">
        <v>43</v>
      </c>
      <c r="J3972" s="13" t="s">
        <v>44</v>
      </c>
      <c r="K3972" s="26"/>
      <c r="L3972" s="14"/>
    </row>
    <row r="3973" spans="1:12" ht="15" customHeight="1" x14ac:dyDescent="0.25">
      <c r="A3973" s="15" t="s">
        <v>45</v>
      </c>
      <c r="B3973" s="16"/>
      <c r="C3973" s="16"/>
      <c r="D3973" s="16"/>
      <c r="E3973" s="16"/>
      <c r="F3973" s="16"/>
      <c r="G3973" s="16"/>
      <c r="H3973" s="16"/>
      <c r="I3973" s="16"/>
      <c r="J3973" s="17"/>
      <c r="K3973" s="15">
        <v>0</v>
      </c>
      <c r="L3973" s="17"/>
    </row>
    <row r="3974" spans="1:12" x14ac:dyDescent="0.25">
      <c r="A3974" s="18"/>
      <c r="B3974" s="18"/>
      <c r="C3974" s="18"/>
      <c r="D3974" s="18"/>
      <c r="E3974" s="18"/>
      <c r="F3974" s="18"/>
      <c r="G3974" s="18"/>
      <c r="H3974" s="18"/>
      <c r="I3974" s="18"/>
      <c r="J3974" s="18"/>
      <c r="K3974" s="18"/>
      <c r="L3974" s="18"/>
    </row>
    <row r="3975" spans="1:12" ht="15" customHeight="1" x14ac:dyDescent="0.25">
      <c r="A3975" s="27" t="s">
        <v>46</v>
      </c>
      <c r="B3975" s="27"/>
      <c r="C3975" s="27"/>
      <c r="D3975" s="27"/>
      <c r="E3975" s="27"/>
      <c r="F3975" s="27"/>
      <c r="G3975" s="27"/>
      <c r="H3975" s="27"/>
      <c r="I3975" s="27"/>
      <c r="J3975" s="27"/>
      <c r="K3975" s="27">
        <v>23.98</v>
      </c>
      <c r="L3975" s="27"/>
    </row>
    <row r="3976" spans="1:12" ht="15" customHeight="1" x14ac:dyDescent="0.25">
      <c r="A3976" s="27" t="s">
        <v>47</v>
      </c>
      <c r="B3976" s="27"/>
      <c r="C3976" s="27"/>
      <c r="D3976" s="27"/>
      <c r="E3976" s="27"/>
      <c r="F3976" s="27"/>
      <c r="G3976" s="27"/>
      <c r="H3976" s="27"/>
      <c r="I3976" s="27"/>
      <c r="J3976" s="27"/>
      <c r="K3976" s="27">
        <v>1</v>
      </c>
      <c r="L3976" s="27"/>
    </row>
    <row r="3977" spans="1:12" ht="15" customHeight="1" x14ac:dyDescent="0.25">
      <c r="A3977" s="27" t="s">
        <v>48</v>
      </c>
      <c r="B3977" s="27"/>
      <c r="C3977" s="27"/>
      <c r="D3977" s="27"/>
      <c r="E3977" s="27"/>
      <c r="F3977" s="27"/>
      <c r="G3977" s="27"/>
      <c r="H3977" s="27"/>
      <c r="I3977" s="27"/>
      <c r="J3977" s="27"/>
      <c r="K3977" s="27">
        <v>23.98</v>
      </c>
      <c r="L3977" s="27"/>
    </row>
    <row r="3978" spans="1:12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</row>
    <row r="3979" spans="1:12" ht="15" customHeight="1" x14ac:dyDescent="0.25">
      <c r="A3979" s="10" t="s">
        <v>49</v>
      </c>
      <c r="B3979" s="11"/>
      <c r="C3979" s="11"/>
      <c r="D3979" s="11"/>
      <c r="E3979" s="12"/>
      <c r="F3979" s="8" t="s">
        <v>21</v>
      </c>
      <c r="G3979" s="8" t="s">
        <v>22</v>
      </c>
      <c r="H3979" s="9" t="s">
        <v>44</v>
      </c>
      <c r="I3979" s="13" t="s">
        <v>34</v>
      </c>
      <c r="J3979" s="14"/>
      <c r="K3979" s="13" t="s">
        <v>50</v>
      </c>
      <c r="L3979" s="14"/>
    </row>
    <row r="3980" spans="1:12" ht="15" customHeight="1" x14ac:dyDescent="0.25">
      <c r="A3980" s="21" t="s">
        <v>502</v>
      </c>
      <c r="B3980" s="22"/>
      <c r="C3980" s="22"/>
      <c r="D3980" s="22"/>
      <c r="E3980" s="23"/>
      <c r="F3980" s="19" t="str">
        <f>"041334"</f>
        <v>041334</v>
      </c>
      <c r="G3980" s="19" t="s">
        <v>81</v>
      </c>
      <c r="H3980" s="20">
        <v>27.85</v>
      </c>
      <c r="I3980" s="24">
        <v>1</v>
      </c>
      <c r="J3980" s="25"/>
      <c r="K3980" s="24">
        <v>27.85</v>
      </c>
      <c r="L3980" s="25"/>
    </row>
    <row r="3981" spans="1:12" ht="15" customHeight="1" x14ac:dyDescent="0.25">
      <c r="A3981" s="15" t="s">
        <v>51</v>
      </c>
      <c r="B3981" s="16"/>
      <c r="C3981" s="16"/>
      <c r="D3981" s="16"/>
      <c r="E3981" s="16"/>
      <c r="F3981" s="16"/>
      <c r="G3981" s="16"/>
      <c r="H3981" s="16"/>
      <c r="I3981" s="16"/>
      <c r="J3981" s="17"/>
      <c r="K3981" s="15">
        <v>27.85</v>
      </c>
      <c r="L3981" s="17"/>
    </row>
    <row r="3982" spans="1:12" x14ac:dyDescent="0.25">
      <c r="A3982" s="18"/>
      <c r="B3982" s="18"/>
      <c r="C3982" s="18"/>
      <c r="D3982" s="18"/>
      <c r="E3982" s="18"/>
      <c r="F3982" s="18"/>
      <c r="G3982" s="18"/>
      <c r="H3982" s="18"/>
      <c r="I3982" s="18"/>
      <c r="J3982" s="18"/>
      <c r="K3982" s="18"/>
      <c r="L3982" s="18"/>
    </row>
    <row r="3983" spans="1:12" ht="15" customHeight="1" x14ac:dyDescent="0.25">
      <c r="A3983" s="10" t="s">
        <v>52</v>
      </c>
      <c r="B3983" s="11"/>
      <c r="C3983" s="11"/>
      <c r="D3983" s="11"/>
      <c r="E3983" s="12"/>
      <c r="F3983" s="8" t="s">
        <v>21</v>
      </c>
      <c r="G3983" s="8" t="s">
        <v>22</v>
      </c>
      <c r="H3983" s="9" t="s">
        <v>44</v>
      </c>
      <c r="I3983" s="13" t="s">
        <v>34</v>
      </c>
      <c r="J3983" s="14"/>
      <c r="K3983" s="13" t="s">
        <v>50</v>
      </c>
      <c r="L3983" s="14"/>
    </row>
    <row r="3984" spans="1:12" ht="15" customHeight="1" x14ac:dyDescent="0.25">
      <c r="A3984" s="15" t="s">
        <v>53</v>
      </c>
      <c r="B3984" s="16"/>
      <c r="C3984" s="16"/>
      <c r="D3984" s="16"/>
      <c r="E3984" s="16"/>
      <c r="F3984" s="16"/>
      <c r="G3984" s="16"/>
      <c r="H3984" s="16"/>
      <c r="I3984" s="16"/>
      <c r="J3984" s="17"/>
      <c r="K3984" s="15">
        <v>0</v>
      </c>
      <c r="L3984" s="17"/>
    </row>
    <row r="3985" spans="1:12" x14ac:dyDescent="0.25">
      <c r="A3985" s="18"/>
      <c r="B3985" s="18"/>
      <c r="C3985" s="18"/>
      <c r="D3985" s="18"/>
      <c r="E3985" s="18"/>
      <c r="F3985" s="18"/>
      <c r="G3985" s="18"/>
      <c r="H3985" s="18"/>
      <c r="I3985" s="18"/>
      <c r="J3985" s="18"/>
      <c r="K3985" s="18"/>
      <c r="L3985" s="18"/>
    </row>
    <row r="3986" spans="1:12" ht="15" customHeight="1" x14ac:dyDescent="0.25">
      <c r="A3986" s="10" t="s">
        <v>54</v>
      </c>
      <c r="B3986" s="11"/>
      <c r="C3986" s="12"/>
      <c r="D3986" s="8" t="s">
        <v>21</v>
      </c>
      <c r="E3986" s="8" t="s">
        <v>22</v>
      </c>
      <c r="F3986" s="9" t="s">
        <v>55</v>
      </c>
      <c r="G3986" s="8" t="s">
        <v>56</v>
      </c>
      <c r="H3986" s="8" t="s">
        <v>57</v>
      </c>
      <c r="I3986" s="8" t="s">
        <v>58</v>
      </c>
      <c r="J3986" s="9" t="s">
        <v>59</v>
      </c>
      <c r="K3986" s="9" t="s">
        <v>34</v>
      </c>
      <c r="L3986" s="9" t="s">
        <v>50</v>
      </c>
    </row>
    <row r="3987" spans="1:12" ht="15" customHeight="1" x14ac:dyDescent="0.25">
      <c r="A3987" s="15" t="s">
        <v>60</v>
      </c>
      <c r="B3987" s="16"/>
      <c r="C3987" s="16"/>
      <c r="D3987" s="16"/>
      <c r="E3987" s="16"/>
      <c r="F3987" s="16"/>
      <c r="G3987" s="16"/>
      <c r="H3987" s="16"/>
      <c r="I3987" s="16"/>
      <c r="J3987" s="17"/>
      <c r="K3987" s="15">
        <v>0</v>
      </c>
      <c r="L3987" s="17"/>
    </row>
    <row r="3988" spans="1:12" x14ac:dyDescent="0.25">
      <c r="A3988" s="18"/>
      <c r="B3988" s="18"/>
      <c r="C3988" s="18"/>
      <c r="D3988" s="18"/>
      <c r="E3988" s="18"/>
      <c r="F3988" s="18"/>
      <c r="G3988" s="18"/>
      <c r="H3988" s="18"/>
      <c r="I3988" s="18"/>
      <c r="J3988" s="18"/>
      <c r="K3988" s="18"/>
      <c r="L3988" s="18"/>
    </row>
    <row r="3989" spans="1:12" ht="15" customHeight="1" x14ac:dyDescent="0.25">
      <c r="A3989" s="27" t="s">
        <v>61</v>
      </c>
      <c r="B3989" s="27"/>
      <c r="C3989" s="27"/>
      <c r="D3989" s="27"/>
      <c r="E3989" s="27"/>
      <c r="F3989" s="27"/>
      <c r="G3989" s="27"/>
      <c r="H3989" s="27"/>
      <c r="I3989" s="27"/>
      <c r="J3989" s="27"/>
      <c r="K3989" s="27">
        <v>51.83</v>
      </c>
      <c r="L3989" s="27"/>
    </row>
    <row r="3990" spans="1:12" ht="15" customHeight="1" x14ac:dyDescent="0.25">
      <c r="A3990" s="27" t="s">
        <v>62</v>
      </c>
      <c r="B3990" s="27"/>
      <c r="C3990" s="27"/>
      <c r="D3990" s="27"/>
      <c r="E3990" s="27"/>
      <c r="F3990" s="27"/>
      <c r="G3990" s="27"/>
      <c r="H3990" s="27"/>
      <c r="I3990" s="27"/>
      <c r="J3990" s="27"/>
      <c r="K3990" s="27">
        <v>17.23</v>
      </c>
      <c r="L3990" s="27"/>
    </row>
    <row r="3991" spans="1:12" ht="15" customHeight="1" x14ac:dyDescent="0.25">
      <c r="A3991" s="27" t="s">
        <v>63</v>
      </c>
      <c r="B3991" s="27"/>
      <c r="C3991" s="27"/>
      <c r="D3991" s="27"/>
      <c r="E3991" s="27"/>
      <c r="F3991" s="27"/>
      <c r="G3991" s="27"/>
      <c r="H3991" s="27"/>
      <c r="I3991" s="27"/>
      <c r="J3991" s="27"/>
      <c r="K3991" s="27">
        <v>69.06</v>
      </c>
      <c r="L3991" s="27"/>
    </row>
    <row r="3992" spans="1:12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</row>
    <row r="3993" spans="1:12" ht="15" customHeight="1" x14ac:dyDescent="0.25">
      <c r="A3993" s="3" t="s">
        <v>8</v>
      </c>
      <c r="B3993" s="6" t="s">
        <v>9</v>
      </c>
      <c r="C3993" s="6"/>
      <c r="D3993" s="6"/>
      <c r="E3993" s="6"/>
      <c r="F3993" s="6"/>
      <c r="G3993" s="6"/>
      <c r="H3993" s="6"/>
      <c r="I3993" s="6"/>
      <c r="J3993" s="6"/>
      <c r="K3993" s="6"/>
      <c r="L3993" s="6"/>
    </row>
    <row r="3994" spans="1:12" ht="15" customHeight="1" x14ac:dyDescent="0.25">
      <c r="A3994" s="3" t="s">
        <v>10</v>
      </c>
      <c r="B3994" s="6" t="s">
        <v>503</v>
      </c>
      <c r="C3994" s="6"/>
      <c r="D3994" s="6"/>
      <c r="E3994" s="6"/>
      <c r="F3994" s="6"/>
      <c r="G3994" s="6"/>
      <c r="H3994" s="6"/>
      <c r="I3994" s="6"/>
      <c r="J3994" s="6"/>
      <c r="K3994" s="3" t="s">
        <v>12</v>
      </c>
      <c r="L3994" s="4" t="s">
        <v>84</v>
      </c>
    </row>
    <row r="3995" spans="1:12" ht="15" customHeight="1" x14ac:dyDescent="0.25">
      <c r="A3995" s="3" t="s">
        <v>14</v>
      </c>
      <c r="B3995" s="6" t="s">
        <v>15</v>
      </c>
      <c r="C3995" s="6"/>
      <c r="D3995" s="7" t="s">
        <v>16</v>
      </c>
      <c r="E3995" s="7"/>
      <c r="F3995" s="6" t="str">
        <f>"152113"</f>
        <v>152113</v>
      </c>
      <c r="G3995" s="6"/>
      <c r="H3995" s="3" t="s">
        <v>17</v>
      </c>
      <c r="I3995" s="6" t="s">
        <v>18</v>
      </c>
      <c r="J3995" s="6"/>
      <c r="K3995" s="3" t="s">
        <v>19</v>
      </c>
      <c r="L3995" s="5">
        <v>1</v>
      </c>
    </row>
    <row r="3996" spans="1:12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</row>
    <row r="3997" spans="1:12" ht="15" customHeight="1" x14ac:dyDescent="0.25">
      <c r="A3997" s="10" t="s">
        <v>20</v>
      </c>
      <c r="B3997" s="11"/>
      <c r="C3997" s="12"/>
      <c r="D3997" s="8" t="s">
        <v>21</v>
      </c>
      <c r="E3997" s="8" t="s">
        <v>22</v>
      </c>
      <c r="F3997" s="9" t="s">
        <v>23</v>
      </c>
      <c r="G3997" s="9" t="s">
        <v>24</v>
      </c>
      <c r="H3997" s="9" t="s">
        <v>25</v>
      </c>
      <c r="I3997" s="9" t="s">
        <v>26</v>
      </c>
      <c r="J3997" s="9" t="s">
        <v>27</v>
      </c>
      <c r="K3997" s="13" t="s">
        <v>28</v>
      </c>
      <c r="L3997" s="14"/>
    </row>
    <row r="3998" spans="1:12" ht="15" customHeight="1" x14ac:dyDescent="0.25">
      <c r="A3998" s="15" t="s">
        <v>29</v>
      </c>
      <c r="B3998" s="16"/>
      <c r="C3998" s="16"/>
      <c r="D3998" s="16"/>
      <c r="E3998" s="16"/>
      <c r="F3998" s="16"/>
      <c r="G3998" s="16"/>
      <c r="H3998" s="16"/>
      <c r="I3998" s="16"/>
      <c r="J3998" s="17"/>
      <c r="K3998" s="15">
        <v>0</v>
      </c>
      <c r="L3998" s="17"/>
    </row>
    <row r="3999" spans="1:12" x14ac:dyDescent="0.25">
      <c r="A3999" s="18"/>
      <c r="B3999" s="18"/>
      <c r="C3999" s="18"/>
      <c r="D3999" s="18"/>
      <c r="E3999" s="18"/>
      <c r="F3999" s="18"/>
      <c r="G3999" s="18"/>
      <c r="H3999" s="18"/>
      <c r="I3999" s="18"/>
      <c r="J3999" s="18"/>
      <c r="K3999" s="18"/>
      <c r="L3999" s="18"/>
    </row>
    <row r="4000" spans="1:12" ht="15" customHeight="1" x14ac:dyDescent="0.25">
      <c r="A4000" s="10" t="s">
        <v>30</v>
      </c>
      <c r="B4000" s="11"/>
      <c r="C4000" s="12"/>
      <c r="D4000" s="8" t="s">
        <v>21</v>
      </c>
      <c r="E4000" s="8" t="s">
        <v>22</v>
      </c>
      <c r="F4000" s="9" t="s">
        <v>31</v>
      </c>
      <c r="G4000" s="9" t="s">
        <v>32</v>
      </c>
      <c r="H4000" s="9" t="s">
        <v>33</v>
      </c>
      <c r="I4000" s="13" t="s">
        <v>34</v>
      </c>
      <c r="J4000" s="14"/>
      <c r="K4000" s="13" t="s">
        <v>28</v>
      </c>
      <c r="L4000" s="14"/>
    </row>
    <row r="4001" spans="1:12" ht="15" customHeight="1" x14ac:dyDescent="0.25">
      <c r="A4001" s="21" t="s">
        <v>76</v>
      </c>
      <c r="B4001" s="22"/>
      <c r="C4001" s="23"/>
      <c r="D4001" s="19" t="str">
        <f>"010101"</f>
        <v>010101</v>
      </c>
      <c r="E4001" s="19" t="s">
        <v>36</v>
      </c>
      <c r="F4001" s="20">
        <v>8.5299999999999994</v>
      </c>
      <c r="G4001" s="20">
        <v>157.27000000000001</v>
      </c>
      <c r="H4001" s="20">
        <v>21.94</v>
      </c>
      <c r="I4001" s="24">
        <v>0.5</v>
      </c>
      <c r="J4001" s="25"/>
      <c r="K4001" s="24">
        <v>10.97</v>
      </c>
      <c r="L4001" s="25"/>
    </row>
    <row r="4002" spans="1:12" ht="15" customHeight="1" x14ac:dyDescent="0.25">
      <c r="A4002" s="21" t="s">
        <v>461</v>
      </c>
      <c r="B4002" s="22"/>
      <c r="C4002" s="23"/>
      <c r="D4002" s="19" t="str">
        <f>"010115"</f>
        <v>010115</v>
      </c>
      <c r="E4002" s="19" t="s">
        <v>36</v>
      </c>
      <c r="F4002" s="20">
        <v>10.119999999999999</v>
      </c>
      <c r="G4002" s="20">
        <v>157.27000000000001</v>
      </c>
      <c r="H4002" s="20">
        <v>26.03</v>
      </c>
      <c r="I4002" s="24">
        <v>0.5</v>
      </c>
      <c r="J4002" s="25"/>
      <c r="K4002" s="24">
        <v>13.01</v>
      </c>
      <c r="L4002" s="25"/>
    </row>
    <row r="4003" spans="1:12" ht="15" customHeight="1" x14ac:dyDescent="0.25">
      <c r="A4003" s="15" t="s">
        <v>38</v>
      </c>
      <c r="B4003" s="16"/>
      <c r="C4003" s="16"/>
      <c r="D4003" s="16"/>
      <c r="E4003" s="16"/>
      <c r="F4003" s="16"/>
      <c r="G4003" s="16"/>
      <c r="H4003" s="16"/>
      <c r="I4003" s="16"/>
      <c r="J4003" s="17"/>
      <c r="K4003" s="15">
        <v>23.98</v>
      </c>
      <c r="L4003" s="17"/>
    </row>
    <row r="4004" spans="1:12" x14ac:dyDescent="0.25">
      <c r="A4004" s="18"/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8"/>
    </row>
    <row r="4005" spans="1:12" ht="15" customHeight="1" x14ac:dyDescent="0.25">
      <c r="A4005" s="10" t="s">
        <v>39</v>
      </c>
      <c r="B4005" s="11"/>
      <c r="C4005" s="12"/>
      <c r="D4005" s="8" t="s">
        <v>21</v>
      </c>
      <c r="E4005" s="13" t="s">
        <v>40</v>
      </c>
      <c r="F4005" s="14"/>
      <c r="G4005" s="8" t="s">
        <v>41</v>
      </c>
      <c r="H4005" s="8" t="s">
        <v>42</v>
      </c>
      <c r="I4005" s="8" t="s">
        <v>43</v>
      </c>
      <c r="J4005" s="13" t="s">
        <v>44</v>
      </c>
      <c r="K4005" s="26"/>
      <c r="L4005" s="14"/>
    </row>
    <row r="4006" spans="1:12" ht="15" customHeight="1" x14ac:dyDescent="0.25">
      <c r="A4006" s="15" t="s">
        <v>45</v>
      </c>
      <c r="B4006" s="16"/>
      <c r="C4006" s="16"/>
      <c r="D4006" s="16"/>
      <c r="E4006" s="16"/>
      <c r="F4006" s="16"/>
      <c r="G4006" s="16"/>
      <c r="H4006" s="16"/>
      <c r="I4006" s="16"/>
      <c r="J4006" s="17"/>
      <c r="K4006" s="15">
        <v>0</v>
      </c>
      <c r="L4006" s="17"/>
    </row>
    <row r="4007" spans="1:12" x14ac:dyDescent="0.25">
      <c r="A4007" s="18"/>
      <c r="B4007" s="18"/>
      <c r="C4007" s="18"/>
      <c r="D4007" s="18"/>
      <c r="E4007" s="18"/>
      <c r="F4007" s="18"/>
      <c r="G4007" s="18"/>
      <c r="H4007" s="18"/>
      <c r="I4007" s="18"/>
      <c r="J4007" s="18"/>
      <c r="K4007" s="18"/>
      <c r="L4007" s="18"/>
    </row>
    <row r="4008" spans="1:12" ht="15" customHeight="1" x14ac:dyDescent="0.25">
      <c r="A4008" s="27" t="s">
        <v>46</v>
      </c>
      <c r="B4008" s="27"/>
      <c r="C4008" s="27"/>
      <c r="D4008" s="27"/>
      <c r="E4008" s="27"/>
      <c r="F4008" s="27"/>
      <c r="G4008" s="27"/>
      <c r="H4008" s="27"/>
      <c r="I4008" s="27"/>
      <c r="J4008" s="27"/>
      <c r="K4008" s="27">
        <v>23.98</v>
      </c>
      <c r="L4008" s="27"/>
    </row>
    <row r="4009" spans="1:12" ht="15" customHeight="1" x14ac:dyDescent="0.25">
      <c r="A4009" s="27" t="s">
        <v>47</v>
      </c>
      <c r="B4009" s="27"/>
      <c r="C4009" s="27"/>
      <c r="D4009" s="27"/>
      <c r="E4009" s="27"/>
      <c r="F4009" s="27"/>
      <c r="G4009" s="27"/>
      <c r="H4009" s="27"/>
      <c r="I4009" s="27"/>
      <c r="J4009" s="27"/>
      <c r="K4009" s="27">
        <v>1</v>
      </c>
      <c r="L4009" s="27"/>
    </row>
    <row r="4010" spans="1:12" ht="15" customHeight="1" x14ac:dyDescent="0.25">
      <c r="A4010" s="27" t="s">
        <v>48</v>
      </c>
      <c r="B4010" s="27"/>
      <c r="C4010" s="27"/>
      <c r="D4010" s="27"/>
      <c r="E4010" s="27"/>
      <c r="F4010" s="27"/>
      <c r="G4010" s="27"/>
      <c r="H4010" s="27"/>
      <c r="I4010" s="27"/>
      <c r="J4010" s="27"/>
      <c r="K4010" s="27">
        <v>23.98</v>
      </c>
      <c r="L4010" s="27"/>
    </row>
    <row r="4011" spans="1:12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</row>
    <row r="4012" spans="1:12" ht="15" customHeight="1" x14ac:dyDescent="0.25">
      <c r="A4012" s="10" t="s">
        <v>49</v>
      </c>
      <c r="B4012" s="11"/>
      <c r="C4012" s="11"/>
      <c r="D4012" s="11"/>
      <c r="E4012" s="12"/>
      <c r="F4012" s="8" t="s">
        <v>21</v>
      </c>
      <c r="G4012" s="8" t="s">
        <v>22</v>
      </c>
      <c r="H4012" s="9" t="s">
        <v>44</v>
      </c>
      <c r="I4012" s="13" t="s">
        <v>34</v>
      </c>
      <c r="J4012" s="14"/>
      <c r="K4012" s="13" t="s">
        <v>50</v>
      </c>
      <c r="L4012" s="14"/>
    </row>
    <row r="4013" spans="1:12" ht="15" customHeight="1" x14ac:dyDescent="0.25">
      <c r="A4013" s="21" t="s">
        <v>504</v>
      </c>
      <c r="B4013" s="22"/>
      <c r="C4013" s="22"/>
      <c r="D4013" s="22"/>
      <c r="E4013" s="23"/>
      <c r="F4013" s="19" t="str">
        <f>"041343"</f>
        <v>041343</v>
      </c>
      <c r="G4013" s="19" t="s">
        <v>81</v>
      </c>
      <c r="H4013" s="20">
        <v>24.22</v>
      </c>
      <c r="I4013" s="24">
        <v>1</v>
      </c>
      <c r="J4013" s="25"/>
      <c r="K4013" s="24">
        <v>24.22</v>
      </c>
      <c r="L4013" s="25"/>
    </row>
    <row r="4014" spans="1:12" ht="15" customHeight="1" x14ac:dyDescent="0.25">
      <c r="A4014" s="15" t="s">
        <v>51</v>
      </c>
      <c r="B4014" s="16"/>
      <c r="C4014" s="16"/>
      <c r="D4014" s="16"/>
      <c r="E4014" s="16"/>
      <c r="F4014" s="16"/>
      <c r="G4014" s="16"/>
      <c r="H4014" s="16"/>
      <c r="I4014" s="16"/>
      <c r="J4014" s="17"/>
      <c r="K4014" s="15">
        <v>24.22</v>
      </c>
      <c r="L4014" s="17"/>
    </row>
    <row r="4015" spans="1:12" x14ac:dyDescent="0.25">
      <c r="A4015" s="18"/>
      <c r="B4015" s="18"/>
      <c r="C4015" s="18"/>
      <c r="D4015" s="18"/>
      <c r="E4015" s="18"/>
      <c r="F4015" s="18"/>
      <c r="G4015" s="18"/>
      <c r="H4015" s="18"/>
      <c r="I4015" s="18"/>
      <c r="J4015" s="18"/>
      <c r="K4015" s="18"/>
      <c r="L4015" s="18"/>
    </row>
    <row r="4016" spans="1:12" ht="15" customHeight="1" x14ac:dyDescent="0.25">
      <c r="A4016" s="10" t="s">
        <v>52</v>
      </c>
      <c r="B4016" s="11"/>
      <c r="C4016" s="11"/>
      <c r="D4016" s="11"/>
      <c r="E4016" s="12"/>
      <c r="F4016" s="8" t="s">
        <v>21</v>
      </c>
      <c r="G4016" s="8" t="s">
        <v>22</v>
      </c>
      <c r="H4016" s="9" t="s">
        <v>44</v>
      </c>
      <c r="I4016" s="13" t="s">
        <v>34</v>
      </c>
      <c r="J4016" s="14"/>
      <c r="K4016" s="13" t="s">
        <v>50</v>
      </c>
      <c r="L4016" s="14"/>
    </row>
    <row r="4017" spans="1:12" ht="15" customHeight="1" x14ac:dyDescent="0.25">
      <c r="A4017" s="15" t="s">
        <v>53</v>
      </c>
      <c r="B4017" s="16"/>
      <c r="C4017" s="16"/>
      <c r="D4017" s="16"/>
      <c r="E4017" s="16"/>
      <c r="F4017" s="16"/>
      <c r="G4017" s="16"/>
      <c r="H4017" s="16"/>
      <c r="I4017" s="16"/>
      <c r="J4017" s="17"/>
      <c r="K4017" s="15">
        <v>0</v>
      </c>
      <c r="L4017" s="17"/>
    </row>
    <row r="4018" spans="1:12" x14ac:dyDescent="0.25">
      <c r="A4018" s="18"/>
      <c r="B4018" s="18"/>
      <c r="C4018" s="18"/>
      <c r="D4018" s="18"/>
      <c r="E4018" s="18"/>
      <c r="F4018" s="18"/>
      <c r="G4018" s="18"/>
      <c r="H4018" s="18"/>
      <c r="I4018" s="18"/>
      <c r="J4018" s="18"/>
      <c r="K4018" s="18"/>
      <c r="L4018" s="18"/>
    </row>
    <row r="4019" spans="1:12" ht="15" customHeight="1" x14ac:dyDescent="0.25">
      <c r="A4019" s="10" t="s">
        <v>54</v>
      </c>
      <c r="B4019" s="11"/>
      <c r="C4019" s="12"/>
      <c r="D4019" s="8" t="s">
        <v>21</v>
      </c>
      <c r="E4019" s="8" t="s">
        <v>22</v>
      </c>
      <c r="F4019" s="9" t="s">
        <v>55</v>
      </c>
      <c r="G4019" s="8" t="s">
        <v>56</v>
      </c>
      <c r="H4019" s="8" t="s">
        <v>57</v>
      </c>
      <c r="I4019" s="8" t="s">
        <v>58</v>
      </c>
      <c r="J4019" s="9" t="s">
        <v>59</v>
      </c>
      <c r="K4019" s="9" t="s">
        <v>34</v>
      </c>
      <c r="L4019" s="9" t="s">
        <v>50</v>
      </c>
    </row>
    <row r="4020" spans="1:12" ht="15" customHeight="1" x14ac:dyDescent="0.25">
      <c r="A4020" s="15" t="s">
        <v>60</v>
      </c>
      <c r="B4020" s="16"/>
      <c r="C4020" s="16"/>
      <c r="D4020" s="16"/>
      <c r="E4020" s="16"/>
      <c r="F4020" s="16"/>
      <c r="G4020" s="16"/>
      <c r="H4020" s="16"/>
      <c r="I4020" s="16"/>
      <c r="J4020" s="17"/>
      <c r="K4020" s="15">
        <v>0</v>
      </c>
      <c r="L4020" s="17"/>
    </row>
    <row r="4021" spans="1:12" x14ac:dyDescent="0.25">
      <c r="A4021" s="18"/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</row>
    <row r="4022" spans="1:12" ht="15" customHeight="1" x14ac:dyDescent="0.25">
      <c r="A4022" s="27" t="s">
        <v>61</v>
      </c>
      <c r="B4022" s="27"/>
      <c r="C4022" s="27"/>
      <c r="D4022" s="27"/>
      <c r="E4022" s="27"/>
      <c r="F4022" s="27"/>
      <c r="G4022" s="27"/>
      <c r="H4022" s="27"/>
      <c r="I4022" s="27"/>
      <c r="J4022" s="27"/>
      <c r="K4022" s="27">
        <v>48.2</v>
      </c>
      <c r="L4022" s="27"/>
    </row>
    <row r="4023" spans="1:12" ht="15" customHeight="1" x14ac:dyDescent="0.25">
      <c r="A4023" s="27" t="s">
        <v>62</v>
      </c>
      <c r="B4023" s="27"/>
      <c r="C4023" s="27"/>
      <c r="D4023" s="27"/>
      <c r="E4023" s="27"/>
      <c r="F4023" s="27"/>
      <c r="G4023" s="27"/>
      <c r="H4023" s="27"/>
      <c r="I4023" s="27"/>
      <c r="J4023" s="27"/>
      <c r="K4023" s="27">
        <v>16.03</v>
      </c>
      <c r="L4023" s="27"/>
    </row>
    <row r="4024" spans="1:12" ht="15" customHeight="1" x14ac:dyDescent="0.25">
      <c r="A4024" s="27" t="s">
        <v>63</v>
      </c>
      <c r="B4024" s="27"/>
      <c r="C4024" s="27"/>
      <c r="D4024" s="27"/>
      <c r="E4024" s="27"/>
      <c r="F4024" s="27"/>
      <c r="G4024" s="27"/>
      <c r="H4024" s="27"/>
      <c r="I4024" s="27"/>
      <c r="J4024" s="27"/>
      <c r="K4024" s="27">
        <v>64.23</v>
      </c>
      <c r="L4024" s="27"/>
    </row>
    <row r="4025" spans="1:12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</row>
    <row r="4026" spans="1:12" ht="15" customHeight="1" x14ac:dyDescent="0.25">
      <c r="A4026" s="3" t="s">
        <v>8</v>
      </c>
      <c r="B4026" s="6" t="s">
        <v>9</v>
      </c>
      <c r="C4026" s="6"/>
      <c r="D4026" s="6"/>
      <c r="E4026" s="6"/>
      <c r="F4026" s="6"/>
      <c r="G4026" s="6"/>
      <c r="H4026" s="6"/>
      <c r="I4026" s="6"/>
      <c r="J4026" s="6"/>
      <c r="K4026" s="6"/>
      <c r="L4026" s="6"/>
    </row>
    <row r="4027" spans="1:12" ht="15" customHeight="1" x14ac:dyDescent="0.25">
      <c r="A4027" s="3" t="s">
        <v>10</v>
      </c>
      <c r="B4027" s="6" t="s">
        <v>505</v>
      </c>
      <c r="C4027" s="6"/>
      <c r="D4027" s="6"/>
      <c r="E4027" s="6"/>
      <c r="F4027" s="6"/>
      <c r="G4027" s="6"/>
      <c r="H4027" s="6"/>
      <c r="I4027" s="6"/>
      <c r="J4027" s="6"/>
      <c r="K4027" s="3" t="s">
        <v>12</v>
      </c>
      <c r="L4027" s="4" t="s">
        <v>84</v>
      </c>
    </row>
    <row r="4028" spans="1:12" ht="15" customHeight="1" x14ac:dyDescent="0.25">
      <c r="A4028" s="3" t="s">
        <v>14</v>
      </c>
      <c r="B4028" s="6" t="s">
        <v>15</v>
      </c>
      <c r="C4028" s="6"/>
      <c r="D4028" s="7" t="s">
        <v>16</v>
      </c>
      <c r="E4028" s="7"/>
      <c r="F4028" s="6" t="str">
        <f>"152103"</f>
        <v>152103</v>
      </c>
      <c r="G4028" s="6"/>
      <c r="H4028" s="3" t="s">
        <v>17</v>
      </c>
      <c r="I4028" s="6" t="s">
        <v>18</v>
      </c>
      <c r="J4028" s="6"/>
      <c r="K4028" s="3" t="s">
        <v>19</v>
      </c>
      <c r="L4028" s="5">
        <v>1</v>
      </c>
    </row>
    <row r="4029" spans="1:12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</row>
    <row r="4030" spans="1:12" ht="15" customHeight="1" x14ac:dyDescent="0.25">
      <c r="A4030" s="10" t="s">
        <v>20</v>
      </c>
      <c r="B4030" s="11"/>
      <c r="C4030" s="12"/>
      <c r="D4030" s="8" t="s">
        <v>21</v>
      </c>
      <c r="E4030" s="8" t="s">
        <v>22</v>
      </c>
      <c r="F4030" s="9" t="s">
        <v>23</v>
      </c>
      <c r="G4030" s="9" t="s">
        <v>24</v>
      </c>
      <c r="H4030" s="9" t="s">
        <v>25</v>
      </c>
      <c r="I4030" s="9" t="s">
        <v>26</v>
      </c>
      <c r="J4030" s="9" t="s">
        <v>27</v>
      </c>
      <c r="K4030" s="13" t="s">
        <v>28</v>
      </c>
      <c r="L4030" s="14"/>
    </row>
    <row r="4031" spans="1:12" ht="15" customHeight="1" x14ac:dyDescent="0.25">
      <c r="A4031" s="15" t="s">
        <v>29</v>
      </c>
      <c r="B4031" s="16"/>
      <c r="C4031" s="16"/>
      <c r="D4031" s="16"/>
      <c r="E4031" s="16"/>
      <c r="F4031" s="16"/>
      <c r="G4031" s="16"/>
      <c r="H4031" s="16"/>
      <c r="I4031" s="16"/>
      <c r="J4031" s="17"/>
      <c r="K4031" s="15">
        <v>0</v>
      </c>
      <c r="L4031" s="17"/>
    </row>
    <row r="4032" spans="1:12" x14ac:dyDescent="0.25">
      <c r="A4032" s="18"/>
      <c r="B4032" s="18"/>
      <c r="C4032" s="18"/>
      <c r="D4032" s="18"/>
      <c r="E4032" s="18"/>
      <c r="F4032" s="18"/>
      <c r="G4032" s="18"/>
      <c r="H4032" s="18"/>
      <c r="I4032" s="18"/>
      <c r="J4032" s="18"/>
      <c r="K4032" s="18"/>
      <c r="L4032" s="18"/>
    </row>
    <row r="4033" spans="1:12" ht="15" customHeight="1" x14ac:dyDescent="0.25">
      <c r="A4033" s="10" t="s">
        <v>30</v>
      </c>
      <c r="B4033" s="11"/>
      <c r="C4033" s="12"/>
      <c r="D4033" s="8" t="s">
        <v>21</v>
      </c>
      <c r="E4033" s="8" t="s">
        <v>22</v>
      </c>
      <c r="F4033" s="9" t="s">
        <v>31</v>
      </c>
      <c r="G4033" s="9" t="s">
        <v>32</v>
      </c>
      <c r="H4033" s="9" t="s">
        <v>33</v>
      </c>
      <c r="I4033" s="13" t="s">
        <v>34</v>
      </c>
      <c r="J4033" s="14"/>
      <c r="K4033" s="13" t="s">
        <v>28</v>
      </c>
      <c r="L4033" s="14"/>
    </row>
    <row r="4034" spans="1:12" ht="15" customHeight="1" x14ac:dyDescent="0.25">
      <c r="A4034" s="21" t="s">
        <v>76</v>
      </c>
      <c r="B4034" s="22"/>
      <c r="C4034" s="23"/>
      <c r="D4034" s="19" t="str">
        <f>"010101"</f>
        <v>010101</v>
      </c>
      <c r="E4034" s="19" t="s">
        <v>36</v>
      </c>
      <c r="F4034" s="20">
        <v>8.5299999999999994</v>
      </c>
      <c r="G4034" s="20">
        <v>157.27000000000001</v>
      </c>
      <c r="H4034" s="20">
        <v>21.94</v>
      </c>
      <c r="I4034" s="24">
        <v>0.6</v>
      </c>
      <c r="J4034" s="25"/>
      <c r="K4034" s="24">
        <v>13.16</v>
      </c>
      <c r="L4034" s="25"/>
    </row>
    <row r="4035" spans="1:12" ht="15" customHeight="1" x14ac:dyDescent="0.25">
      <c r="A4035" s="21" t="s">
        <v>461</v>
      </c>
      <c r="B4035" s="22"/>
      <c r="C4035" s="23"/>
      <c r="D4035" s="19" t="str">
        <f>"010115"</f>
        <v>010115</v>
      </c>
      <c r="E4035" s="19" t="s">
        <v>36</v>
      </c>
      <c r="F4035" s="20">
        <v>10.119999999999999</v>
      </c>
      <c r="G4035" s="20">
        <v>157.27000000000001</v>
      </c>
      <c r="H4035" s="20">
        <v>26.03</v>
      </c>
      <c r="I4035" s="24">
        <v>0.6</v>
      </c>
      <c r="J4035" s="25"/>
      <c r="K4035" s="24">
        <v>15.61</v>
      </c>
      <c r="L4035" s="25"/>
    </row>
    <row r="4036" spans="1:12" ht="15" customHeight="1" x14ac:dyDescent="0.25">
      <c r="A4036" s="15" t="s">
        <v>38</v>
      </c>
      <c r="B4036" s="16"/>
      <c r="C4036" s="16"/>
      <c r="D4036" s="16"/>
      <c r="E4036" s="16"/>
      <c r="F4036" s="16"/>
      <c r="G4036" s="16"/>
      <c r="H4036" s="16"/>
      <c r="I4036" s="16"/>
      <c r="J4036" s="17"/>
      <c r="K4036" s="15">
        <v>28.77</v>
      </c>
      <c r="L4036" s="17"/>
    </row>
    <row r="4037" spans="1:12" x14ac:dyDescent="0.25">
      <c r="A4037" s="18"/>
      <c r="B4037" s="18"/>
      <c r="C4037" s="18"/>
      <c r="D4037" s="18"/>
      <c r="E4037" s="18"/>
      <c r="F4037" s="18"/>
      <c r="G4037" s="18"/>
      <c r="H4037" s="18"/>
      <c r="I4037" s="18"/>
      <c r="J4037" s="18"/>
      <c r="K4037" s="18"/>
      <c r="L4037" s="18"/>
    </row>
    <row r="4038" spans="1:12" ht="15" customHeight="1" x14ac:dyDescent="0.25">
      <c r="A4038" s="10" t="s">
        <v>39</v>
      </c>
      <c r="B4038" s="11"/>
      <c r="C4038" s="12"/>
      <c r="D4038" s="8" t="s">
        <v>21</v>
      </c>
      <c r="E4038" s="13" t="s">
        <v>40</v>
      </c>
      <c r="F4038" s="14"/>
      <c r="G4038" s="8" t="s">
        <v>41</v>
      </c>
      <c r="H4038" s="8" t="s">
        <v>42</v>
      </c>
      <c r="I4038" s="8" t="s">
        <v>43</v>
      </c>
      <c r="J4038" s="13" t="s">
        <v>44</v>
      </c>
      <c r="K4038" s="26"/>
      <c r="L4038" s="14"/>
    </row>
    <row r="4039" spans="1:12" ht="15" customHeight="1" x14ac:dyDescent="0.25">
      <c r="A4039" s="15" t="s">
        <v>45</v>
      </c>
      <c r="B4039" s="16"/>
      <c r="C4039" s="16"/>
      <c r="D4039" s="16"/>
      <c r="E4039" s="16"/>
      <c r="F4039" s="16"/>
      <c r="G4039" s="16"/>
      <c r="H4039" s="16"/>
      <c r="I4039" s="16"/>
      <c r="J4039" s="17"/>
      <c r="K4039" s="15">
        <v>0</v>
      </c>
      <c r="L4039" s="17"/>
    </row>
    <row r="4040" spans="1:12" x14ac:dyDescent="0.25">
      <c r="A4040" s="18"/>
      <c r="B4040" s="18"/>
      <c r="C4040" s="18"/>
      <c r="D4040" s="18"/>
      <c r="E4040" s="18"/>
      <c r="F4040" s="18"/>
      <c r="G4040" s="18"/>
      <c r="H4040" s="18"/>
      <c r="I4040" s="18"/>
      <c r="J4040" s="18"/>
      <c r="K4040" s="18"/>
      <c r="L4040" s="18"/>
    </row>
    <row r="4041" spans="1:12" ht="15" customHeight="1" x14ac:dyDescent="0.25">
      <c r="A4041" s="27" t="s">
        <v>46</v>
      </c>
      <c r="B4041" s="27"/>
      <c r="C4041" s="27"/>
      <c r="D4041" s="27"/>
      <c r="E4041" s="27"/>
      <c r="F4041" s="27"/>
      <c r="G4041" s="27"/>
      <c r="H4041" s="27"/>
      <c r="I4041" s="27"/>
      <c r="J4041" s="27"/>
      <c r="K4041" s="27">
        <v>28.77</v>
      </c>
      <c r="L4041" s="27"/>
    </row>
    <row r="4042" spans="1:12" ht="15" customHeight="1" x14ac:dyDescent="0.25">
      <c r="A4042" s="27" t="s">
        <v>47</v>
      </c>
      <c r="B4042" s="27"/>
      <c r="C4042" s="27"/>
      <c r="D4042" s="27"/>
      <c r="E4042" s="27"/>
      <c r="F4042" s="27"/>
      <c r="G4042" s="27"/>
      <c r="H4042" s="27"/>
      <c r="I4042" s="27"/>
      <c r="J4042" s="27"/>
      <c r="K4042" s="27">
        <v>1</v>
      </c>
      <c r="L4042" s="27"/>
    </row>
    <row r="4043" spans="1:12" ht="15" customHeight="1" x14ac:dyDescent="0.25">
      <c r="A4043" s="27" t="s">
        <v>48</v>
      </c>
      <c r="B4043" s="27"/>
      <c r="C4043" s="27"/>
      <c r="D4043" s="27"/>
      <c r="E4043" s="27"/>
      <c r="F4043" s="27"/>
      <c r="G4043" s="27"/>
      <c r="H4043" s="27"/>
      <c r="I4043" s="27"/>
      <c r="J4043" s="27"/>
      <c r="K4043" s="27">
        <v>28.77</v>
      </c>
      <c r="L4043" s="27"/>
    </row>
    <row r="4044" spans="1:12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</row>
    <row r="4045" spans="1:12" ht="15" customHeight="1" x14ac:dyDescent="0.25">
      <c r="A4045" s="10" t="s">
        <v>49</v>
      </c>
      <c r="B4045" s="11"/>
      <c r="C4045" s="11"/>
      <c r="D4045" s="11"/>
      <c r="E4045" s="12"/>
      <c r="F4045" s="8" t="s">
        <v>21</v>
      </c>
      <c r="G4045" s="8" t="s">
        <v>22</v>
      </c>
      <c r="H4045" s="9" t="s">
        <v>44</v>
      </c>
      <c r="I4045" s="13" t="s">
        <v>34</v>
      </c>
      <c r="J4045" s="14"/>
      <c r="K4045" s="13" t="s">
        <v>50</v>
      </c>
      <c r="L4045" s="14"/>
    </row>
    <row r="4046" spans="1:12" ht="15" customHeight="1" x14ac:dyDescent="0.25">
      <c r="A4046" s="21" t="s">
        <v>506</v>
      </c>
      <c r="B4046" s="22"/>
      <c r="C4046" s="22"/>
      <c r="D4046" s="22"/>
      <c r="E4046" s="23"/>
      <c r="F4046" s="19" t="str">
        <f>"045271"</f>
        <v>045271</v>
      </c>
      <c r="G4046" s="19" t="s">
        <v>81</v>
      </c>
      <c r="H4046" s="20">
        <v>28.64</v>
      </c>
      <c r="I4046" s="24">
        <v>1</v>
      </c>
      <c r="J4046" s="25"/>
      <c r="K4046" s="24">
        <v>28.64</v>
      </c>
      <c r="L4046" s="25"/>
    </row>
    <row r="4047" spans="1:12" ht="15" customHeight="1" x14ac:dyDescent="0.25">
      <c r="A4047" s="15" t="s">
        <v>51</v>
      </c>
      <c r="B4047" s="16"/>
      <c r="C4047" s="16"/>
      <c r="D4047" s="16"/>
      <c r="E4047" s="16"/>
      <c r="F4047" s="16"/>
      <c r="G4047" s="16"/>
      <c r="H4047" s="16"/>
      <c r="I4047" s="16"/>
      <c r="J4047" s="17"/>
      <c r="K4047" s="15">
        <v>28.64</v>
      </c>
      <c r="L4047" s="17"/>
    </row>
    <row r="4048" spans="1:12" x14ac:dyDescent="0.25">
      <c r="A4048" s="18"/>
      <c r="B4048" s="18"/>
      <c r="C4048" s="18"/>
      <c r="D4048" s="18"/>
      <c r="E4048" s="18"/>
      <c r="F4048" s="18"/>
      <c r="G4048" s="18"/>
      <c r="H4048" s="18"/>
      <c r="I4048" s="18"/>
      <c r="J4048" s="18"/>
      <c r="K4048" s="18"/>
      <c r="L4048" s="18"/>
    </row>
    <row r="4049" spans="1:12" ht="15" customHeight="1" x14ac:dyDescent="0.25">
      <c r="A4049" s="10" t="s">
        <v>52</v>
      </c>
      <c r="B4049" s="11"/>
      <c r="C4049" s="11"/>
      <c r="D4049" s="11"/>
      <c r="E4049" s="12"/>
      <c r="F4049" s="8" t="s">
        <v>21</v>
      </c>
      <c r="G4049" s="8" t="s">
        <v>22</v>
      </c>
      <c r="H4049" s="9" t="s">
        <v>44</v>
      </c>
      <c r="I4049" s="13" t="s">
        <v>34</v>
      </c>
      <c r="J4049" s="14"/>
      <c r="K4049" s="13" t="s">
        <v>50</v>
      </c>
      <c r="L4049" s="14"/>
    </row>
    <row r="4050" spans="1:12" ht="15" customHeight="1" x14ac:dyDescent="0.25">
      <c r="A4050" s="15" t="s">
        <v>53</v>
      </c>
      <c r="B4050" s="16"/>
      <c r="C4050" s="16"/>
      <c r="D4050" s="16"/>
      <c r="E4050" s="16"/>
      <c r="F4050" s="16"/>
      <c r="G4050" s="16"/>
      <c r="H4050" s="16"/>
      <c r="I4050" s="16"/>
      <c r="J4050" s="17"/>
      <c r="K4050" s="15">
        <v>0</v>
      </c>
      <c r="L4050" s="17"/>
    </row>
    <row r="4051" spans="1:12" x14ac:dyDescent="0.25">
      <c r="A4051" s="18"/>
      <c r="B4051" s="18"/>
      <c r="C4051" s="18"/>
      <c r="D4051" s="18"/>
      <c r="E4051" s="18"/>
      <c r="F4051" s="18"/>
      <c r="G4051" s="18"/>
      <c r="H4051" s="18"/>
      <c r="I4051" s="18"/>
      <c r="J4051" s="18"/>
      <c r="K4051" s="18"/>
      <c r="L4051" s="18"/>
    </row>
    <row r="4052" spans="1:12" ht="15" customHeight="1" x14ac:dyDescent="0.25">
      <c r="A4052" s="10" t="s">
        <v>54</v>
      </c>
      <c r="B4052" s="11"/>
      <c r="C4052" s="12"/>
      <c r="D4052" s="8" t="s">
        <v>21</v>
      </c>
      <c r="E4052" s="8" t="s">
        <v>22</v>
      </c>
      <c r="F4052" s="9" t="s">
        <v>55</v>
      </c>
      <c r="G4052" s="8" t="s">
        <v>56</v>
      </c>
      <c r="H4052" s="8" t="s">
        <v>57</v>
      </c>
      <c r="I4052" s="8" t="s">
        <v>58</v>
      </c>
      <c r="J4052" s="9" t="s">
        <v>59</v>
      </c>
      <c r="K4052" s="9" t="s">
        <v>34</v>
      </c>
      <c r="L4052" s="9" t="s">
        <v>50</v>
      </c>
    </row>
    <row r="4053" spans="1:12" ht="15" customHeight="1" x14ac:dyDescent="0.25">
      <c r="A4053" s="15" t="s">
        <v>60</v>
      </c>
      <c r="B4053" s="16"/>
      <c r="C4053" s="16"/>
      <c r="D4053" s="16"/>
      <c r="E4053" s="16"/>
      <c r="F4053" s="16"/>
      <c r="G4053" s="16"/>
      <c r="H4053" s="16"/>
      <c r="I4053" s="16"/>
      <c r="J4053" s="17"/>
      <c r="K4053" s="15">
        <v>0</v>
      </c>
      <c r="L4053" s="17"/>
    </row>
    <row r="4054" spans="1:12" x14ac:dyDescent="0.25">
      <c r="A4054" s="18"/>
      <c r="B4054" s="18"/>
      <c r="C4054" s="18"/>
      <c r="D4054" s="18"/>
      <c r="E4054" s="18"/>
      <c r="F4054" s="18"/>
      <c r="G4054" s="18"/>
      <c r="H4054" s="18"/>
      <c r="I4054" s="18"/>
      <c r="J4054" s="18"/>
      <c r="K4054" s="18"/>
      <c r="L4054" s="18"/>
    </row>
    <row r="4055" spans="1:12" ht="15" customHeight="1" x14ac:dyDescent="0.25">
      <c r="A4055" s="27" t="s">
        <v>61</v>
      </c>
      <c r="B4055" s="27"/>
      <c r="C4055" s="27"/>
      <c r="D4055" s="27"/>
      <c r="E4055" s="27"/>
      <c r="F4055" s="27"/>
      <c r="G4055" s="27"/>
      <c r="H4055" s="27"/>
      <c r="I4055" s="27"/>
      <c r="J4055" s="27"/>
      <c r="K4055" s="27">
        <v>57.41</v>
      </c>
      <c r="L4055" s="27"/>
    </row>
    <row r="4056" spans="1:12" ht="15" customHeight="1" x14ac:dyDescent="0.25">
      <c r="A4056" s="27" t="s">
        <v>62</v>
      </c>
      <c r="B4056" s="27"/>
      <c r="C4056" s="27"/>
      <c r="D4056" s="27"/>
      <c r="E4056" s="27"/>
      <c r="F4056" s="27"/>
      <c r="G4056" s="27"/>
      <c r="H4056" s="27"/>
      <c r="I4056" s="27"/>
      <c r="J4056" s="27"/>
      <c r="K4056" s="27">
        <v>19.09</v>
      </c>
      <c r="L4056" s="27"/>
    </row>
    <row r="4057" spans="1:12" ht="15" customHeight="1" x14ac:dyDescent="0.25">
      <c r="A4057" s="27" t="s">
        <v>63</v>
      </c>
      <c r="B4057" s="27"/>
      <c r="C4057" s="27"/>
      <c r="D4057" s="27"/>
      <c r="E4057" s="27"/>
      <c r="F4057" s="27"/>
      <c r="G4057" s="27"/>
      <c r="H4057" s="27"/>
      <c r="I4057" s="27"/>
      <c r="J4057" s="27"/>
      <c r="K4057" s="27">
        <v>76.5</v>
      </c>
      <c r="L4057" s="27"/>
    </row>
    <row r="4058" spans="1:12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</row>
    <row r="4059" spans="1:12" ht="15" customHeight="1" x14ac:dyDescent="0.25">
      <c r="A4059" s="3" t="s">
        <v>8</v>
      </c>
      <c r="B4059" s="6" t="s">
        <v>9</v>
      </c>
      <c r="C4059" s="6"/>
      <c r="D4059" s="6"/>
      <c r="E4059" s="6"/>
      <c r="F4059" s="6"/>
      <c r="G4059" s="6"/>
      <c r="H4059" s="6"/>
      <c r="I4059" s="6"/>
      <c r="J4059" s="6"/>
      <c r="K4059" s="6"/>
      <c r="L4059" s="6"/>
    </row>
    <row r="4060" spans="1:12" ht="15" customHeight="1" x14ac:dyDescent="0.25">
      <c r="A4060" s="3" t="s">
        <v>10</v>
      </c>
      <c r="B4060" s="6" t="s">
        <v>507</v>
      </c>
      <c r="C4060" s="6"/>
      <c r="D4060" s="6"/>
      <c r="E4060" s="6"/>
      <c r="F4060" s="6"/>
      <c r="G4060" s="6"/>
      <c r="H4060" s="6"/>
      <c r="I4060" s="6"/>
      <c r="J4060" s="6"/>
      <c r="K4060" s="3" t="s">
        <v>12</v>
      </c>
      <c r="L4060" s="4" t="s">
        <v>84</v>
      </c>
    </row>
    <row r="4061" spans="1:12" ht="15" customHeight="1" x14ac:dyDescent="0.25">
      <c r="A4061" s="3" t="s">
        <v>14</v>
      </c>
      <c r="B4061" s="6" t="s">
        <v>15</v>
      </c>
      <c r="C4061" s="6"/>
      <c r="D4061" s="7" t="s">
        <v>16</v>
      </c>
      <c r="E4061" s="7"/>
      <c r="F4061" s="6" t="str">
        <f>"152105 "</f>
        <v xml:space="preserve">152105 </v>
      </c>
      <c r="G4061" s="6"/>
      <c r="H4061" s="3" t="s">
        <v>17</v>
      </c>
      <c r="I4061" s="6" t="s">
        <v>18</v>
      </c>
      <c r="J4061" s="6"/>
      <c r="K4061" s="3" t="s">
        <v>19</v>
      </c>
      <c r="L4061" s="5">
        <v>1</v>
      </c>
    </row>
    <row r="4062" spans="1:12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</row>
    <row r="4063" spans="1:12" ht="15" customHeight="1" x14ac:dyDescent="0.25">
      <c r="A4063" s="10" t="s">
        <v>20</v>
      </c>
      <c r="B4063" s="11"/>
      <c r="C4063" s="12"/>
      <c r="D4063" s="8" t="s">
        <v>21</v>
      </c>
      <c r="E4063" s="8" t="s">
        <v>22</v>
      </c>
      <c r="F4063" s="9" t="s">
        <v>23</v>
      </c>
      <c r="G4063" s="9" t="s">
        <v>24</v>
      </c>
      <c r="H4063" s="9" t="s">
        <v>25</v>
      </c>
      <c r="I4063" s="9" t="s">
        <v>26</v>
      </c>
      <c r="J4063" s="9" t="s">
        <v>27</v>
      </c>
      <c r="K4063" s="13" t="s">
        <v>28</v>
      </c>
      <c r="L4063" s="14"/>
    </row>
    <row r="4064" spans="1:12" ht="15" customHeight="1" x14ac:dyDescent="0.25">
      <c r="A4064" s="15" t="s">
        <v>29</v>
      </c>
      <c r="B4064" s="16"/>
      <c r="C4064" s="16"/>
      <c r="D4064" s="16"/>
      <c r="E4064" s="16"/>
      <c r="F4064" s="16"/>
      <c r="G4064" s="16"/>
      <c r="H4064" s="16"/>
      <c r="I4064" s="16"/>
      <c r="J4064" s="17"/>
      <c r="K4064" s="15">
        <v>0</v>
      </c>
      <c r="L4064" s="17"/>
    </row>
    <row r="4065" spans="1:12" x14ac:dyDescent="0.25">
      <c r="A4065" s="18"/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</row>
    <row r="4066" spans="1:12" ht="15" customHeight="1" x14ac:dyDescent="0.25">
      <c r="A4066" s="10" t="s">
        <v>30</v>
      </c>
      <c r="B4066" s="11"/>
      <c r="C4066" s="12"/>
      <c r="D4066" s="8" t="s">
        <v>21</v>
      </c>
      <c r="E4066" s="8" t="s">
        <v>22</v>
      </c>
      <c r="F4066" s="9" t="s">
        <v>31</v>
      </c>
      <c r="G4066" s="9" t="s">
        <v>32</v>
      </c>
      <c r="H4066" s="9" t="s">
        <v>33</v>
      </c>
      <c r="I4066" s="13" t="s">
        <v>34</v>
      </c>
      <c r="J4066" s="14"/>
      <c r="K4066" s="13" t="s">
        <v>28</v>
      </c>
      <c r="L4066" s="14"/>
    </row>
    <row r="4067" spans="1:12" ht="15" customHeight="1" x14ac:dyDescent="0.25">
      <c r="A4067" s="21" t="s">
        <v>76</v>
      </c>
      <c r="B4067" s="22"/>
      <c r="C4067" s="23"/>
      <c r="D4067" s="19" t="str">
        <f>"010101"</f>
        <v>010101</v>
      </c>
      <c r="E4067" s="19" t="s">
        <v>36</v>
      </c>
      <c r="F4067" s="20">
        <v>8.5299999999999994</v>
      </c>
      <c r="G4067" s="20">
        <v>157.27000000000001</v>
      </c>
      <c r="H4067" s="20">
        <v>21.94</v>
      </c>
      <c r="I4067" s="24">
        <v>0.5</v>
      </c>
      <c r="J4067" s="25"/>
      <c r="K4067" s="24">
        <v>10.97</v>
      </c>
      <c r="L4067" s="25"/>
    </row>
    <row r="4068" spans="1:12" ht="15" customHeight="1" x14ac:dyDescent="0.25">
      <c r="A4068" s="21" t="s">
        <v>461</v>
      </c>
      <c r="B4068" s="22"/>
      <c r="C4068" s="23"/>
      <c r="D4068" s="19" t="str">
        <f>"010115"</f>
        <v>010115</v>
      </c>
      <c r="E4068" s="19" t="s">
        <v>36</v>
      </c>
      <c r="F4068" s="20">
        <v>10.119999999999999</v>
      </c>
      <c r="G4068" s="20">
        <v>157.27000000000001</v>
      </c>
      <c r="H4068" s="20">
        <v>26.03</v>
      </c>
      <c r="I4068" s="24">
        <v>0.5</v>
      </c>
      <c r="J4068" s="25"/>
      <c r="K4068" s="24">
        <v>13.01</v>
      </c>
      <c r="L4068" s="25"/>
    </row>
    <row r="4069" spans="1:12" ht="15" customHeight="1" x14ac:dyDescent="0.25">
      <c r="A4069" s="15" t="s">
        <v>38</v>
      </c>
      <c r="B4069" s="16"/>
      <c r="C4069" s="16"/>
      <c r="D4069" s="16"/>
      <c r="E4069" s="16"/>
      <c r="F4069" s="16"/>
      <c r="G4069" s="16"/>
      <c r="H4069" s="16"/>
      <c r="I4069" s="16"/>
      <c r="J4069" s="17"/>
      <c r="K4069" s="15">
        <v>23.98</v>
      </c>
      <c r="L4069" s="17"/>
    </row>
    <row r="4070" spans="1:12" x14ac:dyDescent="0.25">
      <c r="A4070" s="18"/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8"/>
    </row>
    <row r="4071" spans="1:12" ht="15" customHeight="1" x14ac:dyDescent="0.25">
      <c r="A4071" s="10" t="s">
        <v>39</v>
      </c>
      <c r="B4071" s="11"/>
      <c r="C4071" s="12"/>
      <c r="D4071" s="8" t="s">
        <v>21</v>
      </c>
      <c r="E4071" s="13" t="s">
        <v>40</v>
      </c>
      <c r="F4071" s="14"/>
      <c r="G4071" s="8" t="s">
        <v>41</v>
      </c>
      <c r="H4071" s="8" t="s">
        <v>42</v>
      </c>
      <c r="I4071" s="8" t="s">
        <v>43</v>
      </c>
      <c r="J4071" s="13" t="s">
        <v>44</v>
      </c>
      <c r="K4071" s="26"/>
      <c r="L4071" s="14"/>
    </row>
    <row r="4072" spans="1:12" ht="15" customHeight="1" x14ac:dyDescent="0.25">
      <c r="A4072" s="15" t="s">
        <v>45</v>
      </c>
      <c r="B4072" s="16"/>
      <c r="C4072" s="16"/>
      <c r="D4072" s="16"/>
      <c r="E4072" s="16"/>
      <c r="F4072" s="16"/>
      <c r="G4072" s="16"/>
      <c r="H4072" s="16"/>
      <c r="I4072" s="16"/>
      <c r="J4072" s="17"/>
      <c r="K4072" s="15">
        <v>0</v>
      </c>
      <c r="L4072" s="17"/>
    </row>
    <row r="4073" spans="1:12" x14ac:dyDescent="0.25">
      <c r="A4073" s="18"/>
      <c r="B4073" s="18"/>
      <c r="C4073" s="18"/>
      <c r="D4073" s="18"/>
      <c r="E4073" s="18"/>
      <c r="F4073" s="18"/>
      <c r="G4073" s="18"/>
      <c r="H4073" s="18"/>
      <c r="I4073" s="18"/>
      <c r="J4073" s="18"/>
      <c r="K4073" s="18"/>
      <c r="L4073" s="18"/>
    </row>
    <row r="4074" spans="1:12" ht="15" customHeight="1" x14ac:dyDescent="0.25">
      <c r="A4074" s="27" t="s">
        <v>46</v>
      </c>
      <c r="B4074" s="27"/>
      <c r="C4074" s="27"/>
      <c r="D4074" s="27"/>
      <c r="E4074" s="27"/>
      <c r="F4074" s="27"/>
      <c r="G4074" s="27"/>
      <c r="H4074" s="27"/>
      <c r="I4074" s="27"/>
      <c r="J4074" s="27"/>
      <c r="K4074" s="27">
        <v>23.98</v>
      </c>
      <c r="L4074" s="27"/>
    </row>
    <row r="4075" spans="1:12" ht="15" customHeight="1" x14ac:dyDescent="0.25">
      <c r="A4075" s="27" t="s">
        <v>47</v>
      </c>
      <c r="B4075" s="27"/>
      <c r="C4075" s="27"/>
      <c r="D4075" s="27"/>
      <c r="E4075" s="27"/>
      <c r="F4075" s="27"/>
      <c r="G4075" s="27"/>
      <c r="H4075" s="27"/>
      <c r="I4075" s="27"/>
      <c r="J4075" s="27"/>
      <c r="K4075" s="27">
        <v>1</v>
      </c>
      <c r="L4075" s="27"/>
    </row>
    <row r="4076" spans="1:12" ht="15" customHeight="1" x14ac:dyDescent="0.25">
      <c r="A4076" s="27" t="s">
        <v>48</v>
      </c>
      <c r="B4076" s="27"/>
      <c r="C4076" s="27"/>
      <c r="D4076" s="27"/>
      <c r="E4076" s="27"/>
      <c r="F4076" s="27"/>
      <c r="G4076" s="27"/>
      <c r="H4076" s="27"/>
      <c r="I4076" s="27"/>
      <c r="J4076" s="27"/>
      <c r="K4076" s="27">
        <v>23.98</v>
      </c>
      <c r="L4076" s="27"/>
    </row>
    <row r="4077" spans="1:12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</row>
    <row r="4078" spans="1:12" ht="15" customHeight="1" x14ac:dyDescent="0.25">
      <c r="A4078" s="10" t="s">
        <v>49</v>
      </c>
      <c r="B4078" s="11"/>
      <c r="C4078" s="11"/>
      <c r="D4078" s="11"/>
      <c r="E4078" s="12"/>
      <c r="F4078" s="8" t="s">
        <v>21</v>
      </c>
      <c r="G4078" s="8" t="s">
        <v>22</v>
      </c>
      <c r="H4078" s="9" t="s">
        <v>44</v>
      </c>
      <c r="I4078" s="13" t="s">
        <v>34</v>
      </c>
      <c r="J4078" s="14"/>
      <c r="K4078" s="13" t="s">
        <v>50</v>
      </c>
      <c r="L4078" s="14"/>
    </row>
    <row r="4079" spans="1:12" ht="15" customHeight="1" x14ac:dyDescent="0.25">
      <c r="A4079" s="21" t="s">
        <v>508</v>
      </c>
      <c r="B4079" s="22"/>
      <c r="C4079" s="22"/>
      <c r="D4079" s="22"/>
      <c r="E4079" s="23"/>
      <c r="F4079" s="19" t="str">
        <f>"045045"</f>
        <v>045045</v>
      </c>
      <c r="G4079" s="19" t="s">
        <v>81</v>
      </c>
      <c r="H4079" s="20">
        <v>16.350000000000001</v>
      </c>
      <c r="I4079" s="24">
        <v>1</v>
      </c>
      <c r="J4079" s="25"/>
      <c r="K4079" s="24">
        <v>16.350000000000001</v>
      </c>
      <c r="L4079" s="25"/>
    </row>
    <row r="4080" spans="1:12" ht="15" customHeight="1" x14ac:dyDescent="0.25">
      <c r="A4080" s="15" t="s">
        <v>51</v>
      </c>
      <c r="B4080" s="16"/>
      <c r="C4080" s="16"/>
      <c r="D4080" s="16"/>
      <c r="E4080" s="16"/>
      <c r="F4080" s="16"/>
      <c r="G4080" s="16"/>
      <c r="H4080" s="16"/>
      <c r="I4080" s="16"/>
      <c r="J4080" s="17"/>
      <c r="K4080" s="15">
        <v>16.350000000000001</v>
      </c>
      <c r="L4080" s="17"/>
    </row>
    <row r="4081" spans="1:12" x14ac:dyDescent="0.25">
      <c r="A4081" s="18"/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8"/>
    </row>
    <row r="4082" spans="1:12" ht="15" customHeight="1" x14ac:dyDescent="0.25">
      <c r="A4082" s="10" t="s">
        <v>52</v>
      </c>
      <c r="B4082" s="11"/>
      <c r="C4082" s="11"/>
      <c r="D4082" s="11"/>
      <c r="E4082" s="12"/>
      <c r="F4082" s="8" t="s">
        <v>21</v>
      </c>
      <c r="G4082" s="8" t="s">
        <v>22</v>
      </c>
      <c r="H4082" s="9" t="s">
        <v>44</v>
      </c>
      <c r="I4082" s="13" t="s">
        <v>34</v>
      </c>
      <c r="J4082" s="14"/>
      <c r="K4082" s="13" t="s">
        <v>50</v>
      </c>
      <c r="L4082" s="14"/>
    </row>
    <row r="4083" spans="1:12" ht="15" customHeight="1" x14ac:dyDescent="0.25">
      <c r="A4083" s="15" t="s">
        <v>53</v>
      </c>
      <c r="B4083" s="16"/>
      <c r="C4083" s="16"/>
      <c r="D4083" s="16"/>
      <c r="E4083" s="16"/>
      <c r="F4083" s="16"/>
      <c r="G4083" s="16"/>
      <c r="H4083" s="16"/>
      <c r="I4083" s="16"/>
      <c r="J4083" s="17"/>
      <c r="K4083" s="15">
        <v>0</v>
      </c>
      <c r="L4083" s="17"/>
    </row>
    <row r="4084" spans="1:12" x14ac:dyDescent="0.25">
      <c r="A4084" s="18"/>
      <c r="B4084" s="18"/>
      <c r="C4084" s="18"/>
      <c r="D4084" s="18"/>
      <c r="E4084" s="18"/>
      <c r="F4084" s="18"/>
      <c r="G4084" s="18"/>
      <c r="H4084" s="18"/>
      <c r="I4084" s="18"/>
      <c r="J4084" s="18"/>
      <c r="K4084" s="18"/>
      <c r="L4084" s="18"/>
    </row>
    <row r="4085" spans="1:12" ht="15" customHeight="1" x14ac:dyDescent="0.25">
      <c r="A4085" s="10" t="s">
        <v>54</v>
      </c>
      <c r="B4085" s="11"/>
      <c r="C4085" s="12"/>
      <c r="D4085" s="8" t="s">
        <v>21</v>
      </c>
      <c r="E4085" s="8" t="s">
        <v>22</v>
      </c>
      <c r="F4085" s="9" t="s">
        <v>55</v>
      </c>
      <c r="G4085" s="8" t="s">
        <v>56</v>
      </c>
      <c r="H4085" s="8" t="s">
        <v>57</v>
      </c>
      <c r="I4085" s="8" t="s">
        <v>58</v>
      </c>
      <c r="J4085" s="9" t="s">
        <v>59</v>
      </c>
      <c r="K4085" s="9" t="s">
        <v>34</v>
      </c>
      <c r="L4085" s="9" t="s">
        <v>50</v>
      </c>
    </row>
    <row r="4086" spans="1:12" ht="15" customHeight="1" x14ac:dyDescent="0.25">
      <c r="A4086" s="15" t="s">
        <v>60</v>
      </c>
      <c r="B4086" s="16"/>
      <c r="C4086" s="16"/>
      <c r="D4086" s="16"/>
      <c r="E4086" s="16"/>
      <c r="F4086" s="16"/>
      <c r="G4086" s="16"/>
      <c r="H4086" s="16"/>
      <c r="I4086" s="16"/>
      <c r="J4086" s="17"/>
      <c r="K4086" s="15">
        <v>0</v>
      </c>
      <c r="L4086" s="17"/>
    </row>
    <row r="4087" spans="1:12" x14ac:dyDescent="0.25">
      <c r="A4087" s="18"/>
      <c r="B4087" s="18"/>
      <c r="C4087" s="18"/>
      <c r="D4087" s="18"/>
      <c r="E4087" s="18"/>
      <c r="F4087" s="18"/>
      <c r="G4087" s="18"/>
      <c r="H4087" s="18"/>
      <c r="I4087" s="18"/>
      <c r="J4087" s="18"/>
      <c r="K4087" s="18"/>
      <c r="L4087" s="18"/>
    </row>
    <row r="4088" spans="1:12" ht="15" customHeight="1" x14ac:dyDescent="0.25">
      <c r="A4088" s="27" t="s">
        <v>61</v>
      </c>
      <c r="B4088" s="27"/>
      <c r="C4088" s="27"/>
      <c r="D4088" s="27"/>
      <c r="E4088" s="27"/>
      <c r="F4088" s="27"/>
      <c r="G4088" s="27"/>
      <c r="H4088" s="27"/>
      <c r="I4088" s="27"/>
      <c r="J4088" s="27"/>
      <c r="K4088" s="27">
        <v>40.33</v>
      </c>
      <c r="L4088" s="27"/>
    </row>
    <row r="4089" spans="1:12" ht="15" customHeight="1" x14ac:dyDescent="0.25">
      <c r="A4089" s="27" t="s">
        <v>62</v>
      </c>
      <c r="B4089" s="27"/>
      <c r="C4089" s="27"/>
      <c r="D4089" s="27"/>
      <c r="E4089" s="27"/>
      <c r="F4089" s="27"/>
      <c r="G4089" s="27"/>
      <c r="H4089" s="27"/>
      <c r="I4089" s="27"/>
      <c r="J4089" s="27"/>
      <c r="K4089" s="27">
        <v>13.41</v>
      </c>
      <c r="L4089" s="27"/>
    </row>
    <row r="4090" spans="1:12" ht="15" customHeight="1" x14ac:dyDescent="0.25">
      <c r="A4090" s="27" t="s">
        <v>63</v>
      </c>
      <c r="B4090" s="27"/>
      <c r="C4090" s="27"/>
      <c r="D4090" s="27"/>
      <c r="E4090" s="27"/>
      <c r="F4090" s="27"/>
      <c r="G4090" s="27"/>
      <c r="H4090" s="27"/>
      <c r="I4090" s="27"/>
      <c r="J4090" s="27"/>
      <c r="K4090" s="27">
        <v>53.74</v>
      </c>
      <c r="L4090" s="27"/>
    </row>
    <row r="4091" spans="1:12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</row>
    <row r="4092" spans="1:12" ht="15" customHeight="1" x14ac:dyDescent="0.25">
      <c r="A4092" s="3" t="s">
        <v>8</v>
      </c>
      <c r="B4092" s="6" t="s">
        <v>9</v>
      </c>
      <c r="C4092" s="6"/>
      <c r="D4092" s="6"/>
      <c r="E4092" s="6"/>
      <c r="F4092" s="6"/>
      <c r="G4092" s="6"/>
      <c r="H4092" s="6"/>
      <c r="I4092" s="6"/>
      <c r="J4092" s="6"/>
      <c r="K4092" s="6"/>
      <c r="L4092" s="6"/>
    </row>
    <row r="4093" spans="1:12" ht="15" customHeight="1" x14ac:dyDescent="0.25">
      <c r="A4093" s="3" t="s">
        <v>10</v>
      </c>
      <c r="B4093" s="6" t="s">
        <v>509</v>
      </c>
      <c r="C4093" s="6"/>
      <c r="D4093" s="6"/>
      <c r="E4093" s="6"/>
      <c r="F4093" s="6"/>
      <c r="G4093" s="6"/>
      <c r="H4093" s="6"/>
      <c r="I4093" s="6"/>
      <c r="J4093" s="6"/>
      <c r="K4093" s="3" t="s">
        <v>12</v>
      </c>
      <c r="L4093" s="4" t="s">
        <v>84</v>
      </c>
    </row>
    <row r="4094" spans="1:12" ht="15" customHeight="1" x14ac:dyDescent="0.25">
      <c r="A4094" s="3" t="s">
        <v>14</v>
      </c>
      <c r="B4094" s="6" t="s">
        <v>15</v>
      </c>
      <c r="C4094" s="6"/>
      <c r="D4094" s="7" t="s">
        <v>16</v>
      </c>
      <c r="E4094" s="7"/>
      <c r="F4094" s="6" t="str">
        <f>"152107"</f>
        <v>152107</v>
      </c>
      <c r="G4094" s="6"/>
      <c r="H4094" s="3" t="s">
        <v>17</v>
      </c>
      <c r="I4094" s="6" t="s">
        <v>18</v>
      </c>
      <c r="J4094" s="6"/>
      <c r="K4094" s="3" t="s">
        <v>19</v>
      </c>
      <c r="L4094" s="5">
        <v>1</v>
      </c>
    </row>
    <row r="4095" spans="1:12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</row>
    <row r="4096" spans="1:12" ht="15" customHeight="1" x14ac:dyDescent="0.25">
      <c r="A4096" s="10" t="s">
        <v>20</v>
      </c>
      <c r="B4096" s="11"/>
      <c r="C4096" s="12"/>
      <c r="D4096" s="8" t="s">
        <v>21</v>
      </c>
      <c r="E4096" s="8" t="s">
        <v>22</v>
      </c>
      <c r="F4096" s="9" t="s">
        <v>23</v>
      </c>
      <c r="G4096" s="9" t="s">
        <v>24</v>
      </c>
      <c r="H4096" s="9" t="s">
        <v>25</v>
      </c>
      <c r="I4096" s="9" t="s">
        <v>26</v>
      </c>
      <c r="J4096" s="9" t="s">
        <v>27</v>
      </c>
      <c r="K4096" s="13" t="s">
        <v>28</v>
      </c>
      <c r="L4096" s="14"/>
    </row>
    <row r="4097" spans="1:12" ht="15" customHeight="1" x14ac:dyDescent="0.25">
      <c r="A4097" s="15" t="s">
        <v>29</v>
      </c>
      <c r="B4097" s="16"/>
      <c r="C4097" s="16"/>
      <c r="D4097" s="16"/>
      <c r="E4097" s="16"/>
      <c r="F4097" s="16"/>
      <c r="G4097" s="16"/>
      <c r="H4097" s="16"/>
      <c r="I4097" s="16"/>
      <c r="J4097" s="17"/>
      <c r="K4097" s="15">
        <v>0</v>
      </c>
      <c r="L4097" s="17"/>
    </row>
    <row r="4098" spans="1:12" x14ac:dyDescent="0.25">
      <c r="A4098" s="18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8"/>
    </row>
    <row r="4099" spans="1:12" ht="15" customHeight="1" x14ac:dyDescent="0.25">
      <c r="A4099" s="10" t="s">
        <v>30</v>
      </c>
      <c r="B4099" s="11"/>
      <c r="C4099" s="12"/>
      <c r="D4099" s="8" t="s">
        <v>21</v>
      </c>
      <c r="E4099" s="8" t="s">
        <v>22</v>
      </c>
      <c r="F4099" s="9" t="s">
        <v>31</v>
      </c>
      <c r="G4099" s="9" t="s">
        <v>32</v>
      </c>
      <c r="H4099" s="9" t="s">
        <v>33</v>
      </c>
      <c r="I4099" s="13" t="s">
        <v>34</v>
      </c>
      <c r="J4099" s="14"/>
      <c r="K4099" s="13" t="s">
        <v>28</v>
      </c>
      <c r="L4099" s="14"/>
    </row>
    <row r="4100" spans="1:12" ht="15" customHeight="1" x14ac:dyDescent="0.25">
      <c r="A4100" s="21" t="s">
        <v>76</v>
      </c>
      <c r="B4100" s="22"/>
      <c r="C4100" s="23"/>
      <c r="D4100" s="19" t="str">
        <f>"010101"</f>
        <v>010101</v>
      </c>
      <c r="E4100" s="19" t="s">
        <v>36</v>
      </c>
      <c r="F4100" s="20">
        <v>8.5299999999999994</v>
      </c>
      <c r="G4100" s="20">
        <v>157.27000000000001</v>
      </c>
      <c r="H4100" s="20">
        <v>21.94</v>
      </c>
      <c r="I4100" s="24">
        <v>0.5</v>
      </c>
      <c r="J4100" s="25"/>
      <c r="K4100" s="24">
        <v>10.97</v>
      </c>
      <c r="L4100" s="25"/>
    </row>
    <row r="4101" spans="1:12" ht="15" customHeight="1" x14ac:dyDescent="0.25">
      <c r="A4101" s="21" t="s">
        <v>461</v>
      </c>
      <c r="B4101" s="22"/>
      <c r="C4101" s="23"/>
      <c r="D4101" s="19" t="str">
        <f>"010115"</f>
        <v>010115</v>
      </c>
      <c r="E4101" s="19" t="s">
        <v>36</v>
      </c>
      <c r="F4101" s="20">
        <v>10.119999999999999</v>
      </c>
      <c r="G4101" s="20">
        <v>157.27000000000001</v>
      </c>
      <c r="H4101" s="20">
        <v>26.03</v>
      </c>
      <c r="I4101" s="24">
        <v>0.5</v>
      </c>
      <c r="J4101" s="25"/>
      <c r="K4101" s="24">
        <v>13.01</v>
      </c>
      <c r="L4101" s="25"/>
    </row>
    <row r="4102" spans="1:12" ht="15" customHeight="1" x14ac:dyDescent="0.25">
      <c r="A4102" s="15" t="s">
        <v>38</v>
      </c>
      <c r="B4102" s="16"/>
      <c r="C4102" s="16"/>
      <c r="D4102" s="16"/>
      <c r="E4102" s="16"/>
      <c r="F4102" s="16"/>
      <c r="G4102" s="16"/>
      <c r="H4102" s="16"/>
      <c r="I4102" s="16"/>
      <c r="J4102" s="17"/>
      <c r="K4102" s="15">
        <v>23.98</v>
      </c>
      <c r="L4102" s="17"/>
    </row>
    <row r="4103" spans="1:12" x14ac:dyDescent="0.25">
      <c r="A4103" s="18"/>
      <c r="B4103" s="18"/>
      <c r="C4103" s="18"/>
      <c r="D4103" s="18"/>
      <c r="E4103" s="18"/>
      <c r="F4103" s="18"/>
      <c r="G4103" s="18"/>
      <c r="H4103" s="18"/>
      <c r="I4103" s="18"/>
      <c r="J4103" s="18"/>
      <c r="K4103" s="18"/>
      <c r="L4103" s="18"/>
    </row>
    <row r="4104" spans="1:12" ht="15" customHeight="1" x14ac:dyDescent="0.25">
      <c r="A4104" s="10" t="s">
        <v>39</v>
      </c>
      <c r="B4104" s="11"/>
      <c r="C4104" s="12"/>
      <c r="D4104" s="8" t="s">
        <v>21</v>
      </c>
      <c r="E4104" s="13" t="s">
        <v>40</v>
      </c>
      <c r="F4104" s="14"/>
      <c r="G4104" s="8" t="s">
        <v>41</v>
      </c>
      <c r="H4104" s="8" t="s">
        <v>42</v>
      </c>
      <c r="I4104" s="8" t="s">
        <v>43</v>
      </c>
      <c r="J4104" s="13" t="s">
        <v>44</v>
      </c>
      <c r="K4104" s="26"/>
      <c r="L4104" s="14"/>
    </row>
    <row r="4105" spans="1:12" ht="15" customHeight="1" x14ac:dyDescent="0.25">
      <c r="A4105" s="15" t="s">
        <v>45</v>
      </c>
      <c r="B4105" s="16"/>
      <c r="C4105" s="16"/>
      <c r="D4105" s="16"/>
      <c r="E4105" s="16"/>
      <c r="F4105" s="16"/>
      <c r="G4105" s="16"/>
      <c r="H4105" s="16"/>
      <c r="I4105" s="16"/>
      <c r="J4105" s="17"/>
      <c r="K4105" s="15">
        <v>0</v>
      </c>
      <c r="L4105" s="17"/>
    </row>
    <row r="4106" spans="1:12" x14ac:dyDescent="0.25">
      <c r="A4106" s="18"/>
      <c r="B4106" s="18"/>
      <c r="C4106" s="18"/>
      <c r="D4106" s="18"/>
      <c r="E4106" s="18"/>
      <c r="F4106" s="18"/>
      <c r="G4106" s="18"/>
      <c r="H4106" s="18"/>
      <c r="I4106" s="18"/>
      <c r="J4106" s="18"/>
      <c r="K4106" s="18"/>
      <c r="L4106" s="18"/>
    </row>
    <row r="4107" spans="1:12" ht="15" customHeight="1" x14ac:dyDescent="0.25">
      <c r="A4107" s="27" t="s">
        <v>46</v>
      </c>
      <c r="B4107" s="27"/>
      <c r="C4107" s="27"/>
      <c r="D4107" s="27"/>
      <c r="E4107" s="27"/>
      <c r="F4107" s="27"/>
      <c r="G4107" s="27"/>
      <c r="H4107" s="27"/>
      <c r="I4107" s="27"/>
      <c r="J4107" s="27"/>
      <c r="K4107" s="27">
        <v>23.98</v>
      </c>
      <c r="L4107" s="27"/>
    </row>
    <row r="4108" spans="1:12" ht="15" customHeight="1" x14ac:dyDescent="0.25">
      <c r="A4108" s="27" t="s">
        <v>47</v>
      </c>
      <c r="B4108" s="27"/>
      <c r="C4108" s="27"/>
      <c r="D4108" s="27"/>
      <c r="E4108" s="27"/>
      <c r="F4108" s="27"/>
      <c r="G4108" s="27"/>
      <c r="H4108" s="27"/>
      <c r="I4108" s="27"/>
      <c r="J4108" s="27"/>
      <c r="K4108" s="27">
        <v>1</v>
      </c>
      <c r="L4108" s="27"/>
    </row>
    <row r="4109" spans="1:12" ht="15" customHeight="1" x14ac:dyDescent="0.25">
      <c r="A4109" s="27" t="s">
        <v>48</v>
      </c>
      <c r="B4109" s="27"/>
      <c r="C4109" s="27"/>
      <c r="D4109" s="27"/>
      <c r="E4109" s="27"/>
      <c r="F4109" s="27"/>
      <c r="G4109" s="27"/>
      <c r="H4109" s="27"/>
      <c r="I4109" s="27"/>
      <c r="J4109" s="27"/>
      <c r="K4109" s="27">
        <v>23.98</v>
      </c>
      <c r="L4109" s="27"/>
    </row>
    <row r="4110" spans="1:12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</row>
    <row r="4111" spans="1:12" ht="15" customHeight="1" x14ac:dyDescent="0.25">
      <c r="A4111" s="10" t="s">
        <v>49</v>
      </c>
      <c r="B4111" s="11"/>
      <c r="C4111" s="11"/>
      <c r="D4111" s="11"/>
      <c r="E4111" s="12"/>
      <c r="F4111" s="8" t="s">
        <v>21</v>
      </c>
      <c r="G4111" s="8" t="s">
        <v>22</v>
      </c>
      <c r="H4111" s="9" t="s">
        <v>44</v>
      </c>
      <c r="I4111" s="13" t="s">
        <v>34</v>
      </c>
      <c r="J4111" s="14"/>
      <c r="K4111" s="13" t="s">
        <v>50</v>
      </c>
      <c r="L4111" s="14"/>
    </row>
    <row r="4112" spans="1:12" ht="15" customHeight="1" x14ac:dyDescent="0.25">
      <c r="A4112" s="21" t="s">
        <v>510</v>
      </c>
      <c r="B4112" s="22"/>
      <c r="C4112" s="22"/>
      <c r="D4112" s="22"/>
      <c r="E4112" s="23"/>
      <c r="F4112" s="19" t="str">
        <f>"045223"</f>
        <v>045223</v>
      </c>
      <c r="G4112" s="19" t="s">
        <v>81</v>
      </c>
      <c r="H4112" s="20">
        <v>16.34</v>
      </c>
      <c r="I4112" s="24">
        <v>1</v>
      </c>
      <c r="J4112" s="25"/>
      <c r="K4112" s="24">
        <v>16.34</v>
      </c>
      <c r="L4112" s="25"/>
    </row>
    <row r="4113" spans="1:12" ht="15" customHeight="1" x14ac:dyDescent="0.25">
      <c r="A4113" s="15" t="s">
        <v>51</v>
      </c>
      <c r="B4113" s="16"/>
      <c r="C4113" s="16"/>
      <c r="D4113" s="16"/>
      <c r="E4113" s="16"/>
      <c r="F4113" s="16"/>
      <c r="G4113" s="16"/>
      <c r="H4113" s="16"/>
      <c r="I4113" s="16"/>
      <c r="J4113" s="17"/>
      <c r="K4113" s="15">
        <v>16.34</v>
      </c>
      <c r="L4113" s="17"/>
    </row>
    <row r="4114" spans="1:12" x14ac:dyDescent="0.25">
      <c r="A4114" s="18"/>
      <c r="B4114" s="18"/>
      <c r="C4114" s="18"/>
      <c r="D4114" s="18"/>
      <c r="E4114" s="18"/>
      <c r="F4114" s="18"/>
      <c r="G4114" s="18"/>
      <c r="H4114" s="18"/>
      <c r="I4114" s="18"/>
      <c r="J4114" s="18"/>
      <c r="K4114" s="18"/>
      <c r="L4114" s="18"/>
    </row>
    <row r="4115" spans="1:12" ht="15" customHeight="1" x14ac:dyDescent="0.25">
      <c r="A4115" s="10" t="s">
        <v>52</v>
      </c>
      <c r="B4115" s="11"/>
      <c r="C4115" s="11"/>
      <c r="D4115" s="11"/>
      <c r="E4115" s="12"/>
      <c r="F4115" s="8" t="s">
        <v>21</v>
      </c>
      <c r="G4115" s="8" t="s">
        <v>22</v>
      </c>
      <c r="H4115" s="9" t="s">
        <v>44</v>
      </c>
      <c r="I4115" s="13" t="s">
        <v>34</v>
      </c>
      <c r="J4115" s="14"/>
      <c r="K4115" s="13" t="s">
        <v>50</v>
      </c>
      <c r="L4115" s="14"/>
    </row>
    <row r="4116" spans="1:12" ht="15" customHeight="1" x14ac:dyDescent="0.25">
      <c r="A4116" s="15" t="s">
        <v>53</v>
      </c>
      <c r="B4116" s="16"/>
      <c r="C4116" s="16"/>
      <c r="D4116" s="16"/>
      <c r="E4116" s="16"/>
      <c r="F4116" s="16"/>
      <c r="G4116" s="16"/>
      <c r="H4116" s="16"/>
      <c r="I4116" s="16"/>
      <c r="J4116" s="17"/>
      <c r="K4116" s="15">
        <v>0</v>
      </c>
      <c r="L4116" s="17"/>
    </row>
    <row r="4117" spans="1:12" x14ac:dyDescent="0.25">
      <c r="A4117" s="18"/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</row>
    <row r="4118" spans="1:12" ht="15" customHeight="1" x14ac:dyDescent="0.25">
      <c r="A4118" s="10" t="s">
        <v>54</v>
      </c>
      <c r="B4118" s="11"/>
      <c r="C4118" s="12"/>
      <c r="D4118" s="8" t="s">
        <v>21</v>
      </c>
      <c r="E4118" s="8" t="s">
        <v>22</v>
      </c>
      <c r="F4118" s="9" t="s">
        <v>55</v>
      </c>
      <c r="G4118" s="8" t="s">
        <v>56</v>
      </c>
      <c r="H4118" s="8" t="s">
        <v>57</v>
      </c>
      <c r="I4118" s="8" t="s">
        <v>58</v>
      </c>
      <c r="J4118" s="9" t="s">
        <v>59</v>
      </c>
      <c r="K4118" s="9" t="s">
        <v>34</v>
      </c>
      <c r="L4118" s="9" t="s">
        <v>50</v>
      </c>
    </row>
    <row r="4119" spans="1:12" ht="15" customHeight="1" x14ac:dyDescent="0.25">
      <c r="A4119" s="15" t="s">
        <v>60</v>
      </c>
      <c r="B4119" s="16"/>
      <c r="C4119" s="16"/>
      <c r="D4119" s="16"/>
      <c r="E4119" s="16"/>
      <c r="F4119" s="16"/>
      <c r="G4119" s="16"/>
      <c r="H4119" s="16"/>
      <c r="I4119" s="16"/>
      <c r="J4119" s="17"/>
      <c r="K4119" s="15">
        <v>0</v>
      </c>
      <c r="L4119" s="17"/>
    </row>
    <row r="4120" spans="1:12" x14ac:dyDescent="0.25">
      <c r="A4120" s="18"/>
      <c r="B4120" s="18"/>
      <c r="C4120" s="18"/>
      <c r="D4120" s="18"/>
      <c r="E4120" s="18"/>
      <c r="F4120" s="18"/>
      <c r="G4120" s="18"/>
      <c r="H4120" s="18"/>
      <c r="I4120" s="18"/>
      <c r="J4120" s="18"/>
      <c r="K4120" s="18"/>
      <c r="L4120" s="18"/>
    </row>
    <row r="4121" spans="1:12" ht="15" customHeight="1" x14ac:dyDescent="0.25">
      <c r="A4121" s="27" t="s">
        <v>61</v>
      </c>
      <c r="B4121" s="27"/>
      <c r="C4121" s="27"/>
      <c r="D4121" s="27"/>
      <c r="E4121" s="27"/>
      <c r="F4121" s="27"/>
      <c r="G4121" s="27"/>
      <c r="H4121" s="27"/>
      <c r="I4121" s="27"/>
      <c r="J4121" s="27"/>
      <c r="K4121" s="27">
        <v>40.32</v>
      </c>
      <c r="L4121" s="27"/>
    </row>
    <row r="4122" spans="1:12" ht="15" customHeight="1" x14ac:dyDescent="0.25">
      <c r="A4122" s="27" t="s">
        <v>62</v>
      </c>
      <c r="B4122" s="27"/>
      <c r="C4122" s="27"/>
      <c r="D4122" s="27"/>
      <c r="E4122" s="27"/>
      <c r="F4122" s="27"/>
      <c r="G4122" s="27"/>
      <c r="H4122" s="27"/>
      <c r="I4122" s="27"/>
      <c r="J4122" s="27"/>
      <c r="K4122" s="27">
        <v>13.41</v>
      </c>
      <c r="L4122" s="27"/>
    </row>
    <row r="4123" spans="1:12" ht="15" customHeight="1" x14ac:dyDescent="0.25">
      <c r="A4123" s="27" t="s">
        <v>63</v>
      </c>
      <c r="B4123" s="27"/>
      <c r="C4123" s="27"/>
      <c r="D4123" s="27"/>
      <c r="E4123" s="27"/>
      <c r="F4123" s="27"/>
      <c r="G4123" s="27"/>
      <c r="H4123" s="27"/>
      <c r="I4123" s="27"/>
      <c r="J4123" s="27"/>
      <c r="K4123" s="27">
        <v>53.73</v>
      </c>
      <c r="L4123" s="27"/>
    </row>
    <row r="4124" spans="1:12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</row>
    <row r="4125" spans="1:12" ht="15" customHeight="1" x14ac:dyDescent="0.25">
      <c r="A4125" s="3" t="s">
        <v>8</v>
      </c>
      <c r="B4125" s="6" t="s">
        <v>9</v>
      </c>
      <c r="C4125" s="6"/>
      <c r="D4125" s="6"/>
      <c r="E4125" s="6"/>
      <c r="F4125" s="6"/>
      <c r="G4125" s="6"/>
      <c r="H4125" s="6"/>
      <c r="I4125" s="6"/>
      <c r="J4125" s="6"/>
      <c r="K4125" s="6"/>
      <c r="L4125" s="6"/>
    </row>
    <row r="4126" spans="1:12" ht="15" customHeight="1" x14ac:dyDescent="0.25">
      <c r="A4126" s="3" t="s">
        <v>10</v>
      </c>
      <c r="B4126" s="6" t="s">
        <v>511</v>
      </c>
      <c r="C4126" s="6"/>
      <c r="D4126" s="6"/>
      <c r="E4126" s="6"/>
      <c r="F4126" s="6"/>
      <c r="G4126" s="6"/>
      <c r="H4126" s="6"/>
      <c r="I4126" s="6"/>
      <c r="J4126" s="6"/>
      <c r="K4126" s="3" t="s">
        <v>12</v>
      </c>
      <c r="L4126" s="4" t="s">
        <v>84</v>
      </c>
    </row>
    <row r="4127" spans="1:12" ht="15" customHeight="1" x14ac:dyDescent="0.25">
      <c r="A4127" s="3" t="s">
        <v>14</v>
      </c>
      <c r="B4127" s="6" t="s">
        <v>15</v>
      </c>
      <c r="C4127" s="6"/>
      <c r="D4127" s="7" t="s">
        <v>16</v>
      </c>
      <c r="E4127" s="7"/>
      <c r="F4127" s="6" t="str">
        <f>"152111"</f>
        <v>152111</v>
      </c>
      <c r="G4127" s="6"/>
      <c r="H4127" s="3" t="s">
        <v>17</v>
      </c>
      <c r="I4127" s="6" t="s">
        <v>18</v>
      </c>
      <c r="J4127" s="6"/>
      <c r="K4127" s="3" t="s">
        <v>19</v>
      </c>
      <c r="L4127" s="5">
        <v>2</v>
      </c>
    </row>
    <row r="4128" spans="1:12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</row>
    <row r="4129" spans="1:12" ht="15" customHeight="1" x14ac:dyDescent="0.25">
      <c r="A4129" s="10" t="s">
        <v>20</v>
      </c>
      <c r="B4129" s="11"/>
      <c r="C4129" s="12"/>
      <c r="D4129" s="8" t="s">
        <v>21</v>
      </c>
      <c r="E4129" s="8" t="s">
        <v>22</v>
      </c>
      <c r="F4129" s="9" t="s">
        <v>23</v>
      </c>
      <c r="G4129" s="9" t="s">
        <v>24</v>
      </c>
      <c r="H4129" s="9" t="s">
        <v>25</v>
      </c>
      <c r="I4129" s="9" t="s">
        <v>26</v>
      </c>
      <c r="J4129" s="9" t="s">
        <v>27</v>
      </c>
      <c r="K4129" s="13" t="s">
        <v>28</v>
      </c>
      <c r="L4129" s="14"/>
    </row>
    <row r="4130" spans="1:12" ht="15" customHeight="1" x14ac:dyDescent="0.25">
      <c r="A4130" s="15" t="s">
        <v>29</v>
      </c>
      <c r="B4130" s="16"/>
      <c r="C4130" s="16"/>
      <c r="D4130" s="16"/>
      <c r="E4130" s="16"/>
      <c r="F4130" s="16"/>
      <c r="G4130" s="16"/>
      <c r="H4130" s="16"/>
      <c r="I4130" s="16"/>
      <c r="J4130" s="17"/>
      <c r="K4130" s="15">
        <v>0</v>
      </c>
      <c r="L4130" s="17"/>
    </row>
    <row r="4131" spans="1:12" x14ac:dyDescent="0.25">
      <c r="A4131" s="18"/>
      <c r="B4131" s="18"/>
      <c r="C4131" s="18"/>
      <c r="D4131" s="18"/>
      <c r="E4131" s="18"/>
      <c r="F4131" s="18"/>
      <c r="G4131" s="18"/>
      <c r="H4131" s="18"/>
      <c r="I4131" s="18"/>
      <c r="J4131" s="18"/>
      <c r="K4131" s="18"/>
      <c r="L4131" s="18"/>
    </row>
    <row r="4132" spans="1:12" ht="15" customHeight="1" x14ac:dyDescent="0.25">
      <c r="A4132" s="10" t="s">
        <v>30</v>
      </c>
      <c r="B4132" s="11"/>
      <c r="C4132" s="12"/>
      <c r="D4132" s="8" t="s">
        <v>21</v>
      </c>
      <c r="E4132" s="8" t="s">
        <v>22</v>
      </c>
      <c r="F4132" s="9" t="s">
        <v>31</v>
      </c>
      <c r="G4132" s="9" t="s">
        <v>32</v>
      </c>
      <c r="H4132" s="9" t="s">
        <v>33</v>
      </c>
      <c r="I4132" s="13" t="s">
        <v>34</v>
      </c>
      <c r="J4132" s="14"/>
      <c r="K4132" s="13" t="s">
        <v>28</v>
      </c>
      <c r="L4132" s="14"/>
    </row>
    <row r="4133" spans="1:12" ht="15" customHeight="1" x14ac:dyDescent="0.25">
      <c r="A4133" s="21" t="s">
        <v>76</v>
      </c>
      <c r="B4133" s="22"/>
      <c r="C4133" s="23"/>
      <c r="D4133" s="19" t="str">
        <f>"010101"</f>
        <v>010101</v>
      </c>
      <c r="E4133" s="19" t="s">
        <v>36</v>
      </c>
      <c r="F4133" s="20">
        <v>8.5299999999999994</v>
      </c>
      <c r="G4133" s="20">
        <v>157.27000000000001</v>
      </c>
      <c r="H4133" s="20">
        <v>21.94</v>
      </c>
      <c r="I4133" s="24">
        <v>0.6</v>
      </c>
      <c r="J4133" s="25"/>
      <c r="K4133" s="24">
        <v>13.16</v>
      </c>
      <c r="L4133" s="25"/>
    </row>
    <row r="4134" spans="1:12" ht="15" customHeight="1" x14ac:dyDescent="0.25">
      <c r="A4134" s="21" t="s">
        <v>461</v>
      </c>
      <c r="B4134" s="22"/>
      <c r="C4134" s="23"/>
      <c r="D4134" s="19" t="str">
        <f>"010115"</f>
        <v>010115</v>
      </c>
      <c r="E4134" s="19" t="s">
        <v>36</v>
      </c>
      <c r="F4134" s="20">
        <v>10.119999999999999</v>
      </c>
      <c r="G4134" s="20">
        <v>157.27000000000001</v>
      </c>
      <c r="H4134" s="20">
        <v>26.03</v>
      </c>
      <c r="I4134" s="24">
        <v>0.6</v>
      </c>
      <c r="J4134" s="25"/>
      <c r="K4134" s="24">
        <v>15.61</v>
      </c>
      <c r="L4134" s="25"/>
    </row>
    <row r="4135" spans="1:12" ht="15" customHeight="1" x14ac:dyDescent="0.25">
      <c r="A4135" s="15" t="s">
        <v>38</v>
      </c>
      <c r="B4135" s="16"/>
      <c r="C4135" s="16"/>
      <c r="D4135" s="16"/>
      <c r="E4135" s="16"/>
      <c r="F4135" s="16"/>
      <c r="G4135" s="16"/>
      <c r="H4135" s="16"/>
      <c r="I4135" s="16"/>
      <c r="J4135" s="17"/>
      <c r="K4135" s="15">
        <v>28.77</v>
      </c>
      <c r="L4135" s="17"/>
    </row>
    <row r="4136" spans="1:12" x14ac:dyDescent="0.25">
      <c r="A4136" s="18"/>
      <c r="B4136" s="18"/>
      <c r="C4136" s="18"/>
      <c r="D4136" s="18"/>
      <c r="E4136" s="18"/>
      <c r="F4136" s="18"/>
      <c r="G4136" s="18"/>
      <c r="H4136" s="18"/>
      <c r="I4136" s="18"/>
      <c r="J4136" s="18"/>
      <c r="K4136" s="18"/>
      <c r="L4136" s="18"/>
    </row>
    <row r="4137" spans="1:12" ht="15" customHeight="1" x14ac:dyDescent="0.25">
      <c r="A4137" s="10" t="s">
        <v>39</v>
      </c>
      <c r="B4137" s="11"/>
      <c r="C4137" s="12"/>
      <c r="D4137" s="8" t="s">
        <v>21</v>
      </c>
      <c r="E4137" s="13" t="s">
        <v>40</v>
      </c>
      <c r="F4137" s="14"/>
      <c r="G4137" s="8" t="s">
        <v>41</v>
      </c>
      <c r="H4137" s="8" t="s">
        <v>42</v>
      </c>
      <c r="I4137" s="8" t="s">
        <v>43</v>
      </c>
      <c r="J4137" s="13" t="s">
        <v>44</v>
      </c>
      <c r="K4137" s="26"/>
      <c r="L4137" s="14"/>
    </row>
    <row r="4138" spans="1:12" ht="15" customHeight="1" x14ac:dyDescent="0.25">
      <c r="A4138" s="15" t="s">
        <v>45</v>
      </c>
      <c r="B4138" s="16"/>
      <c r="C4138" s="16"/>
      <c r="D4138" s="16"/>
      <c r="E4138" s="16"/>
      <c r="F4138" s="16"/>
      <c r="G4138" s="16"/>
      <c r="H4138" s="16"/>
      <c r="I4138" s="16"/>
      <c r="J4138" s="17"/>
      <c r="K4138" s="15">
        <v>0</v>
      </c>
      <c r="L4138" s="17"/>
    </row>
    <row r="4139" spans="1:12" x14ac:dyDescent="0.25">
      <c r="A4139" s="18"/>
      <c r="B4139" s="18"/>
      <c r="C4139" s="18"/>
      <c r="D4139" s="18"/>
      <c r="E4139" s="18"/>
      <c r="F4139" s="18"/>
      <c r="G4139" s="18"/>
      <c r="H4139" s="18"/>
      <c r="I4139" s="18"/>
      <c r="J4139" s="18"/>
      <c r="K4139" s="18"/>
      <c r="L4139" s="18"/>
    </row>
    <row r="4140" spans="1:12" ht="15" customHeight="1" x14ac:dyDescent="0.25">
      <c r="A4140" s="27" t="s">
        <v>46</v>
      </c>
      <c r="B4140" s="27"/>
      <c r="C4140" s="27"/>
      <c r="D4140" s="27"/>
      <c r="E4140" s="27"/>
      <c r="F4140" s="27"/>
      <c r="G4140" s="27"/>
      <c r="H4140" s="27"/>
      <c r="I4140" s="27"/>
      <c r="J4140" s="27"/>
      <c r="K4140" s="27">
        <v>28.77</v>
      </c>
      <c r="L4140" s="27"/>
    </row>
    <row r="4141" spans="1:12" ht="15" customHeight="1" x14ac:dyDescent="0.25">
      <c r="A4141" s="27" t="s">
        <v>47</v>
      </c>
      <c r="B4141" s="27"/>
      <c r="C4141" s="27"/>
      <c r="D4141" s="27"/>
      <c r="E4141" s="27"/>
      <c r="F4141" s="27"/>
      <c r="G4141" s="27"/>
      <c r="H4141" s="27"/>
      <c r="I4141" s="27"/>
      <c r="J4141" s="27"/>
      <c r="K4141" s="27">
        <v>1</v>
      </c>
      <c r="L4141" s="27"/>
    </row>
    <row r="4142" spans="1:12" ht="15" customHeight="1" x14ac:dyDescent="0.25">
      <c r="A4142" s="27" t="s">
        <v>48</v>
      </c>
      <c r="B4142" s="27"/>
      <c r="C4142" s="27"/>
      <c r="D4142" s="27"/>
      <c r="E4142" s="27"/>
      <c r="F4142" s="27"/>
      <c r="G4142" s="27"/>
      <c r="H4142" s="27"/>
      <c r="I4142" s="27"/>
      <c r="J4142" s="27"/>
      <c r="K4142" s="27">
        <v>28.77</v>
      </c>
      <c r="L4142" s="27"/>
    </row>
    <row r="4143" spans="1:12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</row>
    <row r="4144" spans="1:12" ht="15" customHeight="1" x14ac:dyDescent="0.25">
      <c r="A4144" s="10" t="s">
        <v>49</v>
      </c>
      <c r="B4144" s="11"/>
      <c r="C4144" s="11"/>
      <c r="D4144" s="11"/>
      <c r="E4144" s="12"/>
      <c r="F4144" s="8" t="s">
        <v>21</v>
      </c>
      <c r="G4144" s="8" t="s">
        <v>22</v>
      </c>
      <c r="H4144" s="9" t="s">
        <v>44</v>
      </c>
      <c r="I4144" s="13" t="s">
        <v>34</v>
      </c>
      <c r="J4144" s="14"/>
      <c r="K4144" s="13" t="s">
        <v>50</v>
      </c>
      <c r="L4144" s="14"/>
    </row>
    <row r="4145" spans="1:12" ht="15" customHeight="1" x14ac:dyDescent="0.25">
      <c r="A4145" s="21" t="s">
        <v>512</v>
      </c>
      <c r="B4145" s="22"/>
      <c r="C4145" s="22"/>
      <c r="D4145" s="22"/>
      <c r="E4145" s="23"/>
      <c r="F4145" s="19" t="str">
        <f>"045270"</f>
        <v>045270</v>
      </c>
      <c r="G4145" s="19" t="s">
        <v>81</v>
      </c>
      <c r="H4145" s="20">
        <v>16.59</v>
      </c>
      <c r="I4145" s="24">
        <v>1</v>
      </c>
      <c r="J4145" s="25"/>
      <c r="K4145" s="24">
        <v>16.59</v>
      </c>
      <c r="L4145" s="25"/>
    </row>
    <row r="4146" spans="1:12" ht="15" customHeight="1" x14ac:dyDescent="0.25">
      <c r="A4146" s="15" t="s">
        <v>51</v>
      </c>
      <c r="B4146" s="16"/>
      <c r="C4146" s="16"/>
      <c r="D4146" s="16"/>
      <c r="E4146" s="16"/>
      <c r="F4146" s="16"/>
      <c r="G4146" s="16"/>
      <c r="H4146" s="16"/>
      <c r="I4146" s="16"/>
      <c r="J4146" s="17"/>
      <c r="K4146" s="15">
        <v>16.59</v>
      </c>
      <c r="L4146" s="17"/>
    </row>
    <row r="4147" spans="1:12" x14ac:dyDescent="0.25">
      <c r="A4147" s="18"/>
      <c r="B4147" s="18"/>
      <c r="C4147" s="18"/>
      <c r="D4147" s="18"/>
      <c r="E4147" s="18"/>
      <c r="F4147" s="18"/>
      <c r="G4147" s="18"/>
      <c r="H4147" s="18"/>
      <c r="I4147" s="18"/>
      <c r="J4147" s="18"/>
      <c r="K4147" s="18"/>
      <c r="L4147" s="18"/>
    </row>
    <row r="4148" spans="1:12" ht="15" customHeight="1" x14ac:dyDescent="0.25">
      <c r="A4148" s="10" t="s">
        <v>52</v>
      </c>
      <c r="B4148" s="11"/>
      <c r="C4148" s="11"/>
      <c r="D4148" s="11"/>
      <c r="E4148" s="12"/>
      <c r="F4148" s="8" t="s">
        <v>21</v>
      </c>
      <c r="G4148" s="8" t="s">
        <v>22</v>
      </c>
      <c r="H4148" s="9" t="s">
        <v>44</v>
      </c>
      <c r="I4148" s="13" t="s">
        <v>34</v>
      </c>
      <c r="J4148" s="14"/>
      <c r="K4148" s="13" t="s">
        <v>50</v>
      </c>
      <c r="L4148" s="14"/>
    </row>
    <row r="4149" spans="1:12" ht="15" customHeight="1" x14ac:dyDescent="0.25">
      <c r="A4149" s="15" t="s">
        <v>53</v>
      </c>
      <c r="B4149" s="16"/>
      <c r="C4149" s="16"/>
      <c r="D4149" s="16"/>
      <c r="E4149" s="16"/>
      <c r="F4149" s="16"/>
      <c r="G4149" s="16"/>
      <c r="H4149" s="16"/>
      <c r="I4149" s="16"/>
      <c r="J4149" s="17"/>
      <c r="K4149" s="15">
        <v>0</v>
      </c>
      <c r="L4149" s="17"/>
    </row>
    <row r="4150" spans="1:12" x14ac:dyDescent="0.25">
      <c r="A4150" s="18"/>
      <c r="B4150" s="18"/>
      <c r="C4150" s="18"/>
      <c r="D4150" s="18"/>
      <c r="E4150" s="18"/>
      <c r="F4150" s="18"/>
      <c r="G4150" s="18"/>
      <c r="H4150" s="18"/>
      <c r="I4150" s="18"/>
      <c r="J4150" s="18"/>
      <c r="K4150" s="18"/>
      <c r="L4150" s="18"/>
    </row>
    <row r="4151" spans="1:12" ht="15" customHeight="1" x14ac:dyDescent="0.25">
      <c r="A4151" s="10" t="s">
        <v>54</v>
      </c>
      <c r="B4151" s="11"/>
      <c r="C4151" s="12"/>
      <c r="D4151" s="8" t="s">
        <v>21</v>
      </c>
      <c r="E4151" s="8" t="s">
        <v>22</v>
      </c>
      <c r="F4151" s="9" t="s">
        <v>55</v>
      </c>
      <c r="G4151" s="8" t="s">
        <v>56</v>
      </c>
      <c r="H4151" s="8" t="s">
        <v>57</v>
      </c>
      <c r="I4151" s="8" t="s">
        <v>58</v>
      </c>
      <c r="J4151" s="9" t="s">
        <v>59</v>
      </c>
      <c r="K4151" s="9" t="s">
        <v>34</v>
      </c>
      <c r="L4151" s="9" t="s">
        <v>50</v>
      </c>
    </row>
    <row r="4152" spans="1:12" ht="15" customHeight="1" x14ac:dyDescent="0.25">
      <c r="A4152" s="15" t="s">
        <v>60</v>
      </c>
      <c r="B4152" s="16"/>
      <c r="C4152" s="16"/>
      <c r="D4152" s="16"/>
      <c r="E4152" s="16"/>
      <c r="F4152" s="16"/>
      <c r="G4152" s="16"/>
      <c r="H4152" s="16"/>
      <c r="I4152" s="16"/>
      <c r="J4152" s="17"/>
      <c r="K4152" s="15">
        <v>0</v>
      </c>
      <c r="L4152" s="17"/>
    </row>
    <row r="4153" spans="1:12" x14ac:dyDescent="0.25">
      <c r="A4153" s="18"/>
      <c r="B4153" s="18"/>
      <c r="C4153" s="18"/>
      <c r="D4153" s="18"/>
      <c r="E4153" s="18"/>
      <c r="F4153" s="18"/>
      <c r="G4153" s="18"/>
      <c r="H4153" s="18"/>
      <c r="I4153" s="18"/>
      <c r="J4153" s="18"/>
      <c r="K4153" s="18"/>
      <c r="L4153" s="18"/>
    </row>
    <row r="4154" spans="1:12" ht="15" customHeight="1" x14ac:dyDescent="0.25">
      <c r="A4154" s="27" t="s">
        <v>61</v>
      </c>
      <c r="B4154" s="27"/>
      <c r="C4154" s="27"/>
      <c r="D4154" s="27"/>
      <c r="E4154" s="27"/>
      <c r="F4154" s="27"/>
      <c r="G4154" s="27"/>
      <c r="H4154" s="27"/>
      <c r="I4154" s="27"/>
      <c r="J4154" s="27"/>
      <c r="K4154" s="27">
        <v>45.36</v>
      </c>
      <c r="L4154" s="27"/>
    </row>
    <row r="4155" spans="1:12" ht="15" customHeight="1" x14ac:dyDescent="0.25">
      <c r="A4155" s="27" t="s">
        <v>62</v>
      </c>
      <c r="B4155" s="27"/>
      <c r="C4155" s="27"/>
      <c r="D4155" s="27"/>
      <c r="E4155" s="27"/>
      <c r="F4155" s="27"/>
      <c r="G4155" s="27"/>
      <c r="H4155" s="27"/>
      <c r="I4155" s="27"/>
      <c r="J4155" s="27"/>
      <c r="K4155" s="27">
        <v>15.08</v>
      </c>
      <c r="L4155" s="27"/>
    </row>
    <row r="4156" spans="1:12" ht="15" customHeight="1" x14ac:dyDescent="0.25">
      <c r="A4156" s="27" t="s">
        <v>63</v>
      </c>
      <c r="B4156" s="27"/>
      <c r="C4156" s="27"/>
      <c r="D4156" s="27"/>
      <c r="E4156" s="27"/>
      <c r="F4156" s="27"/>
      <c r="G4156" s="27"/>
      <c r="H4156" s="27"/>
      <c r="I4156" s="27"/>
      <c r="J4156" s="27"/>
      <c r="K4156" s="27">
        <v>60.44</v>
      </c>
      <c r="L4156" s="27"/>
    </row>
    <row r="4157" spans="1:12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</row>
    <row r="4158" spans="1:12" ht="15" customHeight="1" x14ac:dyDescent="0.25">
      <c r="A4158" s="3" t="s">
        <v>8</v>
      </c>
      <c r="B4158" s="6" t="s">
        <v>9</v>
      </c>
      <c r="C4158" s="6"/>
      <c r="D4158" s="6"/>
      <c r="E4158" s="6"/>
      <c r="F4158" s="6"/>
      <c r="G4158" s="6"/>
      <c r="H4158" s="6"/>
      <c r="I4158" s="6"/>
      <c r="J4158" s="6"/>
      <c r="K4158" s="6"/>
      <c r="L4158" s="6"/>
    </row>
    <row r="4159" spans="1:12" ht="15" customHeight="1" x14ac:dyDescent="0.25">
      <c r="A4159" s="3" t="s">
        <v>10</v>
      </c>
      <c r="B4159" s="6" t="s">
        <v>513</v>
      </c>
      <c r="C4159" s="6"/>
      <c r="D4159" s="6"/>
      <c r="E4159" s="6"/>
      <c r="F4159" s="6"/>
      <c r="G4159" s="6"/>
      <c r="H4159" s="6"/>
      <c r="I4159" s="6"/>
      <c r="J4159" s="6"/>
      <c r="K4159" s="3" t="s">
        <v>12</v>
      </c>
      <c r="L4159" s="4" t="s">
        <v>84</v>
      </c>
    </row>
    <row r="4160" spans="1:12" ht="15" customHeight="1" x14ac:dyDescent="0.25">
      <c r="A4160" s="3" t="s">
        <v>14</v>
      </c>
      <c r="B4160" s="6" t="s">
        <v>15</v>
      </c>
      <c r="C4160" s="6"/>
      <c r="D4160" s="7" t="s">
        <v>16</v>
      </c>
      <c r="E4160" s="7"/>
      <c r="F4160" s="6" t="str">
        <f>"152110"</f>
        <v>152110</v>
      </c>
      <c r="G4160" s="6"/>
      <c r="H4160" s="3" t="s">
        <v>17</v>
      </c>
      <c r="I4160" s="6" t="s">
        <v>18</v>
      </c>
      <c r="J4160" s="6"/>
      <c r="K4160" s="3" t="s">
        <v>19</v>
      </c>
      <c r="L4160" s="5">
        <v>1</v>
      </c>
    </row>
    <row r="4161" spans="1:12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</row>
    <row r="4162" spans="1:12" ht="15" customHeight="1" x14ac:dyDescent="0.25">
      <c r="A4162" s="10" t="s">
        <v>20</v>
      </c>
      <c r="B4162" s="11"/>
      <c r="C4162" s="12"/>
      <c r="D4162" s="8" t="s">
        <v>21</v>
      </c>
      <c r="E4162" s="8" t="s">
        <v>22</v>
      </c>
      <c r="F4162" s="9" t="s">
        <v>23</v>
      </c>
      <c r="G4162" s="9" t="s">
        <v>24</v>
      </c>
      <c r="H4162" s="9" t="s">
        <v>25</v>
      </c>
      <c r="I4162" s="9" t="s">
        <v>26</v>
      </c>
      <c r="J4162" s="9" t="s">
        <v>27</v>
      </c>
      <c r="K4162" s="13" t="s">
        <v>28</v>
      </c>
      <c r="L4162" s="14"/>
    </row>
    <row r="4163" spans="1:12" ht="15" customHeight="1" x14ac:dyDescent="0.25">
      <c r="A4163" s="15" t="s">
        <v>29</v>
      </c>
      <c r="B4163" s="16"/>
      <c r="C4163" s="16"/>
      <c r="D4163" s="16"/>
      <c r="E4163" s="16"/>
      <c r="F4163" s="16"/>
      <c r="G4163" s="16"/>
      <c r="H4163" s="16"/>
      <c r="I4163" s="16"/>
      <c r="J4163" s="17"/>
      <c r="K4163" s="15">
        <v>0</v>
      </c>
      <c r="L4163" s="17"/>
    </row>
    <row r="4164" spans="1:12" x14ac:dyDescent="0.25">
      <c r="A4164" s="18"/>
      <c r="B4164" s="18"/>
      <c r="C4164" s="18"/>
      <c r="D4164" s="18"/>
      <c r="E4164" s="18"/>
      <c r="F4164" s="18"/>
      <c r="G4164" s="18"/>
      <c r="H4164" s="18"/>
      <c r="I4164" s="18"/>
      <c r="J4164" s="18"/>
      <c r="K4164" s="18"/>
      <c r="L4164" s="18"/>
    </row>
    <row r="4165" spans="1:12" ht="15" customHeight="1" x14ac:dyDescent="0.25">
      <c r="A4165" s="10" t="s">
        <v>30</v>
      </c>
      <c r="B4165" s="11"/>
      <c r="C4165" s="12"/>
      <c r="D4165" s="8" t="s">
        <v>21</v>
      </c>
      <c r="E4165" s="8" t="s">
        <v>22</v>
      </c>
      <c r="F4165" s="9" t="s">
        <v>31</v>
      </c>
      <c r="G4165" s="9" t="s">
        <v>32</v>
      </c>
      <c r="H4165" s="9" t="s">
        <v>33</v>
      </c>
      <c r="I4165" s="13" t="s">
        <v>34</v>
      </c>
      <c r="J4165" s="14"/>
      <c r="K4165" s="13" t="s">
        <v>28</v>
      </c>
      <c r="L4165" s="14"/>
    </row>
    <row r="4166" spans="1:12" ht="15" customHeight="1" x14ac:dyDescent="0.25">
      <c r="A4166" s="21" t="s">
        <v>76</v>
      </c>
      <c r="B4166" s="22"/>
      <c r="C4166" s="23"/>
      <c r="D4166" s="19" t="str">
        <f>"010101"</f>
        <v>010101</v>
      </c>
      <c r="E4166" s="19" t="s">
        <v>36</v>
      </c>
      <c r="F4166" s="20">
        <v>8.5299999999999994</v>
      </c>
      <c r="G4166" s="20">
        <v>157.27000000000001</v>
      </c>
      <c r="H4166" s="20">
        <v>21.94</v>
      </c>
      <c r="I4166" s="24">
        <v>0.7</v>
      </c>
      <c r="J4166" s="25"/>
      <c r="K4166" s="24">
        <v>15.35</v>
      </c>
      <c r="L4166" s="25"/>
    </row>
    <row r="4167" spans="1:12" ht="15" customHeight="1" x14ac:dyDescent="0.25">
      <c r="A4167" s="21" t="s">
        <v>461</v>
      </c>
      <c r="B4167" s="22"/>
      <c r="C4167" s="23"/>
      <c r="D4167" s="19" t="str">
        <f>"010115"</f>
        <v>010115</v>
      </c>
      <c r="E4167" s="19" t="s">
        <v>36</v>
      </c>
      <c r="F4167" s="20">
        <v>10.119999999999999</v>
      </c>
      <c r="G4167" s="20">
        <v>157.27000000000001</v>
      </c>
      <c r="H4167" s="20">
        <v>26.03</v>
      </c>
      <c r="I4167" s="24">
        <v>0.7</v>
      </c>
      <c r="J4167" s="25"/>
      <c r="K4167" s="24">
        <v>18.22</v>
      </c>
      <c r="L4167" s="25"/>
    </row>
    <row r="4168" spans="1:12" ht="15" customHeight="1" x14ac:dyDescent="0.25">
      <c r="A4168" s="15" t="s">
        <v>38</v>
      </c>
      <c r="B4168" s="16"/>
      <c r="C4168" s="16"/>
      <c r="D4168" s="16"/>
      <c r="E4168" s="16"/>
      <c r="F4168" s="16"/>
      <c r="G4168" s="16"/>
      <c r="H4168" s="16"/>
      <c r="I4168" s="16"/>
      <c r="J4168" s="17"/>
      <c r="K4168" s="15">
        <v>33.57</v>
      </c>
      <c r="L4168" s="17"/>
    </row>
    <row r="4169" spans="1:12" x14ac:dyDescent="0.25">
      <c r="A4169" s="18"/>
      <c r="B4169" s="18"/>
      <c r="C4169" s="18"/>
      <c r="D4169" s="18"/>
      <c r="E4169" s="18"/>
      <c r="F4169" s="18"/>
      <c r="G4169" s="18"/>
      <c r="H4169" s="18"/>
      <c r="I4169" s="18"/>
      <c r="J4169" s="18"/>
      <c r="K4169" s="18"/>
      <c r="L4169" s="18"/>
    </row>
    <row r="4170" spans="1:12" ht="15" customHeight="1" x14ac:dyDescent="0.25">
      <c r="A4170" s="10" t="s">
        <v>39</v>
      </c>
      <c r="B4170" s="11"/>
      <c r="C4170" s="12"/>
      <c r="D4170" s="8" t="s">
        <v>21</v>
      </c>
      <c r="E4170" s="13" t="s">
        <v>40</v>
      </c>
      <c r="F4170" s="14"/>
      <c r="G4170" s="8" t="s">
        <v>41</v>
      </c>
      <c r="H4170" s="8" t="s">
        <v>42</v>
      </c>
      <c r="I4170" s="8" t="s">
        <v>43</v>
      </c>
      <c r="J4170" s="13" t="s">
        <v>44</v>
      </c>
      <c r="K4170" s="26"/>
      <c r="L4170" s="14"/>
    </row>
    <row r="4171" spans="1:12" ht="15" customHeight="1" x14ac:dyDescent="0.25">
      <c r="A4171" s="15" t="s">
        <v>45</v>
      </c>
      <c r="B4171" s="16"/>
      <c r="C4171" s="16"/>
      <c r="D4171" s="16"/>
      <c r="E4171" s="16"/>
      <c r="F4171" s="16"/>
      <c r="G4171" s="16"/>
      <c r="H4171" s="16"/>
      <c r="I4171" s="16"/>
      <c r="J4171" s="17"/>
      <c r="K4171" s="15">
        <v>0</v>
      </c>
      <c r="L4171" s="17"/>
    </row>
    <row r="4172" spans="1:12" x14ac:dyDescent="0.25">
      <c r="A4172" s="18"/>
      <c r="B4172" s="18"/>
      <c r="C4172" s="18"/>
      <c r="D4172" s="18"/>
      <c r="E4172" s="18"/>
      <c r="F4172" s="18"/>
      <c r="G4172" s="18"/>
      <c r="H4172" s="18"/>
      <c r="I4172" s="18"/>
      <c r="J4172" s="18"/>
      <c r="K4172" s="18"/>
      <c r="L4172" s="18"/>
    </row>
    <row r="4173" spans="1:12" ht="15" customHeight="1" x14ac:dyDescent="0.25">
      <c r="A4173" s="27" t="s">
        <v>46</v>
      </c>
      <c r="B4173" s="27"/>
      <c r="C4173" s="27"/>
      <c r="D4173" s="27"/>
      <c r="E4173" s="27"/>
      <c r="F4173" s="27"/>
      <c r="G4173" s="27"/>
      <c r="H4173" s="27"/>
      <c r="I4173" s="27"/>
      <c r="J4173" s="27"/>
      <c r="K4173" s="27">
        <v>33.57</v>
      </c>
      <c r="L4173" s="27"/>
    </row>
    <row r="4174" spans="1:12" ht="15" customHeight="1" x14ac:dyDescent="0.25">
      <c r="A4174" s="27" t="s">
        <v>47</v>
      </c>
      <c r="B4174" s="27"/>
      <c r="C4174" s="27"/>
      <c r="D4174" s="27"/>
      <c r="E4174" s="27"/>
      <c r="F4174" s="27"/>
      <c r="G4174" s="27"/>
      <c r="H4174" s="27"/>
      <c r="I4174" s="27"/>
      <c r="J4174" s="27"/>
      <c r="K4174" s="27">
        <v>1</v>
      </c>
      <c r="L4174" s="27"/>
    </row>
    <row r="4175" spans="1:12" ht="15" customHeight="1" x14ac:dyDescent="0.25">
      <c r="A4175" s="27" t="s">
        <v>48</v>
      </c>
      <c r="B4175" s="27"/>
      <c r="C4175" s="27"/>
      <c r="D4175" s="27"/>
      <c r="E4175" s="27"/>
      <c r="F4175" s="27"/>
      <c r="G4175" s="27"/>
      <c r="H4175" s="27"/>
      <c r="I4175" s="27"/>
      <c r="J4175" s="27"/>
      <c r="K4175" s="27">
        <v>33.57</v>
      </c>
      <c r="L4175" s="27"/>
    </row>
    <row r="4176" spans="1:12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</row>
    <row r="4177" spans="1:12" ht="15" customHeight="1" x14ac:dyDescent="0.25">
      <c r="A4177" s="10" t="s">
        <v>49</v>
      </c>
      <c r="B4177" s="11"/>
      <c r="C4177" s="11"/>
      <c r="D4177" s="11"/>
      <c r="E4177" s="12"/>
      <c r="F4177" s="8" t="s">
        <v>21</v>
      </c>
      <c r="G4177" s="8" t="s">
        <v>22</v>
      </c>
      <c r="H4177" s="9" t="s">
        <v>44</v>
      </c>
      <c r="I4177" s="13" t="s">
        <v>34</v>
      </c>
      <c r="J4177" s="14"/>
      <c r="K4177" s="13" t="s">
        <v>50</v>
      </c>
      <c r="L4177" s="14"/>
    </row>
    <row r="4178" spans="1:12" ht="15" customHeight="1" x14ac:dyDescent="0.25">
      <c r="A4178" s="21" t="s">
        <v>514</v>
      </c>
      <c r="B4178" s="22"/>
      <c r="C4178" s="22"/>
      <c r="D4178" s="22"/>
      <c r="E4178" s="23"/>
      <c r="F4178" s="19" t="str">
        <f>"045224"</f>
        <v>045224</v>
      </c>
      <c r="G4178" s="19" t="s">
        <v>81</v>
      </c>
      <c r="H4178" s="20">
        <v>21.85</v>
      </c>
      <c r="I4178" s="24">
        <v>1</v>
      </c>
      <c r="J4178" s="25"/>
      <c r="K4178" s="24">
        <v>21.85</v>
      </c>
      <c r="L4178" s="25"/>
    </row>
    <row r="4179" spans="1:12" ht="15" customHeight="1" x14ac:dyDescent="0.25">
      <c r="A4179" s="15" t="s">
        <v>51</v>
      </c>
      <c r="B4179" s="16"/>
      <c r="C4179" s="16"/>
      <c r="D4179" s="16"/>
      <c r="E4179" s="16"/>
      <c r="F4179" s="16"/>
      <c r="G4179" s="16"/>
      <c r="H4179" s="16"/>
      <c r="I4179" s="16"/>
      <c r="J4179" s="17"/>
      <c r="K4179" s="15">
        <v>21.85</v>
      </c>
      <c r="L4179" s="17"/>
    </row>
    <row r="4180" spans="1:12" x14ac:dyDescent="0.25">
      <c r="A4180" s="18"/>
      <c r="B4180" s="18"/>
      <c r="C4180" s="18"/>
      <c r="D4180" s="18"/>
      <c r="E4180" s="18"/>
      <c r="F4180" s="18"/>
      <c r="G4180" s="18"/>
      <c r="H4180" s="18"/>
      <c r="I4180" s="18"/>
      <c r="J4180" s="18"/>
      <c r="K4180" s="18"/>
      <c r="L4180" s="18"/>
    </row>
    <row r="4181" spans="1:12" ht="15" customHeight="1" x14ac:dyDescent="0.25">
      <c r="A4181" s="10" t="s">
        <v>52</v>
      </c>
      <c r="B4181" s="11"/>
      <c r="C4181" s="11"/>
      <c r="D4181" s="11"/>
      <c r="E4181" s="12"/>
      <c r="F4181" s="8" t="s">
        <v>21</v>
      </c>
      <c r="G4181" s="8" t="s">
        <v>22</v>
      </c>
      <c r="H4181" s="9" t="s">
        <v>44</v>
      </c>
      <c r="I4181" s="13" t="s">
        <v>34</v>
      </c>
      <c r="J4181" s="14"/>
      <c r="K4181" s="13" t="s">
        <v>50</v>
      </c>
      <c r="L4181" s="14"/>
    </row>
    <row r="4182" spans="1:12" ht="15" customHeight="1" x14ac:dyDescent="0.25">
      <c r="A4182" s="15" t="s">
        <v>53</v>
      </c>
      <c r="B4182" s="16"/>
      <c r="C4182" s="16"/>
      <c r="D4182" s="16"/>
      <c r="E4182" s="16"/>
      <c r="F4182" s="16"/>
      <c r="G4182" s="16"/>
      <c r="H4182" s="16"/>
      <c r="I4182" s="16"/>
      <c r="J4182" s="17"/>
      <c r="K4182" s="15">
        <v>0</v>
      </c>
      <c r="L4182" s="17"/>
    </row>
    <row r="4183" spans="1:12" x14ac:dyDescent="0.25">
      <c r="A4183" s="18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8"/>
    </row>
    <row r="4184" spans="1:12" ht="15" customHeight="1" x14ac:dyDescent="0.25">
      <c r="A4184" s="10" t="s">
        <v>54</v>
      </c>
      <c r="B4184" s="11"/>
      <c r="C4184" s="12"/>
      <c r="D4184" s="8" t="s">
        <v>21</v>
      </c>
      <c r="E4184" s="8" t="s">
        <v>22</v>
      </c>
      <c r="F4184" s="9" t="s">
        <v>55</v>
      </c>
      <c r="G4184" s="8" t="s">
        <v>56</v>
      </c>
      <c r="H4184" s="8" t="s">
        <v>57</v>
      </c>
      <c r="I4184" s="8" t="s">
        <v>58</v>
      </c>
      <c r="J4184" s="9" t="s">
        <v>59</v>
      </c>
      <c r="K4184" s="9" t="s">
        <v>34</v>
      </c>
      <c r="L4184" s="9" t="s">
        <v>50</v>
      </c>
    </row>
    <row r="4185" spans="1:12" ht="15" customHeight="1" x14ac:dyDescent="0.25">
      <c r="A4185" s="15" t="s">
        <v>60</v>
      </c>
      <c r="B4185" s="16"/>
      <c r="C4185" s="16"/>
      <c r="D4185" s="16"/>
      <c r="E4185" s="16"/>
      <c r="F4185" s="16"/>
      <c r="G4185" s="16"/>
      <c r="H4185" s="16"/>
      <c r="I4185" s="16"/>
      <c r="J4185" s="17"/>
      <c r="K4185" s="15">
        <v>0</v>
      </c>
      <c r="L4185" s="17"/>
    </row>
    <row r="4186" spans="1:12" x14ac:dyDescent="0.25">
      <c r="A4186" s="18"/>
      <c r="B4186" s="18"/>
      <c r="C4186" s="18"/>
      <c r="D4186" s="18"/>
      <c r="E4186" s="18"/>
      <c r="F4186" s="18"/>
      <c r="G4186" s="18"/>
      <c r="H4186" s="18"/>
      <c r="I4186" s="18"/>
      <c r="J4186" s="18"/>
      <c r="K4186" s="18"/>
      <c r="L4186" s="18"/>
    </row>
    <row r="4187" spans="1:12" ht="15" customHeight="1" x14ac:dyDescent="0.25">
      <c r="A4187" s="27" t="s">
        <v>61</v>
      </c>
      <c r="B4187" s="27"/>
      <c r="C4187" s="27"/>
      <c r="D4187" s="27"/>
      <c r="E4187" s="27"/>
      <c r="F4187" s="27"/>
      <c r="G4187" s="27"/>
      <c r="H4187" s="27"/>
      <c r="I4187" s="27"/>
      <c r="J4187" s="27"/>
      <c r="K4187" s="27">
        <v>55.42</v>
      </c>
      <c r="L4187" s="27"/>
    </row>
    <row r="4188" spans="1:12" ht="15" customHeight="1" x14ac:dyDescent="0.25">
      <c r="A4188" s="27" t="s">
        <v>62</v>
      </c>
      <c r="B4188" s="27"/>
      <c r="C4188" s="27"/>
      <c r="D4188" s="27"/>
      <c r="E4188" s="27"/>
      <c r="F4188" s="27"/>
      <c r="G4188" s="27"/>
      <c r="H4188" s="27"/>
      <c r="I4188" s="27"/>
      <c r="J4188" s="27"/>
      <c r="K4188" s="27">
        <v>18.43</v>
      </c>
      <c r="L4188" s="27"/>
    </row>
    <row r="4189" spans="1:12" ht="15" customHeight="1" x14ac:dyDescent="0.25">
      <c r="A4189" s="27" t="s">
        <v>63</v>
      </c>
      <c r="B4189" s="27"/>
      <c r="C4189" s="27"/>
      <c r="D4189" s="27"/>
      <c r="E4189" s="27"/>
      <c r="F4189" s="27"/>
      <c r="G4189" s="27"/>
      <c r="H4189" s="27"/>
      <c r="I4189" s="27"/>
      <c r="J4189" s="27"/>
      <c r="K4189" s="27">
        <v>73.849999999999994</v>
      </c>
      <c r="L4189" s="27"/>
    </row>
    <row r="4190" spans="1:12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</row>
    <row r="4191" spans="1:12" ht="15" customHeight="1" x14ac:dyDescent="0.25">
      <c r="A4191" s="3" t="s">
        <v>8</v>
      </c>
      <c r="B4191" s="6" t="s">
        <v>9</v>
      </c>
      <c r="C4191" s="6"/>
      <c r="D4191" s="6"/>
      <c r="E4191" s="6"/>
      <c r="F4191" s="6"/>
      <c r="G4191" s="6"/>
      <c r="H4191" s="6"/>
      <c r="I4191" s="6"/>
      <c r="J4191" s="6"/>
      <c r="K4191" s="6"/>
      <c r="L4191" s="6"/>
    </row>
    <row r="4192" spans="1:12" ht="15" customHeight="1" x14ac:dyDescent="0.25">
      <c r="A4192" s="3" t="s">
        <v>10</v>
      </c>
      <c r="B4192" s="6" t="s">
        <v>515</v>
      </c>
      <c r="C4192" s="6"/>
      <c r="D4192" s="6"/>
      <c r="E4192" s="6"/>
      <c r="F4192" s="6"/>
      <c r="G4192" s="6"/>
      <c r="H4192" s="6"/>
      <c r="I4192" s="6"/>
      <c r="J4192" s="6"/>
      <c r="K4192" s="3" t="s">
        <v>12</v>
      </c>
      <c r="L4192" s="4" t="s">
        <v>84</v>
      </c>
    </row>
    <row r="4193" spans="1:12" ht="15" customHeight="1" x14ac:dyDescent="0.25">
      <c r="A4193" s="3" t="s">
        <v>14</v>
      </c>
      <c r="B4193" s="6" t="s">
        <v>15</v>
      </c>
      <c r="C4193" s="6"/>
      <c r="D4193" s="7" t="s">
        <v>16</v>
      </c>
      <c r="E4193" s="7"/>
      <c r="F4193" s="6" t="str">
        <f>"150628"</f>
        <v>150628</v>
      </c>
      <c r="G4193" s="6"/>
      <c r="H4193" s="3" t="s">
        <v>17</v>
      </c>
      <c r="I4193" s="6" t="s">
        <v>18</v>
      </c>
      <c r="J4193" s="6"/>
      <c r="K4193" s="3" t="s">
        <v>19</v>
      </c>
      <c r="L4193" s="5">
        <v>1</v>
      </c>
    </row>
    <row r="4194" spans="1:12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</row>
    <row r="4195" spans="1:12" ht="15" customHeight="1" x14ac:dyDescent="0.25">
      <c r="A4195" s="10" t="s">
        <v>20</v>
      </c>
      <c r="B4195" s="11"/>
      <c r="C4195" s="12"/>
      <c r="D4195" s="8" t="s">
        <v>21</v>
      </c>
      <c r="E4195" s="8" t="s">
        <v>22</v>
      </c>
      <c r="F4195" s="9" t="s">
        <v>23</v>
      </c>
      <c r="G4195" s="9" t="s">
        <v>24</v>
      </c>
      <c r="H4195" s="9" t="s">
        <v>25</v>
      </c>
      <c r="I4195" s="9" t="s">
        <v>26</v>
      </c>
      <c r="J4195" s="9" t="s">
        <v>27</v>
      </c>
      <c r="K4195" s="13" t="s">
        <v>28</v>
      </c>
      <c r="L4195" s="14"/>
    </row>
    <row r="4196" spans="1:12" ht="15" customHeight="1" x14ac:dyDescent="0.25">
      <c r="A4196" s="15" t="s">
        <v>29</v>
      </c>
      <c r="B4196" s="16"/>
      <c r="C4196" s="16"/>
      <c r="D4196" s="16"/>
      <c r="E4196" s="16"/>
      <c r="F4196" s="16"/>
      <c r="G4196" s="16"/>
      <c r="H4196" s="16"/>
      <c r="I4196" s="16"/>
      <c r="J4196" s="17"/>
      <c r="K4196" s="15">
        <v>0</v>
      </c>
      <c r="L4196" s="17"/>
    </row>
    <row r="4197" spans="1:12" x14ac:dyDescent="0.25">
      <c r="A4197" s="18"/>
      <c r="B4197" s="18"/>
      <c r="C4197" s="18"/>
      <c r="D4197" s="18"/>
      <c r="E4197" s="18"/>
      <c r="F4197" s="18"/>
      <c r="G4197" s="18"/>
      <c r="H4197" s="18"/>
      <c r="I4197" s="18"/>
      <c r="J4197" s="18"/>
      <c r="K4197" s="18"/>
      <c r="L4197" s="18"/>
    </row>
    <row r="4198" spans="1:12" ht="15" customHeight="1" x14ac:dyDescent="0.25">
      <c r="A4198" s="10" t="s">
        <v>30</v>
      </c>
      <c r="B4198" s="11"/>
      <c r="C4198" s="12"/>
      <c r="D4198" s="8" t="s">
        <v>21</v>
      </c>
      <c r="E4198" s="8" t="s">
        <v>22</v>
      </c>
      <c r="F4198" s="9" t="s">
        <v>31</v>
      </c>
      <c r="G4198" s="9" t="s">
        <v>32</v>
      </c>
      <c r="H4198" s="9" t="s">
        <v>33</v>
      </c>
      <c r="I4198" s="13" t="s">
        <v>34</v>
      </c>
      <c r="J4198" s="14"/>
      <c r="K4198" s="13" t="s">
        <v>28</v>
      </c>
      <c r="L4198" s="14"/>
    </row>
    <row r="4199" spans="1:12" ht="15" customHeight="1" x14ac:dyDescent="0.25">
      <c r="A4199" s="21" t="s">
        <v>76</v>
      </c>
      <c r="B4199" s="22"/>
      <c r="C4199" s="23"/>
      <c r="D4199" s="19" t="str">
        <f>"010101"</f>
        <v>010101</v>
      </c>
      <c r="E4199" s="19" t="s">
        <v>36</v>
      </c>
      <c r="F4199" s="20">
        <v>8.5299999999999994</v>
      </c>
      <c r="G4199" s="20">
        <v>157.27000000000001</v>
      </c>
      <c r="H4199" s="20">
        <v>21.94</v>
      </c>
      <c r="I4199" s="24">
        <v>0.15</v>
      </c>
      <c r="J4199" s="25"/>
      <c r="K4199" s="24">
        <v>3.29</v>
      </c>
      <c r="L4199" s="25"/>
    </row>
    <row r="4200" spans="1:12" ht="15" customHeight="1" x14ac:dyDescent="0.25">
      <c r="A4200" s="21" t="s">
        <v>461</v>
      </c>
      <c r="B4200" s="22"/>
      <c r="C4200" s="23"/>
      <c r="D4200" s="19" t="str">
        <f>"010115"</f>
        <v>010115</v>
      </c>
      <c r="E4200" s="19" t="s">
        <v>36</v>
      </c>
      <c r="F4200" s="20">
        <v>10.119999999999999</v>
      </c>
      <c r="G4200" s="20">
        <v>157.27000000000001</v>
      </c>
      <c r="H4200" s="20">
        <v>26.03</v>
      </c>
      <c r="I4200" s="24">
        <v>0.15</v>
      </c>
      <c r="J4200" s="25"/>
      <c r="K4200" s="24">
        <v>3.9</v>
      </c>
      <c r="L4200" s="25"/>
    </row>
    <row r="4201" spans="1:12" ht="15" customHeight="1" x14ac:dyDescent="0.25">
      <c r="A4201" s="15" t="s">
        <v>38</v>
      </c>
      <c r="B4201" s="16"/>
      <c r="C4201" s="16"/>
      <c r="D4201" s="16"/>
      <c r="E4201" s="16"/>
      <c r="F4201" s="16"/>
      <c r="G4201" s="16"/>
      <c r="H4201" s="16"/>
      <c r="I4201" s="16"/>
      <c r="J4201" s="17"/>
      <c r="K4201" s="15">
        <v>7.19</v>
      </c>
      <c r="L4201" s="17"/>
    </row>
    <row r="4202" spans="1:12" x14ac:dyDescent="0.25">
      <c r="A4202" s="18"/>
      <c r="B4202" s="18"/>
      <c r="C4202" s="18"/>
      <c r="D4202" s="18"/>
      <c r="E4202" s="18"/>
      <c r="F4202" s="18"/>
      <c r="G4202" s="18"/>
      <c r="H4202" s="18"/>
      <c r="I4202" s="18"/>
      <c r="J4202" s="18"/>
      <c r="K4202" s="18"/>
      <c r="L4202" s="18"/>
    </row>
    <row r="4203" spans="1:12" ht="15" customHeight="1" x14ac:dyDescent="0.25">
      <c r="A4203" s="10" t="s">
        <v>39</v>
      </c>
      <c r="B4203" s="11"/>
      <c r="C4203" s="12"/>
      <c r="D4203" s="8" t="s">
        <v>21</v>
      </c>
      <c r="E4203" s="13" t="s">
        <v>40</v>
      </c>
      <c r="F4203" s="14"/>
      <c r="G4203" s="8" t="s">
        <v>41</v>
      </c>
      <c r="H4203" s="8" t="s">
        <v>42</v>
      </c>
      <c r="I4203" s="8" t="s">
        <v>43</v>
      </c>
      <c r="J4203" s="13" t="s">
        <v>44</v>
      </c>
      <c r="K4203" s="26"/>
      <c r="L4203" s="14"/>
    </row>
    <row r="4204" spans="1:12" ht="15" customHeight="1" x14ac:dyDescent="0.25">
      <c r="A4204" s="15" t="s">
        <v>45</v>
      </c>
      <c r="B4204" s="16"/>
      <c r="C4204" s="16"/>
      <c r="D4204" s="16"/>
      <c r="E4204" s="16"/>
      <c r="F4204" s="16"/>
      <c r="G4204" s="16"/>
      <c r="H4204" s="16"/>
      <c r="I4204" s="16"/>
      <c r="J4204" s="17"/>
      <c r="K4204" s="15">
        <v>0</v>
      </c>
      <c r="L4204" s="17"/>
    </row>
    <row r="4205" spans="1:12" x14ac:dyDescent="0.25">
      <c r="A4205" s="18"/>
      <c r="B4205" s="18"/>
      <c r="C4205" s="18"/>
      <c r="D4205" s="18"/>
      <c r="E4205" s="18"/>
      <c r="F4205" s="18"/>
      <c r="G4205" s="18"/>
      <c r="H4205" s="18"/>
      <c r="I4205" s="18"/>
      <c r="J4205" s="18"/>
      <c r="K4205" s="18"/>
      <c r="L4205" s="18"/>
    </row>
    <row r="4206" spans="1:12" ht="15" customHeight="1" x14ac:dyDescent="0.25">
      <c r="A4206" s="27" t="s">
        <v>46</v>
      </c>
      <c r="B4206" s="27"/>
      <c r="C4206" s="27"/>
      <c r="D4206" s="27"/>
      <c r="E4206" s="27"/>
      <c r="F4206" s="27"/>
      <c r="G4206" s="27"/>
      <c r="H4206" s="27"/>
      <c r="I4206" s="27"/>
      <c r="J4206" s="27"/>
      <c r="K4206" s="27">
        <v>7.19</v>
      </c>
      <c r="L4206" s="27"/>
    </row>
    <row r="4207" spans="1:12" ht="15" customHeight="1" x14ac:dyDescent="0.25">
      <c r="A4207" s="27" t="s">
        <v>47</v>
      </c>
      <c r="B4207" s="27"/>
      <c r="C4207" s="27"/>
      <c r="D4207" s="27"/>
      <c r="E4207" s="27"/>
      <c r="F4207" s="27"/>
      <c r="G4207" s="27"/>
      <c r="H4207" s="27"/>
      <c r="I4207" s="27"/>
      <c r="J4207" s="27"/>
      <c r="K4207" s="27">
        <v>1</v>
      </c>
      <c r="L4207" s="27"/>
    </row>
    <row r="4208" spans="1:12" ht="15" customHeight="1" x14ac:dyDescent="0.25">
      <c r="A4208" s="27" t="s">
        <v>48</v>
      </c>
      <c r="B4208" s="27"/>
      <c r="C4208" s="27"/>
      <c r="D4208" s="27"/>
      <c r="E4208" s="27"/>
      <c r="F4208" s="27"/>
      <c r="G4208" s="27"/>
      <c r="H4208" s="27"/>
      <c r="I4208" s="27"/>
      <c r="J4208" s="27"/>
      <c r="K4208" s="27">
        <v>7.19</v>
      </c>
      <c r="L4208" s="27"/>
    </row>
    <row r="4209" spans="1:12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</row>
    <row r="4210" spans="1:12" ht="15" customHeight="1" x14ac:dyDescent="0.25">
      <c r="A4210" s="10" t="s">
        <v>49</v>
      </c>
      <c r="B4210" s="11"/>
      <c r="C4210" s="11"/>
      <c r="D4210" s="11"/>
      <c r="E4210" s="12"/>
      <c r="F4210" s="8" t="s">
        <v>21</v>
      </c>
      <c r="G4210" s="8" t="s">
        <v>22</v>
      </c>
      <c r="H4210" s="9" t="s">
        <v>44</v>
      </c>
      <c r="I4210" s="13" t="s">
        <v>34</v>
      </c>
      <c r="J4210" s="14"/>
      <c r="K4210" s="13" t="s">
        <v>50</v>
      </c>
      <c r="L4210" s="14"/>
    </row>
    <row r="4211" spans="1:12" ht="15" customHeight="1" x14ac:dyDescent="0.25">
      <c r="A4211" s="21" t="s">
        <v>516</v>
      </c>
      <c r="B4211" s="22"/>
      <c r="C4211" s="22"/>
      <c r="D4211" s="22"/>
      <c r="E4211" s="23"/>
      <c r="F4211" s="19" t="str">
        <f>"045104"</f>
        <v>045104</v>
      </c>
      <c r="G4211" s="19" t="s">
        <v>81</v>
      </c>
      <c r="H4211" s="20">
        <v>2.6</v>
      </c>
      <c r="I4211" s="24">
        <v>1</v>
      </c>
      <c r="J4211" s="25"/>
      <c r="K4211" s="24">
        <v>2.6</v>
      </c>
      <c r="L4211" s="25"/>
    </row>
    <row r="4212" spans="1:12" ht="15" customHeight="1" x14ac:dyDescent="0.25">
      <c r="A4212" s="15" t="s">
        <v>51</v>
      </c>
      <c r="B4212" s="16"/>
      <c r="C4212" s="16"/>
      <c r="D4212" s="16"/>
      <c r="E4212" s="16"/>
      <c r="F4212" s="16"/>
      <c r="G4212" s="16"/>
      <c r="H4212" s="16"/>
      <c r="I4212" s="16"/>
      <c r="J4212" s="17"/>
      <c r="K4212" s="15">
        <v>2.6</v>
      </c>
      <c r="L4212" s="17"/>
    </row>
    <row r="4213" spans="1:12" x14ac:dyDescent="0.25">
      <c r="A4213" s="18"/>
      <c r="B4213" s="18"/>
      <c r="C4213" s="18"/>
      <c r="D4213" s="18"/>
      <c r="E4213" s="18"/>
      <c r="F4213" s="18"/>
      <c r="G4213" s="18"/>
      <c r="H4213" s="18"/>
      <c r="I4213" s="18"/>
      <c r="J4213" s="18"/>
      <c r="K4213" s="18"/>
      <c r="L4213" s="18"/>
    </row>
    <row r="4214" spans="1:12" ht="15" customHeight="1" x14ac:dyDescent="0.25">
      <c r="A4214" s="10" t="s">
        <v>52</v>
      </c>
      <c r="B4214" s="11"/>
      <c r="C4214" s="11"/>
      <c r="D4214" s="11"/>
      <c r="E4214" s="12"/>
      <c r="F4214" s="8" t="s">
        <v>21</v>
      </c>
      <c r="G4214" s="8" t="s">
        <v>22</v>
      </c>
      <c r="H4214" s="9" t="s">
        <v>44</v>
      </c>
      <c r="I4214" s="13" t="s">
        <v>34</v>
      </c>
      <c r="J4214" s="14"/>
      <c r="K4214" s="13" t="s">
        <v>50</v>
      </c>
      <c r="L4214" s="14"/>
    </row>
    <row r="4215" spans="1:12" ht="15" customHeight="1" x14ac:dyDescent="0.25">
      <c r="A4215" s="15" t="s">
        <v>53</v>
      </c>
      <c r="B4215" s="16"/>
      <c r="C4215" s="16"/>
      <c r="D4215" s="16"/>
      <c r="E4215" s="16"/>
      <c r="F4215" s="16"/>
      <c r="G4215" s="16"/>
      <c r="H4215" s="16"/>
      <c r="I4215" s="16"/>
      <c r="J4215" s="17"/>
      <c r="K4215" s="15">
        <v>0</v>
      </c>
      <c r="L4215" s="17"/>
    </row>
    <row r="4216" spans="1:12" x14ac:dyDescent="0.25">
      <c r="A4216" s="18"/>
      <c r="B4216" s="18"/>
      <c r="C4216" s="18"/>
      <c r="D4216" s="18"/>
      <c r="E4216" s="18"/>
      <c r="F4216" s="18"/>
      <c r="G4216" s="18"/>
      <c r="H4216" s="18"/>
      <c r="I4216" s="18"/>
      <c r="J4216" s="18"/>
      <c r="K4216" s="18"/>
      <c r="L4216" s="18"/>
    </row>
    <row r="4217" spans="1:12" ht="15" customHeight="1" x14ac:dyDescent="0.25">
      <c r="A4217" s="10" t="s">
        <v>54</v>
      </c>
      <c r="B4217" s="11"/>
      <c r="C4217" s="12"/>
      <c r="D4217" s="8" t="s">
        <v>21</v>
      </c>
      <c r="E4217" s="8" t="s">
        <v>22</v>
      </c>
      <c r="F4217" s="9" t="s">
        <v>55</v>
      </c>
      <c r="G4217" s="8" t="s">
        <v>56</v>
      </c>
      <c r="H4217" s="8" t="s">
        <v>57</v>
      </c>
      <c r="I4217" s="8" t="s">
        <v>58</v>
      </c>
      <c r="J4217" s="9" t="s">
        <v>59</v>
      </c>
      <c r="K4217" s="9" t="s">
        <v>34</v>
      </c>
      <c r="L4217" s="9" t="s">
        <v>50</v>
      </c>
    </row>
    <row r="4218" spans="1:12" ht="15" customHeight="1" x14ac:dyDescent="0.25">
      <c r="A4218" s="15" t="s">
        <v>60</v>
      </c>
      <c r="B4218" s="16"/>
      <c r="C4218" s="16"/>
      <c r="D4218" s="16"/>
      <c r="E4218" s="16"/>
      <c r="F4218" s="16"/>
      <c r="G4218" s="16"/>
      <c r="H4218" s="16"/>
      <c r="I4218" s="16"/>
      <c r="J4218" s="17"/>
      <c r="K4218" s="15">
        <v>0</v>
      </c>
      <c r="L4218" s="17"/>
    </row>
    <row r="4219" spans="1:12" x14ac:dyDescent="0.25">
      <c r="A4219" s="18"/>
      <c r="B4219" s="18"/>
      <c r="C4219" s="18"/>
      <c r="D4219" s="18"/>
      <c r="E4219" s="18"/>
      <c r="F4219" s="18"/>
      <c r="G4219" s="18"/>
      <c r="H4219" s="18"/>
      <c r="I4219" s="18"/>
      <c r="J4219" s="18"/>
      <c r="K4219" s="18"/>
      <c r="L4219" s="18"/>
    </row>
    <row r="4220" spans="1:12" ht="15" customHeight="1" x14ac:dyDescent="0.25">
      <c r="A4220" s="27" t="s">
        <v>61</v>
      </c>
      <c r="B4220" s="27"/>
      <c r="C4220" s="27"/>
      <c r="D4220" s="27"/>
      <c r="E4220" s="27"/>
      <c r="F4220" s="27"/>
      <c r="G4220" s="27"/>
      <c r="H4220" s="27"/>
      <c r="I4220" s="27"/>
      <c r="J4220" s="27"/>
      <c r="K4220" s="27">
        <v>9.7899999999999991</v>
      </c>
      <c r="L4220" s="27"/>
    </row>
    <row r="4221" spans="1:12" ht="15" customHeight="1" x14ac:dyDescent="0.25">
      <c r="A4221" s="27" t="s">
        <v>62</v>
      </c>
      <c r="B4221" s="27"/>
      <c r="C4221" s="27"/>
      <c r="D4221" s="27"/>
      <c r="E4221" s="27"/>
      <c r="F4221" s="27"/>
      <c r="G4221" s="27"/>
      <c r="H4221" s="27"/>
      <c r="I4221" s="27"/>
      <c r="J4221" s="27"/>
      <c r="K4221" s="27">
        <v>3.26</v>
      </c>
      <c r="L4221" s="27"/>
    </row>
    <row r="4222" spans="1:12" ht="15" customHeight="1" x14ac:dyDescent="0.25">
      <c r="A4222" s="27" t="s">
        <v>63</v>
      </c>
      <c r="B4222" s="27"/>
      <c r="C4222" s="27"/>
      <c r="D4222" s="27"/>
      <c r="E4222" s="27"/>
      <c r="F4222" s="27"/>
      <c r="G4222" s="27"/>
      <c r="H4222" s="27"/>
      <c r="I4222" s="27"/>
      <c r="J4222" s="27"/>
      <c r="K4222" s="27">
        <v>13.05</v>
      </c>
      <c r="L4222" s="27"/>
    </row>
    <row r="4223" spans="1:12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</row>
    <row r="4224" spans="1:12" ht="15" customHeight="1" x14ac:dyDescent="0.25">
      <c r="A4224" s="3" t="s">
        <v>8</v>
      </c>
      <c r="B4224" s="6" t="s">
        <v>9</v>
      </c>
      <c r="C4224" s="6"/>
      <c r="D4224" s="6"/>
      <c r="E4224" s="6"/>
      <c r="F4224" s="6"/>
      <c r="G4224" s="6"/>
      <c r="H4224" s="6"/>
      <c r="I4224" s="6"/>
      <c r="J4224" s="6"/>
      <c r="K4224" s="6"/>
      <c r="L4224" s="6"/>
    </row>
    <row r="4225" spans="1:12" ht="30" customHeight="1" x14ac:dyDescent="0.25">
      <c r="A4225" s="3" t="s">
        <v>10</v>
      </c>
      <c r="B4225" s="6" t="s">
        <v>517</v>
      </c>
      <c r="C4225" s="6"/>
      <c r="D4225" s="6"/>
      <c r="E4225" s="6"/>
      <c r="F4225" s="6"/>
      <c r="G4225" s="6"/>
      <c r="H4225" s="6"/>
      <c r="I4225" s="6"/>
      <c r="J4225" s="6"/>
      <c r="K4225" s="3" t="s">
        <v>12</v>
      </c>
      <c r="L4225" s="4" t="s">
        <v>84</v>
      </c>
    </row>
    <row r="4226" spans="1:12" ht="15" customHeight="1" x14ac:dyDescent="0.25">
      <c r="A4226" s="3" t="s">
        <v>14</v>
      </c>
      <c r="B4226" s="6" t="s">
        <v>88</v>
      </c>
      <c r="C4226" s="6"/>
      <c r="D4226" s="7" t="s">
        <v>16</v>
      </c>
      <c r="E4226" s="7"/>
      <c r="F4226" s="6" t="str">
        <f>"4079.000085"</f>
        <v>4079.000085</v>
      </c>
      <c r="G4226" s="6"/>
      <c r="H4226" s="3" t="s">
        <v>17</v>
      </c>
      <c r="I4226" s="6" t="s">
        <v>89</v>
      </c>
      <c r="J4226" s="6"/>
      <c r="K4226" s="3" t="s">
        <v>19</v>
      </c>
      <c r="L4226" s="5">
        <v>1</v>
      </c>
    </row>
    <row r="4227" spans="1:12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</row>
    <row r="4228" spans="1:12" ht="15" customHeight="1" x14ac:dyDescent="0.25">
      <c r="A4228" s="10" t="s">
        <v>20</v>
      </c>
      <c r="B4228" s="11"/>
      <c r="C4228" s="12"/>
      <c r="D4228" s="8" t="s">
        <v>21</v>
      </c>
      <c r="E4228" s="8" t="s">
        <v>22</v>
      </c>
      <c r="F4228" s="9" t="s">
        <v>23</v>
      </c>
      <c r="G4228" s="9" t="s">
        <v>24</v>
      </c>
      <c r="H4228" s="9" t="s">
        <v>25</v>
      </c>
      <c r="I4228" s="9" t="s">
        <v>26</v>
      </c>
      <c r="J4228" s="9" t="s">
        <v>27</v>
      </c>
      <c r="K4228" s="13" t="s">
        <v>28</v>
      </c>
      <c r="L4228" s="14"/>
    </row>
    <row r="4229" spans="1:12" ht="15" customHeight="1" x14ac:dyDescent="0.25">
      <c r="A4229" s="15" t="s">
        <v>29</v>
      </c>
      <c r="B4229" s="16"/>
      <c r="C4229" s="16"/>
      <c r="D4229" s="16"/>
      <c r="E4229" s="16"/>
      <c r="F4229" s="16"/>
      <c r="G4229" s="16"/>
      <c r="H4229" s="16"/>
      <c r="I4229" s="16"/>
      <c r="J4229" s="17"/>
      <c r="K4229" s="15">
        <v>0</v>
      </c>
      <c r="L4229" s="17"/>
    </row>
    <row r="4230" spans="1:12" x14ac:dyDescent="0.25">
      <c r="A4230" s="18"/>
      <c r="B4230" s="18"/>
      <c r="C4230" s="18"/>
      <c r="D4230" s="18"/>
      <c r="E4230" s="18"/>
      <c r="F4230" s="18"/>
      <c r="G4230" s="18"/>
      <c r="H4230" s="18"/>
      <c r="I4230" s="18"/>
      <c r="J4230" s="18"/>
      <c r="K4230" s="18"/>
      <c r="L4230" s="18"/>
    </row>
    <row r="4231" spans="1:12" ht="15" customHeight="1" x14ac:dyDescent="0.25">
      <c r="A4231" s="10" t="s">
        <v>30</v>
      </c>
      <c r="B4231" s="11"/>
      <c r="C4231" s="12"/>
      <c r="D4231" s="8" t="s">
        <v>21</v>
      </c>
      <c r="E4231" s="8" t="s">
        <v>22</v>
      </c>
      <c r="F4231" s="9" t="s">
        <v>31</v>
      </c>
      <c r="G4231" s="9" t="s">
        <v>32</v>
      </c>
      <c r="H4231" s="9" t="s">
        <v>33</v>
      </c>
      <c r="I4231" s="13" t="s">
        <v>34</v>
      </c>
      <c r="J4231" s="14"/>
      <c r="K4231" s="13" t="s">
        <v>28</v>
      </c>
      <c r="L4231" s="14"/>
    </row>
    <row r="4232" spans="1:12" ht="15" customHeight="1" x14ac:dyDescent="0.25">
      <c r="A4232" s="21" t="s">
        <v>518</v>
      </c>
      <c r="B4232" s="22"/>
      <c r="C4232" s="23"/>
      <c r="D4232" s="19" t="str">
        <f>"010117"</f>
        <v>010117</v>
      </c>
      <c r="E4232" s="19" t="s">
        <v>36</v>
      </c>
      <c r="F4232" s="20">
        <v>17.489999999999998</v>
      </c>
      <c r="G4232" s="20">
        <v>157.27000000000001</v>
      </c>
      <c r="H4232" s="20">
        <v>44.99</v>
      </c>
      <c r="I4232" s="24">
        <v>6.5</v>
      </c>
      <c r="J4232" s="25"/>
      <c r="K4232" s="24">
        <v>292.43</v>
      </c>
      <c r="L4232" s="25"/>
    </row>
    <row r="4233" spans="1:12" ht="15" customHeight="1" x14ac:dyDescent="0.25">
      <c r="A4233" s="15" t="s">
        <v>38</v>
      </c>
      <c r="B4233" s="16"/>
      <c r="C4233" s="16"/>
      <c r="D4233" s="16"/>
      <c r="E4233" s="16"/>
      <c r="F4233" s="16"/>
      <c r="G4233" s="16"/>
      <c r="H4233" s="16"/>
      <c r="I4233" s="16"/>
      <c r="J4233" s="17"/>
      <c r="K4233" s="15">
        <v>292.43</v>
      </c>
      <c r="L4233" s="17"/>
    </row>
    <row r="4234" spans="1:12" x14ac:dyDescent="0.25">
      <c r="A4234" s="18"/>
      <c r="B4234" s="18"/>
      <c r="C4234" s="18"/>
      <c r="D4234" s="18"/>
      <c r="E4234" s="18"/>
      <c r="F4234" s="18"/>
      <c r="G4234" s="18"/>
      <c r="H4234" s="18"/>
      <c r="I4234" s="18"/>
      <c r="J4234" s="18"/>
      <c r="K4234" s="18"/>
      <c r="L4234" s="18"/>
    </row>
    <row r="4235" spans="1:12" ht="15" customHeight="1" x14ac:dyDescent="0.25">
      <c r="A4235" s="10" t="s">
        <v>39</v>
      </c>
      <c r="B4235" s="11"/>
      <c r="C4235" s="12"/>
      <c r="D4235" s="8" t="s">
        <v>21</v>
      </c>
      <c r="E4235" s="13" t="s">
        <v>40</v>
      </c>
      <c r="F4235" s="14"/>
      <c r="G4235" s="8" t="s">
        <v>41</v>
      </c>
      <c r="H4235" s="8" t="s">
        <v>42</v>
      </c>
      <c r="I4235" s="8" t="s">
        <v>43</v>
      </c>
      <c r="J4235" s="13" t="s">
        <v>44</v>
      </c>
      <c r="K4235" s="26"/>
      <c r="L4235" s="14"/>
    </row>
    <row r="4236" spans="1:12" ht="15" customHeight="1" x14ac:dyDescent="0.25">
      <c r="A4236" s="21" t="s">
        <v>519</v>
      </c>
      <c r="B4236" s="22"/>
      <c r="C4236" s="23"/>
      <c r="D4236" s="19" t="s">
        <v>520</v>
      </c>
      <c r="E4236" s="24">
        <v>0.4</v>
      </c>
      <c r="F4236" s="25"/>
      <c r="G4236" s="20"/>
      <c r="H4236" s="20"/>
      <c r="I4236" s="20" t="s">
        <v>148</v>
      </c>
      <c r="J4236" s="24">
        <v>696.92</v>
      </c>
      <c r="K4236" s="33"/>
      <c r="L4236" s="25"/>
    </row>
    <row r="4237" spans="1:12" ht="15" customHeight="1" x14ac:dyDescent="0.25">
      <c r="A4237" s="15" t="s">
        <v>45</v>
      </c>
      <c r="B4237" s="16"/>
      <c r="C4237" s="16"/>
      <c r="D4237" s="16"/>
      <c r="E4237" s="16"/>
      <c r="F4237" s="16"/>
      <c r="G4237" s="16"/>
      <c r="H4237" s="16"/>
      <c r="I4237" s="16"/>
      <c r="J4237" s="17"/>
      <c r="K4237" s="15">
        <v>696.92</v>
      </c>
      <c r="L4237" s="17"/>
    </row>
    <row r="4238" spans="1:12" x14ac:dyDescent="0.25">
      <c r="A4238" s="18"/>
      <c r="B4238" s="18"/>
      <c r="C4238" s="18"/>
      <c r="D4238" s="18"/>
      <c r="E4238" s="18"/>
      <c r="F4238" s="18"/>
      <c r="G4238" s="18"/>
      <c r="H4238" s="18"/>
      <c r="I4238" s="18"/>
      <c r="J4238" s="18"/>
      <c r="K4238" s="18"/>
      <c r="L4238" s="18"/>
    </row>
    <row r="4239" spans="1:12" ht="15" customHeight="1" x14ac:dyDescent="0.25">
      <c r="A4239" s="27" t="s">
        <v>46</v>
      </c>
      <c r="B4239" s="27"/>
      <c r="C4239" s="27"/>
      <c r="D4239" s="27"/>
      <c r="E4239" s="27"/>
      <c r="F4239" s="27"/>
      <c r="G4239" s="27"/>
      <c r="H4239" s="27"/>
      <c r="I4239" s="27"/>
      <c r="J4239" s="27"/>
      <c r="K4239" s="27">
        <v>989.35</v>
      </c>
      <c r="L4239" s="27"/>
    </row>
    <row r="4240" spans="1:12" ht="15" customHeight="1" x14ac:dyDescent="0.25">
      <c r="A4240" s="27" t="s">
        <v>47</v>
      </c>
      <c r="B4240" s="27"/>
      <c r="C4240" s="27"/>
      <c r="D4240" s="27"/>
      <c r="E4240" s="27"/>
      <c r="F4240" s="27"/>
      <c r="G4240" s="27"/>
      <c r="H4240" s="27"/>
      <c r="I4240" s="27"/>
      <c r="J4240" s="27"/>
      <c r="K4240" s="27">
        <v>1</v>
      </c>
      <c r="L4240" s="27"/>
    </row>
    <row r="4241" spans="1:12" ht="15" customHeight="1" x14ac:dyDescent="0.25">
      <c r="A4241" s="27" t="s">
        <v>48</v>
      </c>
      <c r="B4241" s="27"/>
      <c r="C4241" s="27"/>
      <c r="D4241" s="27"/>
      <c r="E4241" s="27"/>
      <c r="F4241" s="27"/>
      <c r="G4241" s="27"/>
      <c r="H4241" s="27"/>
      <c r="I4241" s="27"/>
      <c r="J4241" s="27"/>
      <c r="K4241" s="27">
        <v>989.35</v>
      </c>
      <c r="L4241" s="27"/>
    </row>
    <row r="4242" spans="1:12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</row>
    <row r="4243" spans="1:12" ht="15" customHeight="1" x14ac:dyDescent="0.25">
      <c r="A4243" s="10" t="s">
        <v>49</v>
      </c>
      <c r="B4243" s="11"/>
      <c r="C4243" s="11"/>
      <c r="D4243" s="11"/>
      <c r="E4243" s="12"/>
      <c r="F4243" s="8" t="s">
        <v>21</v>
      </c>
      <c r="G4243" s="8" t="s">
        <v>22</v>
      </c>
      <c r="H4243" s="9" t="s">
        <v>44</v>
      </c>
      <c r="I4243" s="13" t="s">
        <v>34</v>
      </c>
      <c r="J4243" s="14"/>
      <c r="K4243" s="13" t="s">
        <v>50</v>
      </c>
      <c r="L4243" s="14"/>
    </row>
    <row r="4244" spans="1:12" ht="15" customHeight="1" x14ac:dyDescent="0.25">
      <c r="A4244" s="21" t="s">
        <v>521</v>
      </c>
      <c r="B4244" s="22"/>
      <c r="C4244" s="22"/>
      <c r="D4244" s="22"/>
      <c r="E4244" s="23"/>
      <c r="F4244" s="19" t="str">
        <f>"029359"</f>
        <v>029359</v>
      </c>
      <c r="G4244" s="19" t="s">
        <v>81</v>
      </c>
      <c r="H4244" s="20">
        <v>0.91</v>
      </c>
      <c r="I4244" s="24">
        <v>20</v>
      </c>
      <c r="J4244" s="25"/>
      <c r="K4244" s="24">
        <v>18.2</v>
      </c>
      <c r="L4244" s="25"/>
    </row>
    <row r="4245" spans="1:12" ht="15" customHeight="1" x14ac:dyDescent="0.25">
      <c r="A4245" s="21" t="s">
        <v>522</v>
      </c>
      <c r="B4245" s="22"/>
      <c r="C4245" s="22"/>
      <c r="D4245" s="22"/>
      <c r="E4245" s="23"/>
      <c r="F4245" s="19" t="str">
        <f>"048356"</f>
        <v>048356</v>
      </c>
      <c r="G4245" s="19" t="s">
        <v>99</v>
      </c>
      <c r="H4245" s="20">
        <v>15.08</v>
      </c>
      <c r="I4245" s="24">
        <v>0.4</v>
      </c>
      <c r="J4245" s="25"/>
      <c r="K4245" s="24">
        <v>6.03</v>
      </c>
      <c r="L4245" s="25"/>
    </row>
    <row r="4246" spans="1:12" ht="15" customHeight="1" x14ac:dyDescent="0.25">
      <c r="A4246" s="21" t="s">
        <v>523</v>
      </c>
      <c r="B4246" s="22"/>
      <c r="C4246" s="22"/>
      <c r="D4246" s="22"/>
      <c r="E4246" s="23"/>
      <c r="F4246" s="19" t="str">
        <f>"048605"</f>
        <v>048605</v>
      </c>
      <c r="G4246" s="19" t="s">
        <v>81</v>
      </c>
      <c r="H4246" s="20">
        <v>5.03</v>
      </c>
      <c r="I4246" s="24">
        <v>60</v>
      </c>
      <c r="J4246" s="25"/>
      <c r="K4246" s="24">
        <v>301.8</v>
      </c>
      <c r="L4246" s="25"/>
    </row>
    <row r="4247" spans="1:12" ht="15" customHeight="1" x14ac:dyDescent="0.25">
      <c r="A4247" s="21" t="s">
        <v>524</v>
      </c>
      <c r="B4247" s="22"/>
      <c r="C4247" s="22"/>
      <c r="D4247" s="22"/>
      <c r="E4247" s="23"/>
      <c r="F4247" s="19" t="str">
        <f>"048795"</f>
        <v>048795</v>
      </c>
      <c r="G4247" s="19" t="s">
        <v>99</v>
      </c>
      <c r="H4247" s="20">
        <v>66.62</v>
      </c>
      <c r="I4247" s="24">
        <v>0.7</v>
      </c>
      <c r="J4247" s="25"/>
      <c r="K4247" s="24">
        <v>46.63</v>
      </c>
      <c r="L4247" s="25"/>
    </row>
    <row r="4248" spans="1:12" ht="15" customHeight="1" x14ac:dyDescent="0.25">
      <c r="A4248" s="21" t="s">
        <v>525</v>
      </c>
      <c r="B4248" s="22"/>
      <c r="C4248" s="22"/>
      <c r="D4248" s="22"/>
      <c r="E4248" s="23"/>
      <c r="F4248" s="19" t="str">
        <f>"049329"</f>
        <v>049329</v>
      </c>
      <c r="G4248" s="19" t="s">
        <v>81</v>
      </c>
      <c r="H4248" s="20">
        <v>106.57</v>
      </c>
      <c r="I4248" s="24">
        <v>2.2999999999999998</v>
      </c>
      <c r="J4248" s="25"/>
      <c r="K4248" s="24">
        <v>245.11</v>
      </c>
      <c r="L4248" s="25"/>
    </row>
    <row r="4249" spans="1:12" ht="15" customHeight="1" x14ac:dyDescent="0.25">
      <c r="A4249" s="21" t="s">
        <v>526</v>
      </c>
      <c r="B4249" s="22"/>
      <c r="C4249" s="22"/>
      <c r="D4249" s="22"/>
      <c r="E4249" s="23"/>
      <c r="F4249" s="19" t="str">
        <f>"049678"</f>
        <v>049678</v>
      </c>
      <c r="G4249" s="19" t="s">
        <v>81</v>
      </c>
      <c r="H4249" s="20">
        <v>25.26</v>
      </c>
      <c r="I4249" s="24">
        <v>4</v>
      </c>
      <c r="J4249" s="25"/>
      <c r="K4249" s="24">
        <v>101.04</v>
      </c>
      <c r="L4249" s="25"/>
    </row>
    <row r="4250" spans="1:12" ht="15" customHeight="1" x14ac:dyDescent="0.25">
      <c r="A4250" s="21" t="s">
        <v>527</v>
      </c>
      <c r="B4250" s="22"/>
      <c r="C4250" s="22"/>
      <c r="D4250" s="22"/>
      <c r="E4250" s="23"/>
      <c r="F4250" s="19" t="str">
        <f>"079399"</f>
        <v>079399</v>
      </c>
      <c r="G4250" s="19" t="s">
        <v>157</v>
      </c>
      <c r="H4250" s="20">
        <v>226.23</v>
      </c>
      <c r="I4250" s="24">
        <v>0.2</v>
      </c>
      <c r="J4250" s="25"/>
      <c r="K4250" s="24">
        <v>45.24</v>
      </c>
      <c r="L4250" s="25"/>
    </row>
    <row r="4251" spans="1:12" ht="45" customHeight="1" x14ac:dyDescent="0.25">
      <c r="A4251" s="21" t="s">
        <v>528</v>
      </c>
      <c r="B4251" s="22"/>
      <c r="C4251" s="22"/>
      <c r="D4251" s="22"/>
      <c r="E4251" s="23"/>
      <c r="F4251" s="19" t="str">
        <f>"130623"</f>
        <v>130623</v>
      </c>
      <c r="G4251" s="19" t="s">
        <v>81</v>
      </c>
      <c r="H4251" s="20">
        <v>632.69000000000005</v>
      </c>
      <c r="I4251" s="24">
        <v>1</v>
      </c>
      <c r="J4251" s="25"/>
      <c r="K4251" s="24">
        <v>632.69000000000005</v>
      </c>
      <c r="L4251" s="25"/>
    </row>
    <row r="4252" spans="1:12" ht="15" customHeight="1" x14ac:dyDescent="0.25">
      <c r="A4252" s="21" t="s">
        <v>529</v>
      </c>
      <c r="B4252" s="22"/>
      <c r="C4252" s="22"/>
      <c r="D4252" s="22"/>
      <c r="E4252" s="23"/>
      <c r="F4252" s="19" t="str">
        <f>"130630"</f>
        <v>130630</v>
      </c>
      <c r="G4252" s="19" t="s">
        <v>81</v>
      </c>
      <c r="H4252" s="20">
        <v>345.56</v>
      </c>
      <c r="I4252" s="24">
        <v>1</v>
      </c>
      <c r="J4252" s="25"/>
      <c r="K4252" s="24">
        <v>345.56</v>
      </c>
      <c r="L4252" s="25"/>
    </row>
    <row r="4253" spans="1:12" ht="15" customHeight="1" x14ac:dyDescent="0.25">
      <c r="A4253" s="15" t="s">
        <v>51</v>
      </c>
      <c r="B4253" s="16"/>
      <c r="C4253" s="16"/>
      <c r="D4253" s="16"/>
      <c r="E4253" s="16"/>
      <c r="F4253" s="16"/>
      <c r="G4253" s="16"/>
      <c r="H4253" s="16"/>
      <c r="I4253" s="16"/>
      <c r="J4253" s="17"/>
      <c r="K4253" s="31">
        <v>1742.3</v>
      </c>
      <c r="L4253" s="32"/>
    </row>
    <row r="4254" spans="1:12" x14ac:dyDescent="0.25">
      <c r="A4254" s="18"/>
      <c r="B4254" s="18"/>
      <c r="C4254" s="18"/>
      <c r="D4254" s="18"/>
      <c r="E4254" s="18"/>
      <c r="F4254" s="18"/>
      <c r="G4254" s="18"/>
      <c r="H4254" s="18"/>
      <c r="I4254" s="18"/>
      <c r="J4254" s="18"/>
      <c r="K4254" s="18"/>
      <c r="L4254" s="18"/>
    </row>
    <row r="4255" spans="1:12" ht="15" customHeight="1" x14ac:dyDescent="0.25">
      <c r="A4255" s="10" t="s">
        <v>52</v>
      </c>
      <c r="B4255" s="11"/>
      <c r="C4255" s="11"/>
      <c r="D4255" s="11"/>
      <c r="E4255" s="12"/>
      <c r="F4255" s="8" t="s">
        <v>21</v>
      </c>
      <c r="G4255" s="8" t="s">
        <v>22</v>
      </c>
      <c r="H4255" s="9" t="s">
        <v>44</v>
      </c>
      <c r="I4255" s="13" t="s">
        <v>34</v>
      </c>
      <c r="J4255" s="14"/>
      <c r="K4255" s="13" t="s">
        <v>50</v>
      </c>
      <c r="L4255" s="14"/>
    </row>
    <row r="4256" spans="1:12" ht="30" customHeight="1" x14ac:dyDescent="0.25">
      <c r="A4256" s="21" t="s">
        <v>530</v>
      </c>
      <c r="B4256" s="22"/>
      <c r="C4256" s="22"/>
      <c r="D4256" s="22"/>
      <c r="E4256" s="23"/>
      <c r="F4256" s="19" t="s">
        <v>531</v>
      </c>
      <c r="G4256" s="19" t="s">
        <v>84</v>
      </c>
      <c r="H4256" s="20">
        <v>1</v>
      </c>
      <c r="I4256" s="24" t="s">
        <v>164</v>
      </c>
      <c r="J4256" s="25"/>
      <c r="K4256" s="24" t="s">
        <v>164</v>
      </c>
      <c r="L4256" s="25"/>
    </row>
    <row r="4257" spans="1:12" ht="15" customHeight="1" x14ac:dyDescent="0.25">
      <c r="A4257" s="15" t="s">
        <v>53</v>
      </c>
      <c r="B4257" s="16"/>
      <c r="C4257" s="16"/>
      <c r="D4257" s="16"/>
      <c r="E4257" s="16"/>
      <c r="F4257" s="16"/>
      <c r="G4257" s="16"/>
      <c r="H4257" s="16"/>
      <c r="I4257" s="16"/>
      <c r="J4257" s="17"/>
      <c r="K4257" s="15">
        <v>311.8</v>
      </c>
      <c r="L4257" s="17"/>
    </row>
    <row r="4258" spans="1:12" x14ac:dyDescent="0.25">
      <c r="A4258" s="18"/>
      <c r="B4258" s="18"/>
      <c r="C4258" s="18"/>
      <c r="D4258" s="18"/>
      <c r="E4258" s="18"/>
      <c r="F4258" s="18"/>
      <c r="G4258" s="18"/>
      <c r="H4258" s="18"/>
      <c r="I4258" s="18"/>
      <c r="J4258" s="18"/>
      <c r="K4258" s="18"/>
      <c r="L4258" s="18"/>
    </row>
    <row r="4259" spans="1:12" ht="15" customHeight="1" x14ac:dyDescent="0.25">
      <c r="A4259" s="10" t="s">
        <v>54</v>
      </c>
      <c r="B4259" s="11"/>
      <c r="C4259" s="12"/>
      <c r="D4259" s="8" t="s">
        <v>21</v>
      </c>
      <c r="E4259" s="8" t="s">
        <v>22</v>
      </c>
      <c r="F4259" s="9" t="s">
        <v>55</v>
      </c>
      <c r="G4259" s="8" t="s">
        <v>56</v>
      </c>
      <c r="H4259" s="8" t="s">
        <v>57</v>
      </c>
      <c r="I4259" s="8" t="s">
        <v>58</v>
      </c>
      <c r="J4259" s="9" t="s">
        <v>59</v>
      </c>
      <c r="K4259" s="9" t="s">
        <v>34</v>
      </c>
      <c r="L4259" s="9" t="s">
        <v>50</v>
      </c>
    </row>
    <row r="4260" spans="1:12" ht="15" customHeight="1" x14ac:dyDescent="0.25">
      <c r="A4260" s="15" t="s">
        <v>60</v>
      </c>
      <c r="B4260" s="16"/>
      <c r="C4260" s="16"/>
      <c r="D4260" s="16"/>
      <c r="E4260" s="16"/>
      <c r="F4260" s="16"/>
      <c r="G4260" s="16"/>
      <c r="H4260" s="16"/>
      <c r="I4260" s="16"/>
      <c r="J4260" s="17"/>
      <c r="K4260" s="15">
        <v>0</v>
      </c>
      <c r="L4260" s="17"/>
    </row>
    <row r="4261" spans="1:12" x14ac:dyDescent="0.25">
      <c r="A4261" s="18"/>
      <c r="B4261" s="18"/>
      <c r="C4261" s="18"/>
      <c r="D4261" s="18"/>
      <c r="E4261" s="18"/>
      <c r="F4261" s="18"/>
      <c r="G4261" s="18"/>
      <c r="H4261" s="18"/>
      <c r="I4261" s="18"/>
      <c r="J4261" s="18"/>
      <c r="K4261" s="18"/>
      <c r="L4261" s="18"/>
    </row>
    <row r="4262" spans="1:12" ht="15" customHeight="1" x14ac:dyDescent="0.25">
      <c r="A4262" s="27" t="s">
        <v>61</v>
      </c>
      <c r="B4262" s="27"/>
      <c r="C4262" s="27"/>
      <c r="D4262" s="27"/>
      <c r="E4262" s="27"/>
      <c r="F4262" s="27"/>
      <c r="G4262" s="27"/>
      <c r="H4262" s="27"/>
      <c r="I4262" s="27"/>
      <c r="J4262" s="27"/>
      <c r="K4262" s="28">
        <v>3043.45</v>
      </c>
      <c r="L4262" s="28"/>
    </row>
    <row r="4263" spans="1:12" ht="15" customHeight="1" x14ac:dyDescent="0.25">
      <c r="A4263" s="27" t="s">
        <v>62</v>
      </c>
      <c r="B4263" s="27"/>
      <c r="C4263" s="27"/>
      <c r="D4263" s="27"/>
      <c r="E4263" s="27"/>
      <c r="F4263" s="27"/>
      <c r="G4263" s="27"/>
      <c r="H4263" s="27"/>
      <c r="I4263" s="27"/>
      <c r="J4263" s="27"/>
      <c r="K4263" s="28">
        <v>1011.95</v>
      </c>
      <c r="L4263" s="28"/>
    </row>
    <row r="4264" spans="1:12" ht="15" customHeight="1" x14ac:dyDescent="0.25">
      <c r="A4264" s="27" t="s">
        <v>63</v>
      </c>
      <c r="B4264" s="27"/>
      <c r="C4264" s="27"/>
      <c r="D4264" s="27"/>
      <c r="E4264" s="27"/>
      <c r="F4264" s="27"/>
      <c r="G4264" s="27"/>
      <c r="H4264" s="27"/>
      <c r="I4264" s="27"/>
      <c r="J4264" s="27"/>
      <c r="K4264" s="28">
        <v>4055.4</v>
      </c>
      <c r="L4264" s="28"/>
    </row>
    <row r="4265" spans="1:12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</row>
    <row r="4266" spans="1:12" ht="15" customHeight="1" x14ac:dyDescent="0.25">
      <c r="A4266" s="3" t="s">
        <v>8</v>
      </c>
      <c r="B4266" s="6" t="s">
        <v>9</v>
      </c>
      <c r="C4266" s="6"/>
      <c r="D4266" s="6"/>
      <c r="E4266" s="6"/>
      <c r="F4266" s="6"/>
      <c r="G4266" s="6"/>
      <c r="H4266" s="6"/>
      <c r="I4266" s="6"/>
      <c r="J4266" s="6"/>
      <c r="K4266" s="6"/>
      <c r="L4266" s="6"/>
    </row>
    <row r="4267" spans="1:12" ht="15" customHeight="1" x14ac:dyDescent="0.25">
      <c r="A4267" s="3" t="s">
        <v>10</v>
      </c>
      <c r="B4267" s="6" t="s">
        <v>532</v>
      </c>
      <c r="C4267" s="6"/>
      <c r="D4267" s="6"/>
      <c r="E4267" s="6"/>
      <c r="F4267" s="6"/>
      <c r="G4267" s="6"/>
      <c r="H4267" s="6"/>
      <c r="I4267" s="6"/>
      <c r="J4267" s="6"/>
      <c r="K4267" s="3" t="s">
        <v>12</v>
      </c>
      <c r="L4267" s="4" t="s">
        <v>84</v>
      </c>
    </row>
    <row r="4268" spans="1:12" ht="15" customHeight="1" x14ac:dyDescent="0.25">
      <c r="A4268" s="3" t="s">
        <v>14</v>
      </c>
      <c r="B4268" s="6" t="s">
        <v>15</v>
      </c>
      <c r="C4268" s="6"/>
      <c r="D4268" s="7" t="s">
        <v>16</v>
      </c>
      <c r="E4268" s="7"/>
      <c r="F4268" s="6" t="str">
        <f>"151301"</f>
        <v>151301</v>
      </c>
      <c r="G4268" s="6"/>
      <c r="H4268" s="3" t="s">
        <v>17</v>
      </c>
      <c r="I4268" s="6" t="s">
        <v>18</v>
      </c>
      <c r="J4268" s="6"/>
      <c r="K4268" s="3" t="s">
        <v>19</v>
      </c>
      <c r="L4268" s="5">
        <v>1</v>
      </c>
    </row>
    <row r="4269" spans="1:12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</row>
    <row r="4270" spans="1:12" ht="15" customHeight="1" x14ac:dyDescent="0.25">
      <c r="A4270" s="10" t="s">
        <v>20</v>
      </c>
      <c r="B4270" s="11"/>
      <c r="C4270" s="12"/>
      <c r="D4270" s="8" t="s">
        <v>21</v>
      </c>
      <c r="E4270" s="8" t="s">
        <v>22</v>
      </c>
      <c r="F4270" s="9" t="s">
        <v>23</v>
      </c>
      <c r="G4270" s="9" t="s">
        <v>24</v>
      </c>
      <c r="H4270" s="9" t="s">
        <v>25</v>
      </c>
      <c r="I4270" s="9" t="s">
        <v>26</v>
      </c>
      <c r="J4270" s="9" t="s">
        <v>27</v>
      </c>
      <c r="K4270" s="13" t="s">
        <v>28</v>
      </c>
      <c r="L4270" s="14"/>
    </row>
    <row r="4271" spans="1:12" ht="15" customHeight="1" x14ac:dyDescent="0.25">
      <c r="A4271" s="15" t="s">
        <v>29</v>
      </c>
      <c r="B4271" s="16"/>
      <c r="C4271" s="16"/>
      <c r="D4271" s="16"/>
      <c r="E4271" s="16"/>
      <c r="F4271" s="16"/>
      <c r="G4271" s="16"/>
      <c r="H4271" s="16"/>
      <c r="I4271" s="16"/>
      <c r="J4271" s="17"/>
      <c r="K4271" s="15">
        <v>0</v>
      </c>
      <c r="L4271" s="17"/>
    </row>
    <row r="4272" spans="1:12" x14ac:dyDescent="0.25">
      <c r="A4272" s="18"/>
      <c r="B4272" s="18"/>
      <c r="C4272" s="18"/>
      <c r="D4272" s="18"/>
      <c r="E4272" s="18"/>
      <c r="F4272" s="18"/>
      <c r="G4272" s="18"/>
      <c r="H4272" s="18"/>
      <c r="I4272" s="18"/>
      <c r="J4272" s="18"/>
      <c r="K4272" s="18"/>
      <c r="L4272" s="18"/>
    </row>
    <row r="4273" spans="1:12" ht="15" customHeight="1" x14ac:dyDescent="0.25">
      <c r="A4273" s="10" t="s">
        <v>30</v>
      </c>
      <c r="B4273" s="11"/>
      <c r="C4273" s="12"/>
      <c r="D4273" s="8" t="s">
        <v>21</v>
      </c>
      <c r="E4273" s="8" t="s">
        <v>22</v>
      </c>
      <c r="F4273" s="9" t="s">
        <v>31</v>
      </c>
      <c r="G4273" s="9" t="s">
        <v>32</v>
      </c>
      <c r="H4273" s="9" t="s">
        <v>33</v>
      </c>
      <c r="I4273" s="13" t="s">
        <v>34</v>
      </c>
      <c r="J4273" s="14"/>
      <c r="K4273" s="13" t="s">
        <v>28</v>
      </c>
      <c r="L4273" s="14"/>
    </row>
    <row r="4274" spans="1:12" ht="15" customHeight="1" x14ac:dyDescent="0.25">
      <c r="A4274" s="21" t="s">
        <v>76</v>
      </c>
      <c r="B4274" s="22"/>
      <c r="C4274" s="23"/>
      <c r="D4274" s="19" t="str">
        <f>"010101"</f>
        <v>010101</v>
      </c>
      <c r="E4274" s="19" t="s">
        <v>36</v>
      </c>
      <c r="F4274" s="20">
        <v>8.5299999999999994</v>
      </c>
      <c r="G4274" s="20">
        <v>157.27000000000001</v>
      </c>
      <c r="H4274" s="20">
        <v>21.94</v>
      </c>
      <c r="I4274" s="24">
        <v>0.3</v>
      </c>
      <c r="J4274" s="25"/>
      <c r="K4274" s="24">
        <v>6.58</v>
      </c>
      <c r="L4274" s="25"/>
    </row>
    <row r="4275" spans="1:12" ht="15" customHeight="1" x14ac:dyDescent="0.25">
      <c r="A4275" s="21" t="s">
        <v>461</v>
      </c>
      <c r="B4275" s="22"/>
      <c r="C4275" s="23"/>
      <c r="D4275" s="19" t="str">
        <f>"010115"</f>
        <v>010115</v>
      </c>
      <c r="E4275" s="19" t="s">
        <v>36</v>
      </c>
      <c r="F4275" s="20">
        <v>10.119999999999999</v>
      </c>
      <c r="G4275" s="20">
        <v>157.27000000000001</v>
      </c>
      <c r="H4275" s="20">
        <v>26.03</v>
      </c>
      <c r="I4275" s="24">
        <v>0.3</v>
      </c>
      <c r="J4275" s="25"/>
      <c r="K4275" s="24">
        <v>7.8</v>
      </c>
      <c r="L4275" s="25"/>
    </row>
    <row r="4276" spans="1:12" ht="15" customHeight="1" x14ac:dyDescent="0.25">
      <c r="A4276" s="15" t="s">
        <v>38</v>
      </c>
      <c r="B4276" s="16"/>
      <c r="C4276" s="16"/>
      <c r="D4276" s="16"/>
      <c r="E4276" s="16"/>
      <c r="F4276" s="16"/>
      <c r="G4276" s="16"/>
      <c r="H4276" s="16"/>
      <c r="I4276" s="16"/>
      <c r="J4276" s="17"/>
      <c r="K4276" s="15">
        <v>14.38</v>
      </c>
      <c r="L4276" s="17"/>
    </row>
    <row r="4277" spans="1:12" x14ac:dyDescent="0.25">
      <c r="A4277" s="18"/>
      <c r="B4277" s="18"/>
      <c r="C4277" s="18"/>
      <c r="D4277" s="18"/>
      <c r="E4277" s="18"/>
      <c r="F4277" s="18"/>
      <c r="G4277" s="18"/>
      <c r="H4277" s="18"/>
      <c r="I4277" s="18"/>
      <c r="J4277" s="18"/>
      <c r="K4277" s="18"/>
      <c r="L4277" s="18"/>
    </row>
    <row r="4278" spans="1:12" ht="15" customHeight="1" x14ac:dyDescent="0.25">
      <c r="A4278" s="10" t="s">
        <v>39</v>
      </c>
      <c r="B4278" s="11"/>
      <c r="C4278" s="12"/>
      <c r="D4278" s="8" t="s">
        <v>21</v>
      </c>
      <c r="E4278" s="13" t="s">
        <v>40</v>
      </c>
      <c r="F4278" s="14"/>
      <c r="G4278" s="8" t="s">
        <v>41</v>
      </c>
      <c r="H4278" s="8" t="s">
        <v>42</v>
      </c>
      <c r="I4278" s="8" t="s">
        <v>43</v>
      </c>
      <c r="J4278" s="13" t="s">
        <v>44</v>
      </c>
      <c r="K4278" s="26"/>
      <c r="L4278" s="14"/>
    </row>
    <row r="4279" spans="1:12" ht="15" customHeight="1" x14ac:dyDescent="0.25">
      <c r="A4279" s="15" t="s">
        <v>45</v>
      </c>
      <c r="B4279" s="16"/>
      <c r="C4279" s="16"/>
      <c r="D4279" s="16"/>
      <c r="E4279" s="16"/>
      <c r="F4279" s="16"/>
      <c r="G4279" s="16"/>
      <c r="H4279" s="16"/>
      <c r="I4279" s="16"/>
      <c r="J4279" s="17"/>
      <c r="K4279" s="15">
        <v>0</v>
      </c>
      <c r="L4279" s="17"/>
    </row>
    <row r="4280" spans="1:12" x14ac:dyDescent="0.25">
      <c r="A4280" s="18"/>
      <c r="B4280" s="18"/>
      <c r="C4280" s="18"/>
      <c r="D4280" s="18"/>
      <c r="E4280" s="18"/>
      <c r="F4280" s="18"/>
      <c r="G4280" s="18"/>
      <c r="H4280" s="18"/>
      <c r="I4280" s="18"/>
      <c r="J4280" s="18"/>
      <c r="K4280" s="18"/>
      <c r="L4280" s="18"/>
    </row>
    <row r="4281" spans="1:12" ht="15" customHeight="1" x14ac:dyDescent="0.25">
      <c r="A4281" s="27" t="s">
        <v>46</v>
      </c>
      <c r="B4281" s="27"/>
      <c r="C4281" s="27"/>
      <c r="D4281" s="27"/>
      <c r="E4281" s="27"/>
      <c r="F4281" s="27"/>
      <c r="G4281" s="27"/>
      <c r="H4281" s="27"/>
      <c r="I4281" s="27"/>
      <c r="J4281" s="27"/>
      <c r="K4281" s="27">
        <v>14.38</v>
      </c>
      <c r="L4281" s="27"/>
    </row>
    <row r="4282" spans="1:12" ht="15" customHeight="1" x14ac:dyDescent="0.25">
      <c r="A4282" s="27" t="s">
        <v>47</v>
      </c>
      <c r="B4282" s="27"/>
      <c r="C4282" s="27"/>
      <c r="D4282" s="27"/>
      <c r="E4282" s="27"/>
      <c r="F4282" s="27"/>
      <c r="G4282" s="27"/>
      <c r="H4282" s="27"/>
      <c r="I4282" s="27"/>
      <c r="J4282" s="27"/>
      <c r="K4282" s="27">
        <v>1</v>
      </c>
      <c r="L4282" s="27"/>
    </row>
    <row r="4283" spans="1:12" ht="15" customHeight="1" x14ac:dyDescent="0.25">
      <c r="A4283" s="27" t="s">
        <v>48</v>
      </c>
      <c r="B4283" s="27"/>
      <c r="C4283" s="27"/>
      <c r="D4283" s="27"/>
      <c r="E4283" s="27"/>
      <c r="F4283" s="27"/>
      <c r="G4283" s="27"/>
      <c r="H4283" s="27"/>
      <c r="I4283" s="27"/>
      <c r="J4283" s="27"/>
      <c r="K4283" s="27">
        <v>14.38</v>
      </c>
      <c r="L4283" s="27"/>
    </row>
    <row r="4284" spans="1:12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</row>
    <row r="4285" spans="1:12" ht="15" customHeight="1" x14ac:dyDescent="0.25">
      <c r="A4285" s="10" t="s">
        <v>49</v>
      </c>
      <c r="B4285" s="11"/>
      <c r="C4285" s="11"/>
      <c r="D4285" s="11"/>
      <c r="E4285" s="12"/>
      <c r="F4285" s="8" t="s">
        <v>21</v>
      </c>
      <c r="G4285" s="8" t="s">
        <v>22</v>
      </c>
      <c r="H4285" s="9" t="s">
        <v>44</v>
      </c>
      <c r="I4285" s="13" t="s">
        <v>34</v>
      </c>
      <c r="J4285" s="14"/>
      <c r="K4285" s="13" t="s">
        <v>50</v>
      </c>
      <c r="L4285" s="14"/>
    </row>
    <row r="4286" spans="1:12" ht="15" customHeight="1" x14ac:dyDescent="0.25">
      <c r="A4286" s="21" t="s">
        <v>533</v>
      </c>
      <c r="B4286" s="22"/>
      <c r="C4286" s="22"/>
      <c r="D4286" s="22"/>
      <c r="E4286" s="23"/>
      <c r="F4286" s="19" t="str">
        <f>"044659"</f>
        <v>044659</v>
      </c>
      <c r="G4286" s="19" t="s">
        <v>81</v>
      </c>
      <c r="H4286" s="20">
        <v>10.58</v>
      </c>
      <c r="I4286" s="24">
        <v>1</v>
      </c>
      <c r="J4286" s="25"/>
      <c r="K4286" s="24">
        <v>10.58</v>
      </c>
      <c r="L4286" s="25"/>
    </row>
    <row r="4287" spans="1:12" ht="15" customHeight="1" x14ac:dyDescent="0.25">
      <c r="A4287" s="15" t="s">
        <v>51</v>
      </c>
      <c r="B4287" s="16"/>
      <c r="C4287" s="16"/>
      <c r="D4287" s="16"/>
      <c r="E4287" s="16"/>
      <c r="F4287" s="16"/>
      <c r="G4287" s="16"/>
      <c r="H4287" s="16"/>
      <c r="I4287" s="16"/>
      <c r="J4287" s="17"/>
      <c r="K4287" s="15">
        <v>10.58</v>
      </c>
      <c r="L4287" s="17"/>
    </row>
    <row r="4288" spans="1:12" x14ac:dyDescent="0.25">
      <c r="A4288" s="18"/>
      <c r="B4288" s="18"/>
      <c r="C4288" s="18"/>
      <c r="D4288" s="18"/>
      <c r="E4288" s="18"/>
      <c r="F4288" s="18"/>
      <c r="G4288" s="18"/>
      <c r="H4288" s="18"/>
      <c r="I4288" s="18"/>
      <c r="J4288" s="18"/>
      <c r="K4288" s="18"/>
      <c r="L4288" s="18"/>
    </row>
    <row r="4289" spans="1:12" ht="15" customHeight="1" x14ac:dyDescent="0.25">
      <c r="A4289" s="10" t="s">
        <v>52</v>
      </c>
      <c r="B4289" s="11"/>
      <c r="C4289" s="11"/>
      <c r="D4289" s="11"/>
      <c r="E4289" s="12"/>
      <c r="F4289" s="8" t="s">
        <v>21</v>
      </c>
      <c r="G4289" s="8" t="s">
        <v>22</v>
      </c>
      <c r="H4289" s="9" t="s">
        <v>44</v>
      </c>
      <c r="I4289" s="13" t="s">
        <v>34</v>
      </c>
      <c r="J4289" s="14"/>
      <c r="K4289" s="13" t="s">
        <v>50</v>
      </c>
      <c r="L4289" s="14"/>
    </row>
    <row r="4290" spans="1:12" ht="15" customHeight="1" x14ac:dyDescent="0.25">
      <c r="A4290" s="15" t="s">
        <v>53</v>
      </c>
      <c r="B4290" s="16"/>
      <c r="C4290" s="16"/>
      <c r="D4290" s="16"/>
      <c r="E4290" s="16"/>
      <c r="F4290" s="16"/>
      <c r="G4290" s="16"/>
      <c r="H4290" s="16"/>
      <c r="I4290" s="16"/>
      <c r="J4290" s="17"/>
      <c r="K4290" s="15">
        <v>0</v>
      </c>
      <c r="L4290" s="17"/>
    </row>
    <row r="4291" spans="1:12" x14ac:dyDescent="0.25">
      <c r="A4291" s="18"/>
      <c r="B4291" s="18"/>
      <c r="C4291" s="18"/>
      <c r="D4291" s="18"/>
      <c r="E4291" s="18"/>
      <c r="F4291" s="18"/>
      <c r="G4291" s="18"/>
      <c r="H4291" s="18"/>
      <c r="I4291" s="18"/>
      <c r="J4291" s="18"/>
      <c r="K4291" s="18"/>
      <c r="L4291" s="18"/>
    </row>
    <row r="4292" spans="1:12" ht="15" customHeight="1" x14ac:dyDescent="0.25">
      <c r="A4292" s="10" t="s">
        <v>54</v>
      </c>
      <c r="B4292" s="11"/>
      <c r="C4292" s="12"/>
      <c r="D4292" s="8" t="s">
        <v>21</v>
      </c>
      <c r="E4292" s="8" t="s">
        <v>22</v>
      </c>
      <c r="F4292" s="9" t="s">
        <v>55</v>
      </c>
      <c r="G4292" s="8" t="s">
        <v>56</v>
      </c>
      <c r="H4292" s="8" t="s">
        <v>57</v>
      </c>
      <c r="I4292" s="8" t="s">
        <v>58</v>
      </c>
      <c r="J4292" s="9" t="s">
        <v>59</v>
      </c>
      <c r="K4292" s="9" t="s">
        <v>34</v>
      </c>
      <c r="L4292" s="9" t="s">
        <v>50</v>
      </c>
    </row>
    <row r="4293" spans="1:12" ht="15" customHeight="1" x14ac:dyDescent="0.25">
      <c r="A4293" s="15" t="s">
        <v>60</v>
      </c>
      <c r="B4293" s="16"/>
      <c r="C4293" s="16"/>
      <c r="D4293" s="16"/>
      <c r="E4293" s="16"/>
      <c r="F4293" s="16"/>
      <c r="G4293" s="16"/>
      <c r="H4293" s="16"/>
      <c r="I4293" s="16"/>
      <c r="J4293" s="17"/>
      <c r="K4293" s="15">
        <v>0</v>
      </c>
      <c r="L4293" s="17"/>
    </row>
    <row r="4294" spans="1:12" x14ac:dyDescent="0.25">
      <c r="A4294" s="18"/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8"/>
    </row>
    <row r="4295" spans="1:12" ht="15" customHeight="1" x14ac:dyDescent="0.25">
      <c r="A4295" s="27" t="s">
        <v>61</v>
      </c>
      <c r="B4295" s="27"/>
      <c r="C4295" s="27"/>
      <c r="D4295" s="27"/>
      <c r="E4295" s="27"/>
      <c r="F4295" s="27"/>
      <c r="G4295" s="27"/>
      <c r="H4295" s="27"/>
      <c r="I4295" s="27"/>
      <c r="J4295" s="27"/>
      <c r="K4295" s="27">
        <v>24.96</v>
      </c>
      <c r="L4295" s="27"/>
    </row>
    <row r="4296" spans="1:12" ht="15" customHeight="1" x14ac:dyDescent="0.25">
      <c r="A4296" s="27" t="s">
        <v>62</v>
      </c>
      <c r="B4296" s="27"/>
      <c r="C4296" s="27"/>
      <c r="D4296" s="27"/>
      <c r="E4296" s="27"/>
      <c r="F4296" s="27"/>
      <c r="G4296" s="27"/>
      <c r="H4296" s="27"/>
      <c r="I4296" s="27"/>
      <c r="J4296" s="27"/>
      <c r="K4296" s="27">
        <v>8.3000000000000007</v>
      </c>
      <c r="L4296" s="27"/>
    </row>
    <row r="4297" spans="1:12" ht="15" customHeight="1" x14ac:dyDescent="0.25">
      <c r="A4297" s="27" t="s">
        <v>63</v>
      </c>
      <c r="B4297" s="27"/>
      <c r="C4297" s="27"/>
      <c r="D4297" s="27"/>
      <c r="E4297" s="27"/>
      <c r="F4297" s="27"/>
      <c r="G4297" s="27"/>
      <c r="H4297" s="27"/>
      <c r="I4297" s="27"/>
      <c r="J4297" s="27"/>
      <c r="K4297" s="27">
        <v>33.26</v>
      </c>
      <c r="L4297" s="27"/>
    </row>
    <row r="4298" spans="1:12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</row>
    <row r="4299" spans="1:12" ht="15" customHeight="1" x14ac:dyDescent="0.25">
      <c r="A4299" s="3" t="s">
        <v>8</v>
      </c>
      <c r="B4299" s="6" t="s">
        <v>9</v>
      </c>
      <c r="C4299" s="6"/>
      <c r="D4299" s="6"/>
      <c r="E4299" s="6"/>
      <c r="F4299" s="6"/>
      <c r="G4299" s="6"/>
      <c r="H4299" s="6"/>
      <c r="I4299" s="6"/>
      <c r="J4299" s="6"/>
      <c r="K4299" s="6"/>
      <c r="L4299" s="6"/>
    </row>
    <row r="4300" spans="1:12" ht="15" customHeight="1" x14ac:dyDescent="0.25">
      <c r="A4300" s="3" t="s">
        <v>10</v>
      </c>
      <c r="B4300" s="6" t="s">
        <v>534</v>
      </c>
      <c r="C4300" s="6"/>
      <c r="D4300" s="6"/>
      <c r="E4300" s="6"/>
      <c r="F4300" s="6"/>
      <c r="G4300" s="6"/>
      <c r="H4300" s="6"/>
      <c r="I4300" s="6"/>
      <c r="J4300" s="6"/>
      <c r="K4300" s="3" t="s">
        <v>12</v>
      </c>
      <c r="L4300" s="4" t="s">
        <v>84</v>
      </c>
    </row>
    <row r="4301" spans="1:12" ht="15" customHeight="1" x14ac:dyDescent="0.25">
      <c r="A4301" s="3" t="s">
        <v>14</v>
      </c>
      <c r="B4301" s="6" t="s">
        <v>15</v>
      </c>
      <c r="C4301" s="6"/>
      <c r="D4301" s="7" t="s">
        <v>16</v>
      </c>
      <c r="E4301" s="7"/>
      <c r="F4301" s="6" t="str">
        <f>"151305"</f>
        <v>151305</v>
      </c>
      <c r="G4301" s="6"/>
      <c r="H4301" s="3" t="s">
        <v>17</v>
      </c>
      <c r="I4301" s="6" t="s">
        <v>18</v>
      </c>
      <c r="J4301" s="6"/>
      <c r="K4301" s="3" t="s">
        <v>19</v>
      </c>
      <c r="L4301" s="5">
        <v>1</v>
      </c>
    </row>
    <row r="4302" spans="1:12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</row>
    <row r="4303" spans="1:12" ht="15" customHeight="1" x14ac:dyDescent="0.25">
      <c r="A4303" s="10" t="s">
        <v>20</v>
      </c>
      <c r="B4303" s="11"/>
      <c r="C4303" s="12"/>
      <c r="D4303" s="8" t="s">
        <v>21</v>
      </c>
      <c r="E4303" s="8" t="s">
        <v>22</v>
      </c>
      <c r="F4303" s="9" t="s">
        <v>23</v>
      </c>
      <c r="G4303" s="9" t="s">
        <v>24</v>
      </c>
      <c r="H4303" s="9" t="s">
        <v>25</v>
      </c>
      <c r="I4303" s="9" t="s">
        <v>26</v>
      </c>
      <c r="J4303" s="9" t="s">
        <v>27</v>
      </c>
      <c r="K4303" s="13" t="s">
        <v>28</v>
      </c>
      <c r="L4303" s="14"/>
    </row>
    <row r="4304" spans="1:12" ht="15" customHeight="1" x14ac:dyDescent="0.25">
      <c r="A4304" s="15" t="s">
        <v>29</v>
      </c>
      <c r="B4304" s="16"/>
      <c r="C4304" s="16"/>
      <c r="D4304" s="16"/>
      <c r="E4304" s="16"/>
      <c r="F4304" s="16"/>
      <c r="G4304" s="16"/>
      <c r="H4304" s="16"/>
      <c r="I4304" s="16"/>
      <c r="J4304" s="17"/>
      <c r="K4304" s="15">
        <v>0</v>
      </c>
      <c r="L4304" s="17"/>
    </row>
    <row r="4305" spans="1:12" x14ac:dyDescent="0.25">
      <c r="A4305" s="18"/>
      <c r="B4305" s="18"/>
      <c r="C4305" s="18"/>
      <c r="D4305" s="18"/>
      <c r="E4305" s="18"/>
      <c r="F4305" s="18"/>
      <c r="G4305" s="18"/>
      <c r="H4305" s="18"/>
      <c r="I4305" s="18"/>
      <c r="J4305" s="18"/>
      <c r="K4305" s="18"/>
      <c r="L4305" s="18"/>
    </row>
    <row r="4306" spans="1:12" ht="15" customHeight="1" x14ac:dyDescent="0.25">
      <c r="A4306" s="10" t="s">
        <v>30</v>
      </c>
      <c r="B4306" s="11"/>
      <c r="C4306" s="12"/>
      <c r="D4306" s="8" t="s">
        <v>21</v>
      </c>
      <c r="E4306" s="8" t="s">
        <v>22</v>
      </c>
      <c r="F4306" s="9" t="s">
        <v>31</v>
      </c>
      <c r="G4306" s="9" t="s">
        <v>32</v>
      </c>
      <c r="H4306" s="9" t="s">
        <v>33</v>
      </c>
      <c r="I4306" s="13" t="s">
        <v>34</v>
      </c>
      <c r="J4306" s="14"/>
      <c r="K4306" s="13" t="s">
        <v>28</v>
      </c>
      <c r="L4306" s="14"/>
    </row>
    <row r="4307" spans="1:12" ht="15" customHeight="1" x14ac:dyDescent="0.25">
      <c r="A4307" s="21" t="s">
        <v>76</v>
      </c>
      <c r="B4307" s="22"/>
      <c r="C4307" s="23"/>
      <c r="D4307" s="19" t="str">
        <f>"010101"</f>
        <v>010101</v>
      </c>
      <c r="E4307" s="19" t="s">
        <v>36</v>
      </c>
      <c r="F4307" s="20">
        <v>8.5299999999999994</v>
      </c>
      <c r="G4307" s="20">
        <v>157.27000000000001</v>
      </c>
      <c r="H4307" s="20">
        <v>21.94</v>
      </c>
      <c r="I4307" s="24">
        <v>0.3</v>
      </c>
      <c r="J4307" s="25"/>
      <c r="K4307" s="24">
        <v>6.58</v>
      </c>
      <c r="L4307" s="25"/>
    </row>
    <row r="4308" spans="1:12" ht="15" customHeight="1" x14ac:dyDescent="0.25">
      <c r="A4308" s="21" t="s">
        <v>461</v>
      </c>
      <c r="B4308" s="22"/>
      <c r="C4308" s="23"/>
      <c r="D4308" s="19" t="str">
        <f>"010115"</f>
        <v>010115</v>
      </c>
      <c r="E4308" s="19" t="s">
        <v>36</v>
      </c>
      <c r="F4308" s="20">
        <v>10.119999999999999</v>
      </c>
      <c r="G4308" s="20">
        <v>157.27000000000001</v>
      </c>
      <c r="H4308" s="20">
        <v>26.03</v>
      </c>
      <c r="I4308" s="24">
        <v>0.3</v>
      </c>
      <c r="J4308" s="25"/>
      <c r="K4308" s="24">
        <v>7.8</v>
      </c>
      <c r="L4308" s="25"/>
    </row>
    <row r="4309" spans="1:12" ht="15" customHeight="1" x14ac:dyDescent="0.25">
      <c r="A4309" s="15" t="s">
        <v>38</v>
      </c>
      <c r="B4309" s="16"/>
      <c r="C4309" s="16"/>
      <c r="D4309" s="16"/>
      <c r="E4309" s="16"/>
      <c r="F4309" s="16"/>
      <c r="G4309" s="16"/>
      <c r="H4309" s="16"/>
      <c r="I4309" s="16"/>
      <c r="J4309" s="17"/>
      <c r="K4309" s="15">
        <v>14.38</v>
      </c>
      <c r="L4309" s="17"/>
    </row>
    <row r="4310" spans="1:12" x14ac:dyDescent="0.25">
      <c r="A4310" s="18"/>
      <c r="B4310" s="18"/>
      <c r="C4310" s="18"/>
      <c r="D4310" s="18"/>
      <c r="E4310" s="18"/>
      <c r="F4310" s="18"/>
      <c r="G4310" s="18"/>
      <c r="H4310" s="18"/>
      <c r="I4310" s="18"/>
      <c r="J4310" s="18"/>
      <c r="K4310" s="18"/>
      <c r="L4310" s="18"/>
    </row>
    <row r="4311" spans="1:12" ht="15" customHeight="1" x14ac:dyDescent="0.25">
      <c r="A4311" s="10" t="s">
        <v>39</v>
      </c>
      <c r="B4311" s="11"/>
      <c r="C4311" s="12"/>
      <c r="D4311" s="8" t="s">
        <v>21</v>
      </c>
      <c r="E4311" s="13" t="s">
        <v>40</v>
      </c>
      <c r="F4311" s="14"/>
      <c r="G4311" s="8" t="s">
        <v>41</v>
      </c>
      <c r="H4311" s="8" t="s">
        <v>42</v>
      </c>
      <c r="I4311" s="8" t="s">
        <v>43</v>
      </c>
      <c r="J4311" s="13" t="s">
        <v>44</v>
      </c>
      <c r="K4311" s="26"/>
      <c r="L4311" s="14"/>
    </row>
    <row r="4312" spans="1:12" ht="15" customHeight="1" x14ac:dyDescent="0.25">
      <c r="A4312" s="15" t="s">
        <v>45</v>
      </c>
      <c r="B4312" s="16"/>
      <c r="C4312" s="16"/>
      <c r="D4312" s="16"/>
      <c r="E4312" s="16"/>
      <c r="F4312" s="16"/>
      <c r="G4312" s="16"/>
      <c r="H4312" s="16"/>
      <c r="I4312" s="16"/>
      <c r="J4312" s="17"/>
      <c r="K4312" s="15">
        <v>0</v>
      </c>
      <c r="L4312" s="17"/>
    </row>
    <row r="4313" spans="1:12" x14ac:dyDescent="0.25">
      <c r="A4313" s="18"/>
      <c r="B4313" s="18"/>
      <c r="C4313" s="18"/>
      <c r="D4313" s="18"/>
      <c r="E4313" s="18"/>
      <c r="F4313" s="18"/>
      <c r="G4313" s="18"/>
      <c r="H4313" s="18"/>
      <c r="I4313" s="18"/>
      <c r="J4313" s="18"/>
      <c r="K4313" s="18"/>
      <c r="L4313" s="18"/>
    </row>
    <row r="4314" spans="1:12" ht="15" customHeight="1" x14ac:dyDescent="0.25">
      <c r="A4314" s="27" t="s">
        <v>46</v>
      </c>
      <c r="B4314" s="27"/>
      <c r="C4314" s="27"/>
      <c r="D4314" s="27"/>
      <c r="E4314" s="27"/>
      <c r="F4314" s="27"/>
      <c r="G4314" s="27"/>
      <c r="H4314" s="27"/>
      <c r="I4314" s="27"/>
      <c r="J4314" s="27"/>
      <c r="K4314" s="27">
        <v>14.38</v>
      </c>
      <c r="L4314" s="27"/>
    </row>
    <row r="4315" spans="1:12" ht="15" customHeight="1" x14ac:dyDescent="0.25">
      <c r="A4315" s="27" t="s">
        <v>47</v>
      </c>
      <c r="B4315" s="27"/>
      <c r="C4315" s="27"/>
      <c r="D4315" s="27"/>
      <c r="E4315" s="27"/>
      <c r="F4315" s="27"/>
      <c r="G4315" s="27"/>
      <c r="H4315" s="27"/>
      <c r="I4315" s="27"/>
      <c r="J4315" s="27"/>
      <c r="K4315" s="27">
        <v>1</v>
      </c>
      <c r="L4315" s="27"/>
    </row>
    <row r="4316" spans="1:12" ht="15" customHeight="1" x14ac:dyDescent="0.25">
      <c r="A4316" s="27" t="s">
        <v>48</v>
      </c>
      <c r="B4316" s="27"/>
      <c r="C4316" s="27"/>
      <c r="D4316" s="27"/>
      <c r="E4316" s="27"/>
      <c r="F4316" s="27"/>
      <c r="G4316" s="27"/>
      <c r="H4316" s="27"/>
      <c r="I4316" s="27"/>
      <c r="J4316" s="27"/>
      <c r="K4316" s="27">
        <v>14.38</v>
      </c>
      <c r="L4316" s="27"/>
    </row>
    <row r="4317" spans="1:12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</row>
    <row r="4318" spans="1:12" ht="15" customHeight="1" x14ac:dyDescent="0.25">
      <c r="A4318" s="10" t="s">
        <v>49</v>
      </c>
      <c r="B4318" s="11"/>
      <c r="C4318" s="11"/>
      <c r="D4318" s="11"/>
      <c r="E4318" s="12"/>
      <c r="F4318" s="8" t="s">
        <v>21</v>
      </c>
      <c r="G4318" s="8" t="s">
        <v>22</v>
      </c>
      <c r="H4318" s="9" t="s">
        <v>44</v>
      </c>
      <c r="I4318" s="13" t="s">
        <v>34</v>
      </c>
      <c r="J4318" s="14"/>
      <c r="K4318" s="13" t="s">
        <v>50</v>
      </c>
      <c r="L4318" s="14"/>
    </row>
    <row r="4319" spans="1:12" ht="15" customHeight="1" x14ac:dyDescent="0.25">
      <c r="A4319" s="21" t="s">
        <v>535</v>
      </c>
      <c r="B4319" s="22"/>
      <c r="C4319" s="22"/>
      <c r="D4319" s="22"/>
      <c r="E4319" s="23"/>
      <c r="F4319" s="19" t="str">
        <f>"044663"</f>
        <v>044663</v>
      </c>
      <c r="G4319" s="19" t="s">
        <v>81</v>
      </c>
      <c r="H4319" s="20">
        <v>13.46</v>
      </c>
      <c r="I4319" s="24">
        <v>1</v>
      </c>
      <c r="J4319" s="25"/>
      <c r="K4319" s="24">
        <v>13.46</v>
      </c>
      <c r="L4319" s="25"/>
    </row>
    <row r="4320" spans="1:12" ht="15" customHeight="1" x14ac:dyDescent="0.25">
      <c r="A4320" s="15" t="s">
        <v>51</v>
      </c>
      <c r="B4320" s="16"/>
      <c r="C4320" s="16"/>
      <c r="D4320" s="16"/>
      <c r="E4320" s="16"/>
      <c r="F4320" s="16"/>
      <c r="G4320" s="16"/>
      <c r="H4320" s="16"/>
      <c r="I4320" s="16"/>
      <c r="J4320" s="17"/>
      <c r="K4320" s="15">
        <v>13.46</v>
      </c>
      <c r="L4320" s="17"/>
    </row>
    <row r="4321" spans="1:12" x14ac:dyDescent="0.25">
      <c r="A4321" s="18"/>
      <c r="B4321" s="18"/>
      <c r="C4321" s="18"/>
      <c r="D4321" s="18"/>
      <c r="E4321" s="18"/>
      <c r="F4321" s="18"/>
      <c r="G4321" s="18"/>
      <c r="H4321" s="18"/>
      <c r="I4321" s="18"/>
      <c r="J4321" s="18"/>
      <c r="K4321" s="18"/>
      <c r="L4321" s="18"/>
    </row>
    <row r="4322" spans="1:12" ht="15" customHeight="1" x14ac:dyDescent="0.25">
      <c r="A4322" s="10" t="s">
        <v>52</v>
      </c>
      <c r="B4322" s="11"/>
      <c r="C4322" s="11"/>
      <c r="D4322" s="11"/>
      <c r="E4322" s="12"/>
      <c r="F4322" s="8" t="s">
        <v>21</v>
      </c>
      <c r="G4322" s="8" t="s">
        <v>22</v>
      </c>
      <c r="H4322" s="9" t="s">
        <v>44</v>
      </c>
      <c r="I4322" s="13" t="s">
        <v>34</v>
      </c>
      <c r="J4322" s="14"/>
      <c r="K4322" s="13" t="s">
        <v>50</v>
      </c>
      <c r="L4322" s="14"/>
    </row>
    <row r="4323" spans="1:12" ht="15" customHeight="1" x14ac:dyDescent="0.25">
      <c r="A4323" s="15" t="s">
        <v>53</v>
      </c>
      <c r="B4323" s="16"/>
      <c r="C4323" s="16"/>
      <c r="D4323" s="16"/>
      <c r="E4323" s="16"/>
      <c r="F4323" s="16"/>
      <c r="G4323" s="16"/>
      <c r="H4323" s="16"/>
      <c r="I4323" s="16"/>
      <c r="J4323" s="17"/>
      <c r="K4323" s="15">
        <v>0</v>
      </c>
      <c r="L4323" s="17"/>
    </row>
    <row r="4324" spans="1:12" x14ac:dyDescent="0.25">
      <c r="A4324" s="18"/>
      <c r="B4324" s="18"/>
      <c r="C4324" s="18"/>
      <c r="D4324" s="18"/>
      <c r="E4324" s="18"/>
      <c r="F4324" s="18"/>
      <c r="G4324" s="18"/>
      <c r="H4324" s="18"/>
      <c r="I4324" s="18"/>
      <c r="J4324" s="18"/>
      <c r="K4324" s="18"/>
      <c r="L4324" s="18"/>
    </row>
    <row r="4325" spans="1:12" ht="15" customHeight="1" x14ac:dyDescent="0.25">
      <c r="A4325" s="10" t="s">
        <v>54</v>
      </c>
      <c r="B4325" s="11"/>
      <c r="C4325" s="12"/>
      <c r="D4325" s="8" t="s">
        <v>21</v>
      </c>
      <c r="E4325" s="8" t="s">
        <v>22</v>
      </c>
      <c r="F4325" s="9" t="s">
        <v>55</v>
      </c>
      <c r="G4325" s="8" t="s">
        <v>56</v>
      </c>
      <c r="H4325" s="8" t="s">
        <v>57</v>
      </c>
      <c r="I4325" s="8" t="s">
        <v>58</v>
      </c>
      <c r="J4325" s="9" t="s">
        <v>59</v>
      </c>
      <c r="K4325" s="9" t="s">
        <v>34</v>
      </c>
      <c r="L4325" s="9" t="s">
        <v>50</v>
      </c>
    </row>
    <row r="4326" spans="1:12" ht="15" customHeight="1" x14ac:dyDescent="0.25">
      <c r="A4326" s="15" t="s">
        <v>60</v>
      </c>
      <c r="B4326" s="16"/>
      <c r="C4326" s="16"/>
      <c r="D4326" s="16"/>
      <c r="E4326" s="16"/>
      <c r="F4326" s="16"/>
      <c r="G4326" s="16"/>
      <c r="H4326" s="16"/>
      <c r="I4326" s="16"/>
      <c r="J4326" s="17"/>
      <c r="K4326" s="15">
        <v>0</v>
      </c>
      <c r="L4326" s="17"/>
    </row>
    <row r="4327" spans="1:12" x14ac:dyDescent="0.25">
      <c r="A4327" s="18"/>
      <c r="B4327" s="18"/>
      <c r="C4327" s="18"/>
      <c r="D4327" s="18"/>
      <c r="E4327" s="18"/>
      <c r="F4327" s="18"/>
      <c r="G4327" s="18"/>
      <c r="H4327" s="18"/>
      <c r="I4327" s="18"/>
      <c r="J4327" s="18"/>
      <c r="K4327" s="18"/>
      <c r="L4327" s="18"/>
    </row>
    <row r="4328" spans="1:12" ht="15" customHeight="1" x14ac:dyDescent="0.25">
      <c r="A4328" s="27" t="s">
        <v>61</v>
      </c>
      <c r="B4328" s="27"/>
      <c r="C4328" s="27"/>
      <c r="D4328" s="27"/>
      <c r="E4328" s="27"/>
      <c r="F4328" s="27"/>
      <c r="G4328" s="27"/>
      <c r="H4328" s="27"/>
      <c r="I4328" s="27"/>
      <c r="J4328" s="27"/>
      <c r="K4328" s="27">
        <v>27.84</v>
      </c>
      <c r="L4328" s="27"/>
    </row>
    <row r="4329" spans="1:12" ht="15" customHeight="1" x14ac:dyDescent="0.25">
      <c r="A4329" s="27" t="s">
        <v>62</v>
      </c>
      <c r="B4329" s="27"/>
      <c r="C4329" s="27"/>
      <c r="D4329" s="27"/>
      <c r="E4329" s="27"/>
      <c r="F4329" s="27"/>
      <c r="G4329" s="27"/>
      <c r="H4329" s="27"/>
      <c r="I4329" s="27"/>
      <c r="J4329" s="27"/>
      <c r="K4329" s="27">
        <v>9.26</v>
      </c>
      <c r="L4329" s="27"/>
    </row>
    <row r="4330" spans="1:12" ht="15" customHeight="1" x14ac:dyDescent="0.25">
      <c r="A4330" s="27" t="s">
        <v>63</v>
      </c>
      <c r="B4330" s="27"/>
      <c r="C4330" s="27"/>
      <c r="D4330" s="27"/>
      <c r="E4330" s="27"/>
      <c r="F4330" s="27"/>
      <c r="G4330" s="27"/>
      <c r="H4330" s="27"/>
      <c r="I4330" s="27"/>
      <c r="J4330" s="27"/>
      <c r="K4330" s="27">
        <v>37.1</v>
      </c>
      <c r="L4330" s="27"/>
    </row>
    <row r="4331" spans="1:12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</row>
    <row r="4332" spans="1:12" ht="15" customHeight="1" x14ac:dyDescent="0.25">
      <c r="A4332" s="3" t="s">
        <v>8</v>
      </c>
      <c r="B4332" s="6" t="s">
        <v>9</v>
      </c>
      <c r="C4332" s="6"/>
      <c r="D4332" s="6"/>
      <c r="E4332" s="6"/>
      <c r="F4332" s="6"/>
      <c r="G4332" s="6"/>
      <c r="H4332" s="6"/>
      <c r="I4332" s="6"/>
      <c r="J4332" s="6"/>
      <c r="K4332" s="6"/>
      <c r="L4332" s="6"/>
    </row>
    <row r="4333" spans="1:12" ht="15" customHeight="1" x14ac:dyDescent="0.25">
      <c r="A4333" s="3" t="s">
        <v>10</v>
      </c>
      <c r="B4333" s="6" t="s">
        <v>536</v>
      </c>
      <c r="C4333" s="6"/>
      <c r="D4333" s="6"/>
      <c r="E4333" s="6"/>
      <c r="F4333" s="6"/>
      <c r="G4333" s="6"/>
      <c r="H4333" s="6"/>
      <c r="I4333" s="6"/>
      <c r="J4333" s="6"/>
      <c r="K4333" s="3" t="s">
        <v>12</v>
      </c>
      <c r="L4333" s="4" t="s">
        <v>84</v>
      </c>
    </row>
    <row r="4334" spans="1:12" ht="15" customHeight="1" x14ac:dyDescent="0.25">
      <c r="A4334" s="3" t="s">
        <v>14</v>
      </c>
      <c r="B4334" s="6" t="s">
        <v>15</v>
      </c>
      <c r="C4334" s="6"/>
      <c r="D4334" s="7" t="s">
        <v>16</v>
      </c>
      <c r="E4334" s="7"/>
      <c r="F4334" s="6" t="str">
        <f>"151306"</f>
        <v>151306</v>
      </c>
      <c r="G4334" s="6"/>
      <c r="H4334" s="3" t="s">
        <v>17</v>
      </c>
      <c r="I4334" s="6" t="s">
        <v>18</v>
      </c>
      <c r="J4334" s="6"/>
      <c r="K4334" s="3" t="s">
        <v>19</v>
      </c>
      <c r="L4334" s="5">
        <v>1</v>
      </c>
    </row>
    <row r="4335" spans="1:12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</row>
    <row r="4336" spans="1:12" ht="15" customHeight="1" x14ac:dyDescent="0.25">
      <c r="A4336" s="10" t="s">
        <v>20</v>
      </c>
      <c r="B4336" s="11"/>
      <c r="C4336" s="12"/>
      <c r="D4336" s="8" t="s">
        <v>21</v>
      </c>
      <c r="E4336" s="8" t="s">
        <v>22</v>
      </c>
      <c r="F4336" s="9" t="s">
        <v>23</v>
      </c>
      <c r="G4336" s="9" t="s">
        <v>24</v>
      </c>
      <c r="H4336" s="9" t="s">
        <v>25</v>
      </c>
      <c r="I4336" s="9" t="s">
        <v>26</v>
      </c>
      <c r="J4336" s="9" t="s">
        <v>27</v>
      </c>
      <c r="K4336" s="13" t="s">
        <v>28</v>
      </c>
      <c r="L4336" s="14"/>
    </row>
    <row r="4337" spans="1:12" ht="15" customHeight="1" x14ac:dyDescent="0.25">
      <c r="A4337" s="15" t="s">
        <v>29</v>
      </c>
      <c r="B4337" s="16"/>
      <c r="C4337" s="16"/>
      <c r="D4337" s="16"/>
      <c r="E4337" s="16"/>
      <c r="F4337" s="16"/>
      <c r="G4337" s="16"/>
      <c r="H4337" s="16"/>
      <c r="I4337" s="16"/>
      <c r="J4337" s="17"/>
      <c r="K4337" s="15">
        <v>0</v>
      </c>
      <c r="L4337" s="17"/>
    </row>
    <row r="4338" spans="1:12" x14ac:dyDescent="0.25">
      <c r="A4338" s="18"/>
      <c r="B4338" s="18"/>
      <c r="C4338" s="18"/>
      <c r="D4338" s="18"/>
      <c r="E4338" s="18"/>
      <c r="F4338" s="18"/>
      <c r="G4338" s="18"/>
      <c r="H4338" s="18"/>
      <c r="I4338" s="18"/>
      <c r="J4338" s="18"/>
      <c r="K4338" s="18"/>
      <c r="L4338" s="18"/>
    </row>
    <row r="4339" spans="1:12" ht="15" customHeight="1" x14ac:dyDescent="0.25">
      <c r="A4339" s="10" t="s">
        <v>30</v>
      </c>
      <c r="B4339" s="11"/>
      <c r="C4339" s="12"/>
      <c r="D4339" s="8" t="s">
        <v>21</v>
      </c>
      <c r="E4339" s="8" t="s">
        <v>22</v>
      </c>
      <c r="F4339" s="9" t="s">
        <v>31</v>
      </c>
      <c r="G4339" s="9" t="s">
        <v>32</v>
      </c>
      <c r="H4339" s="9" t="s">
        <v>33</v>
      </c>
      <c r="I4339" s="13" t="s">
        <v>34</v>
      </c>
      <c r="J4339" s="14"/>
      <c r="K4339" s="13" t="s">
        <v>28</v>
      </c>
      <c r="L4339" s="14"/>
    </row>
    <row r="4340" spans="1:12" ht="15" customHeight="1" x14ac:dyDescent="0.25">
      <c r="A4340" s="21" t="s">
        <v>76</v>
      </c>
      <c r="B4340" s="22"/>
      <c r="C4340" s="23"/>
      <c r="D4340" s="19" t="str">
        <f>"010101"</f>
        <v>010101</v>
      </c>
      <c r="E4340" s="19" t="s">
        <v>36</v>
      </c>
      <c r="F4340" s="20">
        <v>8.5299999999999994</v>
      </c>
      <c r="G4340" s="20">
        <v>157.27000000000001</v>
      </c>
      <c r="H4340" s="20">
        <v>21.94</v>
      </c>
      <c r="I4340" s="24">
        <v>0.6</v>
      </c>
      <c r="J4340" s="25"/>
      <c r="K4340" s="24">
        <v>13.16</v>
      </c>
      <c r="L4340" s="25"/>
    </row>
    <row r="4341" spans="1:12" ht="15" customHeight="1" x14ac:dyDescent="0.25">
      <c r="A4341" s="21" t="s">
        <v>461</v>
      </c>
      <c r="B4341" s="22"/>
      <c r="C4341" s="23"/>
      <c r="D4341" s="19" t="str">
        <f>"010115"</f>
        <v>010115</v>
      </c>
      <c r="E4341" s="19" t="s">
        <v>36</v>
      </c>
      <c r="F4341" s="20">
        <v>10.119999999999999</v>
      </c>
      <c r="G4341" s="20">
        <v>157.27000000000001</v>
      </c>
      <c r="H4341" s="20">
        <v>26.03</v>
      </c>
      <c r="I4341" s="24">
        <v>0.6</v>
      </c>
      <c r="J4341" s="25"/>
      <c r="K4341" s="24">
        <v>15.61</v>
      </c>
      <c r="L4341" s="25"/>
    </row>
    <row r="4342" spans="1:12" ht="15" customHeight="1" x14ac:dyDescent="0.25">
      <c r="A4342" s="15" t="s">
        <v>38</v>
      </c>
      <c r="B4342" s="16"/>
      <c r="C4342" s="16"/>
      <c r="D4342" s="16"/>
      <c r="E4342" s="16"/>
      <c r="F4342" s="16"/>
      <c r="G4342" s="16"/>
      <c r="H4342" s="16"/>
      <c r="I4342" s="16"/>
      <c r="J4342" s="17"/>
      <c r="K4342" s="15">
        <v>28.77</v>
      </c>
      <c r="L4342" s="17"/>
    </row>
    <row r="4343" spans="1:12" x14ac:dyDescent="0.25">
      <c r="A4343" s="18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8"/>
    </row>
    <row r="4344" spans="1:12" ht="15" customHeight="1" x14ac:dyDescent="0.25">
      <c r="A4344" s="10" t="s">
        <v>39</v>
      </c>
      <c r="B4344" s="11"/>
      <c r="C4344" s="12"/>
      <c r="D4344" s="8" t="s">
        <v>21</v>
      </c>
      <c r="E4344" s="13" t="s">
        <v>40</v>
      </c>
      <c r="F4344" s="14"/>
      <c r="G4344" s="8" t="s">
        <v>41</v>
      </c>
      <c r="H4344" s="8" t="s">
        <v>42</v>
      </c>
      <c r="I4344" s="8" t="s">
        <v>43</v>
      </c>
      <c r="J4344" s="13" t="s">
        <v>44</v>
      </c>
      <c r="K4344" s="26"/>
      <c r="L4344" s="14"/>
    </row>
    <row r="4345" spans="1:12" ht="15" customHeight="1" x14ac:dyDescent="0.25">
      <c r="A4345" s="15" t="s">
        <v>45</v>
      </c>
      <c r="B4345" s="16"/>
      <c r="C4345" s="16"/>
      <c r="D4345" s="16"/>
      <c r="E4345" s="16"/>
      <c r="F4345" s="16"/>
      <c r="G4345" s="16"/>
      <c r="H4345" s="16"/>
      <c r="I4345" s="16"/>
      <c r="J4345" s="17"/>
      <c r="K4345" s="15">
        <v>0</v>
      </c>
      <c r="L4345" s="17"/>
    </row>
    <row r="4346" spans="1:12" x14ac:dyDescent="0.25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</row>
    <row r="4347" spans="1:12" ht="15" customHeight="1" x14ac:dyDescent="0.25">
      <c r="A4347" s="27" t="s">
        <v>46</v>
      </c>
      <c r="B4347" s="27"/>
      <c r="C4347" s="27"/>
      <c r="D4347" s="27"/>
      <c r="E4347" s="27"/>
      <c r="F4347" s="27"/>
      <c r="G4347" s="27"/>
      <c r="H4347" s="27"/>
      <c r="I4347" s="27"/>
      <c r="J4347" s="27"/>
      <c r="K4347" s="27">
        <v>28.77</v>
      </c>
      <c r="L4347" s="27"/>
    </row>
    <row r="4348" spans="1:12" ht="15" customHeight="1" x14ac:dyDescent="0.25">
      <c r="A4348" s="27" t="s">
        <v>47</v>
      </c>
      <c r="B4348" s="27"/>
      <c r="C4348" s="27"/>
      <c r="D4348" s="27"/>
      <c r="E4348" s="27"/>
      <c r="F4348" s="27"/>
      <c r="G4348" s="27"/>
      <c r="H4348" s="27"/>
      <c r="I4348" s="27"/>
      <c r="J4348" s="27"/>
      <c r="K4348" s="27">
        <v>1</v>
      </c>
      <c r="L4348" s="27"/>
    </row>
    <row r="4349" spans="1:12" ht="15" customHeight="1" x14ac:dyDescent="0.25">
      <c r="A4349" s="27" t="s">
        <v>48</v>
      </c>
      <c r="B4349" s="27"/>
      <c r="C4349" s="27"/>
      <c r="D4349" s="27"/>
      <c r="E4349" s="27"/>
      <c r="F4349" s="27"/>
      <c r="G4349" s="27"/>
      <c r="H4349" s="27"/>
      <c r="I4349" s="27"/>
      <c r="J4349" s="27"/>
      <c r="K4349" s="27">
        <v>28.77</v>
      </c>
      <c r="L4349" s="27"/>
    </row>
    <row r="4350" spans="1:12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</row>
    <row r="4351" spans="1:12" ht="15" customHeight="1" x14ac:dyDescent="0.25">
      <c r="A4351" s="10" t="s">
        <v>49</v>
      </c>
      <c r="B4351" s="11"/>
      <c r="C4351" s="11"/>
      <c r="D4351" s="11"/>
      <c r="E4351" s="12"/>
      <c r="F4351" s="8" t="s">
        <v>21</v>
      </c>
      <c r="G4351" s="8" t="s">
        <v>22</v>
      </c>
      <c r="H4351" s="9" t="s">
        <v>44</v>
      </c>
      <c r="I4351" s="13" t="s">
        <v>34</v>
      </c>
      <c r="J4351" s="14"/>
      <c r="K4351" s="13" t="s">
        <v>50</v>
      </c>
      <c r="L4351" s="14"/>
    </row>
    <row r="4352" spans="1:12" ht="15" customHeight="1" x14ac:dyDescent="0.25">
      <c r="A4352" s="21" t="s">
        <v>537</v>
      </c>
      <c r="B4352" s="22"/>
      <c r="C4352" s="22"/>
      <c r="D4352" s="22"/>
      <c r="E4352" s="23"/>
      <c r="F4352" s="19" t="str">
        <f>"044664"</f>
        <v>044664</v>
      </c>
      <c r="G4352" s="19" t="s">
        <v>81</v>
      </c>
      <c r="H4352" s="20">
        <v>35.18</v>
      </c>
      <c r="I4352" s="24">
        <v>1</v>
      </c>
      <c r="J4352" s="25"/>
      <c r="K4352" s="24">
        <v>35.18</v>
      </c>
      <c r="L4352" s="25"/>
    </row>
    <row r="4353" spans="1:12" ht="15" customHeight="1" x14ac:dyDescent="0.25">
      <c r="A4353" s="15" t="s">
        <v>51</v>
      </c>
      <c r="B4353" s="16"/>
      <c r="C4353" s="16"/>
      <c r="D4353" s="16"/>
      <c r="E4353" s="16"/>
      <c r="F4353" s="16"/>
      <c r="G4353" s="16"/>
      <c r="H4353" s="16"/>
      <c r="I4353" s="16"/>
      <c r="J4353" s="17"/>
      <c r="K4353" s="15">
        <v>35.18</v>
      </c>
      <c r="L4353" s="17"/>
    </row>
    <row r="4354" spans="1:12" x14ac:dyDescent="0.25">
      <c r="A4354" s="18"/>
      <c r="B4354" s="18"/>
      <c r="C4354" s="18"/>
      <c r="D4354" s="18"/>
      <c r="E4354" s="18"/>
      <c r="F4354" s="18"/>
      <c r="G4354" s="18"/>
      <c r="H4354" s="18"/>
      <c r="I4354" s="18"/>
      <c r="J4354" s="18"/>
      <c r="K4354" s="18"/>
      <c r="L4354" s="18"/>
    </row>
    <row r="4355" spans="1:12" ht="15" customHeight="1" x14ac:dyDescent="0.25">
      <c r="A4355" s="10" t="s">
        <v>52</v>
      </c>
      <c r="B4355" s="11"/>
      <c r="C4355" s="11"/>
      <c r="D4355" s="11"/>
      <c r="E4355" s="12"/>
      <c r="F4355" s="8" t="s">
        <v>21</v>
      </c>
      <c r="G4355" s="8" t="s">
        <v>22</v>
      </c>
      <c r="H4355" s="9" t="s">
        <v>44</v>
      </c>
      <c r="I4355" s="13" t="s">
        <v>34</v>
      </c>
      <c r="J4355" s="14"/>
      <c r="K4355" s="13" t="s">
        <v>50</v>
      </c>
      <c r="L4355" s="14"/>
    </row>
    <row r="4356" spans="1:12" ht="15" customHeight="1" x14ac:dyDescent="0.25">
      <c r="A4356" s="15" t="s">
        <v>53</v>
      </c>
      <c r="B4356" s="16"/>
      <c r="C4356" s="16"/>
      <c r="D4356" s="16"/>
      <c r="E4356" s="16"/>
      <c r="F4356" s="16"/>
      <c r="G4356" s="16"/>
      <c r="H4356" s="16"/>
      <c r="I4356" s="16"/>
      <c r="J4356" s="17"/>
      <c r="K4356" s="15">
        <v>0</v>
      </c>
      <c r="L4356" s="17"/>
    </row>
    <row r="4357" spans="1:12" x14ac:dyDescent="0.25">
      <c r="A4357" s="18"/>
      <c r="B4357" s="18"/>
      <c r="C4357" s="18"/>
      <c r="D4357" s="18"/>
      <c r="E4357" s="18"/>
      <c r="F4357" s="18"/>
      <c r="G4357" s="18"/>
      <c r="H4357" s="18"/>
      <c r="I4357" s="18"/>
      <c r="J4357" s="18"/>
      <c r="K4357" s="18"/>
      <c r="L4357" s="18"/>
    </row>
    <row r="4358" spans="1:12" ht="15" customHeight="1" x14ac:dyDescent="0.25">
      <c r="A4358" s="10" t="s">
        <v>54</v>
      </c>
      <c r="B4358" s="11"/>
      <c r="C4358" s="12"/>
      <c r="D4358" s="8" t="s">
        <v>21</v>
      </c>
      <c r="E4358" s="8" t="s">
        <v>22</v>
      </c>
      <c r="F4358" s="9" t="s">
        <v>55</v>
      </c>
      <c r="G4358" s="8" t="s">
        <v>56</v>
      </c>
      <c r="H4358" s="8" t="s">
        <v>57</v>
      </c>
      <c r="I4358" s="8" t="s">
        <v>58</v>
      </c>
      <c r="J4358" s="9" t="s">
        <v>59</v>
      </c>
      <c r="K4358" s="9" t="s">
        <v>34</v>
      </c>
      <c r="L4358" s="9" t="s">
        <v>50</v>
      </c>
    </row>
    <row r="4359" spans="1:12" ht="15" customHeight="1" x14ac:dyDescent="0.25">
      <c r="A4359" s="15" t="s">
        <v>60</v>
      </c>
      <c r="B4359" s="16"/>
      <c r="C4359" s="16"/>
      <c r="D4359" s="16"/>
      <c r="E4359" s="16"/>
      <c r="F4359" s="16"/>
      <c r="G4359" s="16"/>
      <c r="H4359" s="16"/>
      <c r="I4359" s="16"/>
      <c r="J4359" s="17"/>
      <c r="K4359" s="15">
        <v>0</v>
      </c>
      <c r="L4359" s="17"/>
    </row>
    <row r="4360" spans="1:12" x14ac:dyDescent="0.25">
      <c r="A4360" s="18"/>
      <c r="B4360" s="18"/>
      <c r="C4360" s="18"/>
      <c r="D4360" s="18"/>
      <c r="E4360" s="18"/>
      <c r="F4360" s="18"/>
      <c r="G4360" s="18"/>
      <c r="H4360" s="18"/>
      <c r="I4360" s="18"/>
      <c r="J4360" s="18"/>
      <c r="K4360" s="18"/>
      <c r="L4360" s="18"/>
    </row>
    <row r="4361" spans="1:12" ht="15" customHeight="1" x14ac:dyDescent="0.25">
      <c r="A4361" s="27" t="s">
        <v>61</v>
      </c>
      <c r="B4361" s="27"/>
      <c r="C4361" s="27"/>
      <c r="D4361" s="27"/>
      <c r="E4361" s="27"/>
      <c r="F4361" s="27"/>
      <c r="G4361" s="27"/>
      <c r="H4361" s="27"/>
      <c r="I4361" s="27"/>
      <c r="J4361" s="27"/>
      <c r="K4361" s="27">
        <v>63.95</v>
      </c>
      <c r="L4361" s="27"/>
    </row>
    <row r="4362" spans="1:12" ht="15" customHeight="1" x14ac:dyDescent="0.25">
      <c r="A4362" s="27" t="s">
        <v>62</v>
      </c>
      <c r="B4362" s="27"/>
      <c r="C4362" s="27"/>
      <c r="D4362" s="27"/>
      <c r="E4362" s="27"/>
      <c r="F4362" s="27"/>
      <c r="G4362" s="27"/>
      <c r="H4362" s="27"/>
      <c r="I4362" s="27"/>
      <c r="J4362" s="27"/>
      <c r="K4362" s="27">
        <v>21.26</v>
      </c>
      <c r="L4362" s="27"/>
    </row>
    <row r="4363" spans="1:12" ht="15" customHeight="1" x14ac:dyDescent="0.25">
      <c r="A4363" s="27" t="s">
        <v>63</v>
      </c>
      <c r="B4363" s="27"/>
      <c r="C4363" s="27"/>
      <c r="D4363" s="27"/>
      <c r="E4363" s="27"/>
      <c r="F4363" s="27"/>
      <c r="G4363" s="27"/>
      <c r="H4363" s="27"/>
      <c r="I4363" s="27"/>
      <c r="J4363" s="27"/>
      <c r="K4363" s="27">
        <v>85.21</v>
      </c>
      <c r="L4363" s="27"/>
    </row>
    <row r="4364" spans="1:12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</row>
    <row r="4365" spans="1:12" ht="15" customHeight="1" x14ac:dyDescent="0.25">
      <c r="A4365" s="3" t="s">
        <v>8</v>
      </c>
      <c r="B4365" s="6" t="s">
        <v>9</v>
      </c>
      <c r="C4365" s="6"/>
      <c r="D4365" s="6"/>
      <c r="E4365" s="6"/>
      <c r="F4365" s="6"/>
      <c r="G4365" s="6"/>
      <c r="H4365" s="6"/>
      <c r="I4365" s="6"/>
      <c r="J4365" s="6"/>
      <c r="K4365" s="6"/>
      <c r="L4365" s="6"/>
    </row>
    <row r="4366" spans="1:12" ht="15" customHeight="1" x14ac:dyDescent="0.25">
      <c r="A4366" s="3" t="s">
        <v>10</v>
      </c>
      <c r="B4366" s="6" t="s">
        <v>538</v>
      </c>
      <c r="C4366" s="6"/>
      <c r="D4366" s="6"/>
      <c r="E4366" s="6"/>
      <c r="F4366" s="6"/>
      <c r="G4366" s="6"/>
      <c r="H4366" s="6"/>
      <c r="I4366" s="6"/>
      <c r="J4366" s="6"/>
      <c r="K4366" s="3" t="s">
        <v>12</v>
      </c>
      <c r="L4366" s="4" t="s">
        <v>84</v>
      </c>
    </row>
    <row r="4367" spans="1:12" ht="15" customHeight="1" x14ac:dyDescent="0.25">
      <c r="A4367" s="3" t="s">
        <v>14</v>
      </c>
      <c r="B4367" s="6" t="s">
        <v>15</v>
      </c>
      <c r="C4367" s="6"/>
      <c r="D4367" s="7" t="s">
        <v>16</v>
      </c>
      <c r="E4367" s="7"/>
      <c r="F4367" s="6" t="str">
        <f>"151321"</f>
        <v>151321</v>
      </c>
      <c r="G4367" s="6"/>
      <c r="H4367" s="3" t="s">
        <v>17</v>
      </c>
      <c r="I4367" s="6" t="s">
        <v>18</v>
      </c>
      <c r="J4367" s="6"/>
      <c r="K4367" s="3" t="s">
        <v>19</v>
      </c>
      <c r="L4367" s="5">
        <v>1</v>
      </c>
    </row>
    <row r="4368" spans="1:12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</row>
    <row r="4369" spans="1:12" ht="15" customHeight="1" x14ac:dyDescent="0.25">
      <c r="A4369" s="10" t="s">
        <v>20</v>
      </c>
      <c r="B4369" s="11"/>
      <c r="C4369" s="12"/>
      <c r="D4369" s="8" t="s">
        <v>21</v>
      </c>
      <c r="E4369" s="8" t="s">
        <v>22</v>
      </c>
      <c r="F4369" s="9" t="s">
        <v>23</v>
      </c>
      <c r="G4369" s="9" t="s">
        <v>24</v>
      </c>
      <c r="H4369" s="9" t="s">
        <v>25</v>
      </c>
      <c r="I4369" s="9" t="s">
        <v>26</v>
      </c>
      <c r="J4369" s="9" t="s">
        <v>27</v>
      </c>
      <c r="K4369" s="13" t="s">
        <v>28</v>
      </c>
      <c r="L4369" s="14"/>
    </row>
    <row r="4370" spans="1:12" ht="15" customHeight="1" x14ac:dyDescent="0.25">
      <c r="A4370" s="15" t="s">
        <v>29</v>
      </c>
      <c r="B4370" s="16"/>
      <c r="C4370" s="16"/>
      <c r="D4370" s="16"/>
      <c r="E4370" s="16"/>
      <c r="F4370" s="16"/>
      <c r="G4370" s="16"/>
      <c r="H4370" s="16"/>
      <c r="I4370" s="16"/>
      <c r="J4370" s="17"/>
      <c r="K4370" s="15">
        <v>0</v>
      </c>
      <c r="L4370" s="17"/>
    </row>
    <row r="4371" spans="1:12" x14ac:dyDescent="0.25">
      <c r="A4371" s="18"/>
      <c r="B4371" s="18"/>
      <c r="C4371" s="18"/>
      <c r="D4371" s="18"/>
      <c r="E4371" s="18"/>
      <c r="F4371" s="18"/>
      <c r="G4371" s="18"/>
      <c r="H4371" s="18"/>
      <c r="I4371" s="18"/>
      <c r="J4371" s="18"/>
      <c r="K4371" s="18"/>
      <c r="L4371" s="18"/>
    </row>
    <row r="4372" spans="1:12" ht="15" customHeight="1" x14ac:dyDescent="0.25">
      <c r="A4372" s="10" t="s">
        <v>30</v>
      </c>
      <c r="B4372" s="11"/>
      <c r="C4372" s="12"/>
      <c r="D4372" s="8" t="s">
        <v>21</v>
      </c>
      <c r="E4372" s="8" t="s">
        <v>22</v>
      </c>
      <c r="F4372" s="9" t="s">
        <v>31</v>
      </c>
      <c r="G4372" s="9" t="s">
        <v>32</v>
      </c>
      <c r="H4372" s="9" t="s">
        <v>33</v>
      </c>
      <c r="I4372" s="13" t="s">
        <v>34</v>
      </c>
      <c r="J4372" s="14"/>
      <c r="K4372" s="13" t="s">
        <v>28</v>
      </c>
      <c r="L4372" s="14"/>
    </row>
    <row r="4373" spans="1:12" ht="15" customHeight="1" x14ac:dyDescent="0.25">
      <c r="A4373" s="21" t="s">
        <v>76</v>
      </c>
      <c r="B4373" s="22"/>
      <c r="C4373" s="23"/>
      <c r="D4373" s="19" t="str">
        <f>"010101"</f>
        <v>010101</v>
      </c>
      <c r="E4373" s="19" t="s">
        <v>36</v>
      </c>
      <c r="F4373" s="20">
        <v>8.5299999999999994</v>
      </c>
      <c r="G4373" s="20">
        <v>157.27000000000001</v>
      </c>
      <c r="H4373" s="20">
        <v>21.94</v>
      </c>
      <c r="I4373" s="24">
        <v>0.6</v>
      </c>
      <c r="J4373" s="25"/>
      <c r="K4373" s="24">
        <v>13.16</v>
      </c>
      <c r="L4373" s="25"/>
    </row>
    <row r="4374" spans="1:12" ht="15" customHeight="1" x14ac:dyDescent="0.25">
      <c r="A4374" s="21" t="s">
        <v>461</v>
      </c>
      <c r="B4374" s="22"/>
      <c r="C4374" s="23"/>
      <c r="D4374" s="19" t="str">
        <f>"010115"</f>
        <v>010115</v>
      </c>
      <c r="E4374" s="19" t="s">
        <v>36</v>
      </c>
      <c r="F4374" s="20">
        <v>10.119999999999999</v>
      </c>
      <c r="G4374" s="20">
        <v>157.27000000000001</v>
      </c>
      <c r="H4374" s="20">
        <v>26.03</v>
      </c>
      <c r="I4374" s="24">
        <v>0.6</v>
      </c>
      <c r="J4374" s="25"/>
      <c r="K4374" s="24">
        <v>15.61</v>
      </c>
      <c r="L4374" s="25"/>
    </row>
    <row r="4375" spans="1:12" ht="15" customHeight="1" x14ac:dyDescent="0.25">
      <c r="A4375" s="15" t="s">
        <v>38</v>
      </c>
      <c r="B4375" s="16"/>
      <c r="C4375" s="16"/>
      <c r="D4375" s="16"/>
      <c r="E4375" s="16"/>
      <c r="F4375" s="16"/>
      <c r="G4375" s="16"/>
      <c r="H4375" s="16"/>
      <c r="I4375" s="16"/>
      <c r="J4375" s="17"/>
      <c r="K4375" s="15">
        <v>28.77</v>
      </c>
      <c r="L4375" s="17"/>
    </row>
    <row r="4376" spans="1:12" x14ac:dyDescent="0.25">
      <c r="A4376" s="18"/>
      <c r="B4376" s="18"/>
      <c r="C4376" s="18"/>
      <c r="D4376" s="18"/>
      <c r="E4376" s="18"/>
      <c r="F4376" s="18"/>
      <c r="G4376" s="18"/>
      <c r="H4376" s="18"/>
      <c r="I4376" s="18"/>
      <c r="J4376" s="18"/>
      <c r="K4376" s="18"/>
      <c r="L4376" s="18"/>
    </row>
    <row r="4377" spans="1:12" ht="15" customHeight="1" x14ac:dyDescent="0.25">
      <c r="A4377" s="10" t="s">
        <v>39</v>
      </c>
      <c r="B4377" s="11"/>
      <c r="C4377" s="12"/>
      <c r="D4377" s="8" t="s">
        <v>21</v>
      </c>
      <c r="E4377" s="13" t="s">
        <v>40</v>
      </c>
      <c r="F4377" s="14"/>
      <c r="G4377" s="8" t="s">
        <v>41</v>
      </c>
      <c r="H4377" s="8" t="s">
        <v>42</v>
      </c>
      <c r="I4377" s="8" t="s">
        <v>43</v>
      </c>
      <c r="J4377" s="13" t="s">
        <v>44</v>
      </c>
      <c r="K4377" s="26"/>
      <c r="L4377" s="14"/>
    </row>
    <row r="4378" spans="1:12" ht="15" customHeight="1" x14ac:dyDescent="0.25">
      <c r="A4378" s="15" t="s">
        <v>45</v>
      </c>
      <c r="B4378" s="16"/>
      <c r="C4378" s="16"/>
      <c r="D4378" s="16"/>
      <c r="E4378" s="16"/>
      <c r="F4378" s="16"/>
      <c r="G4378" s="16"/>
      <c r="H4378" s="16"/>
      <c r="I4378" s="16"/>
      <c r="J4378" s="17"/>
      <c r="K4378" s="15">
        <v>0</v>
      </c>
      <c r="L4378" s="17"/>
    </row>
    <row r="4379" spans="1:12" x14ac:dyDescent="0.25">
      <c r="A4379" s="18"/>
      <c r="B4379" s="18"/>
      <c r="C4379" s="18"/>
      <c r="D4379" s="18"/>
      <c r="E4379" s="18"/>
      <c r="F4379" s="18"/>
      <c r="G4379" s="18"/>
      <c r="H4379" s="18"/>
      <c r="I4379" s="18"/>
      <c r="J4379" s="18"/>
      <c r="K4379" s="18"/>
      <c r="L4379" s="18"/>
    </row>
    <row r="4380" spans="1:12" ht="15" customHeight="1" x14ac:dyDescent="0.25">
      <c r="A4380" s="27" t="s">
        <v>46</v>
      </c>
      <c r="B4380" s="27"/>
      <c r="C4380" s="27"/>
      <c r="D4380" s="27"/>
      <c r="E4380" s="27"/>
      <c r="F4380" s="27"/>
      <c r="G4380" s="27"/>
      <c r="H4380" s="27"/>
      <c r="I4380" s="27"/>
      <c r="J4380" s="27"/>
      <c r="K4380" s="27">
        <v>28.77</v>
      </c>
      <c r="L4380" s="27"/>
    </row>
    <row r="4381" spans="1:12" ht="15" customHeight="1" x14ac:dyDescent="0.25">
      <c r="A4381" s="27" t="s">
        <v>47</v>
      </c>
      <c r="B4381" s="27"/>
      <c r="C4381" s="27"/>
      <c r="D4381" s="27"/>
      <c r="E4381" s="27"/>
      <c r="F4381" s="27"/>
      <c r="G4381" s="27"/>
      <c r="H4381" s="27"/>
      <c r="I4381" s="27"/>
      <c r="J4381" s="27"/>
      <c r="K4381" s="27">
        <v>1</v>
      </c>
      <c r="L4381" s="27"/>
    </row>
    <row r="4382" spans="1:12" ht="15" customHeight="1" x14ac:dyDescent="0.25">
      <c r="A4382" s="27" t="s">
        <v>48</v>
      </c>
      <c r="B4382" s="27"/>
      <c r="C4382" s="27"/>
      <c r="D4382" s="27"/>
      <c r="E4382" s="27"/>
      <c r="F4382" s="27"/>
      <c r="G4382" s="27"/>
      <c r="H4382" s="27"/>
      <c r="I4382" s="27"/>
      <c r="J4382" s="27"/>
      <c r="K4382" s="27">
        <v>28.77</v>
      </c>
      <c r="L4382" s="27"/>
    </row>
    <row r="4383" spans="1:12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</row>
    <row r="4384" spans="1:12" ht="15" customHeight="1" x14ac:dyDescent="0.25">
      <c r="A4384" s="10" t="s">
        <v>49</v>
      </c>
      <c r="B4384" s="11"/>
      <c r="C4384" s="11"/>
      <c r="D4384" s="11"/>
      <c r="E4384" s="12"/>
      <c r="F4384" s="8" t="s">
        <v>21</v>
      </c>
      <c r="G4384" s="8" t="s">
        <v>22</v>
      </c>
      <c r="H4384" s="9" t="s">
        <v>44</v>
      </c>
      <c r="I4384" s="13" t="s">
        <v>34</v>
      </c>
      <c r="J4384" s="14"/>
      <c r="K4384" s="13" t="s">
        <v>50</v>
      </c>
      <c r="L4384" s="14"/>
    </row>
    <row r="4385" spans="1:12" ht="15" customHeight="1" x14ac:dyDescent="0.25">
      <c r="A4385" s="21" t="s">
        <v>539</v>
      </c>
      <c r="B4385" s="22"/>
      <c r="C4385" s="22"/>
      <c r="D4385" s="22"/>
      <c r="E4385" s="23"/>
      <c r="F4385" s="19" t="str">
        <f>"044666"</f>
        <v>044666</v>
      </c>
      <c r="G4385" s="19" t="s">
        <v>81</v>
      </c>
      <c r="H4385" s="20">
        <v>35.18</v>
      </c>
      <c r="I4385" s="24">
        <v>1</v>
      </c>
      <c r="J4385" s="25"/>
      <c r="K4385" s="24">
        <v>35.18</v>
      </c>
      <c r="L4385" s="25"/>
    </row>
    <row r="4386" spans="1:12" ht="15" customHeight="1" x14ac:dyDescent="0.25">
      <c r="A4386" s="15" t="s">
        <v>51</v>
      </c>
      <c r="B4386" s="16"/>
      <c r="C4386" s="16"/>
      <c r="D4386" s="16"/>
      <c r="E4386" s="16"/>
      <c r="F4386" s="16"/>
      <c r="G4386" s="16"/>
      <c r="H4386" s="16"/>
      <c r="I4386" s="16"/>
      <c r="J4386" s="17"/>
      <c r="K4386" s="15">
        <v>35.18</v>
      </c>
      <c r="L4386" s="17"/>
    </row>
    <row r="4387" spans="1:12" x14ac:dyDescent="0.25">
      <c r="A4387" s="18"/>
      <c r="B4387" s="18"/>
      <c r="C4387" s="18"/>
      <c r="D4387" s="18"/>
      <c r="E4387" s="18"/>
      <c r="F4387" s="18"/>
      <c r="G4387" s="18"/>
      <c r="H4387" s="18"/>
      <c r="I4387" s="18"/>
      <c r="J4387" s="18"/>
      <c r="K4387" s="18"/>
      <c r="L4387" s="18"/>
    </row>
    <row r="4388" spans="1:12" ht="15" customHeight="1" x14ac:dyDescent="0.25">
      <c r="A4388" s="10" t="s">
        <v>52</v>
      </c>
      <c r="B4388" s="11"/>
      <c r="C4388" s="11"/>
      <c r="D4388" s="11"/>
      <c r="E4388" s="12"/>
      <c r="F4388" s="8" t="s">
        <v>21</v>
      </c>
      <c r="G4388" s="8" t="s">
        <v>22</v>
      </c>
      <c r="H4388" s="9" t="s">
        <v>44</v>
      </c>
      <c r="I4388" s="13" t="s">
        <v>34</v>
      </c>
      <c r="J4388" s="14"/>
      <c r="K4388" s="13" t="s">
        <v>50</v>
      </c>
      <c r="L4388" s="14"/>
    </row>
    <row r="4389" spans="1:12" ht="15" customHeight="1" x14ac:dyDescent="0.25">
      <c r="A4389" s="15" t="s">
        <v>53</v>
      </c>
      <c r="B4389" s="16"/>
      <c r="C4389" s="16"/>
      <c r="D4389" s="16"/>
      <c r="E4389" s="16"/>
      <c r="F4389" s="16"/>
      <c r="G4389" s="16"/>
      <c r="H4389" s="16"/>
      <c r="I4389" s="16"/>
      <c r="J4389" s="17"/>
      <c r="K4389" s="15">
        <v>0</v>
      </c>
      <c r="L4389" s="17"/>
    </row>
    <row r="4390" spans="1:12" x14ac:dyDescent="0.25">
      <c r="A4390" s="18"/>
      <c r="B4390" s="18"/>
      <c r="C4390" s="18"/>
      <c r="D4390" s="18"/>
      <c r="E4390" s="18"/>
      <c r="F4390" s="18"/>
      <c r="G4390" s="18"/>
      <c r="H4390" s="18"/>
      <c r="I4390" s="18"/>
      <c r="J4390" s="18"/>
      <c r="K4390" s="18"/>
      <c r="L4390" s="18"/>
    </row>
    <row r="4391" spans="1:12" ht="15" customHeight="1" x14ac:dyDescent="0.25">
      <c r="A4391" s="10" t="s">
        <v>54</v>
      </c>
      <c r="B4391" s="11"/>
      <c r="C4391" s="12"/>
      <c r="D4391" s="8" t="s">
        <v>21</v>
      </c>
      <c r="E4391" s="8" t="s">
        <v>22</v>
      </c>
      <c r="F4391" s="9" t="s">
        <v>55</v>
      </c>
      <c r="G4391" s="8" t="s">
        <v>56</v>
      </c>
      <c r="H4391" s="8" t="s">
        <v>57</v>
      </c>
      <c r="I4391" s="8" t="s">
        <v>58</v>
      </c>
      <c r="J4391" s="9" t="s">
        <v>59</v>
      </c>
      <c r="K4391" s="9" t="s">
        <v>34</v>
      </c>
      <c r="L4391" s="9" t="s">
        <v>50</v>
      </c>
    </row>
    <row r="4392" spans="1:12" ht="15" customHeight="1" x14ac:dyDescent="0.25">
      <c r="A4392" s="15" t="s">
        <v>60</v>
      </c>
      <c r="B4392" s="16"/>
      <c r="C4392" s="16"/>
      <c r="D4392" s="16"/>
      <c r="E4392" s="16"/>
      <c r="F4392" s="16"/>
      <c r="G4392" s="16"/>
      <c r="H4392" s="16"/>
      <c r="I4392" s="16"/>
      <c r="J4392" s="17"/>
      <c r="K4392" s="15">
        <v>0</v>
      </c>
      <c r="L4392" s="17"/>
    </row>
    <row r="4393" spans="1:12" x14ac:dyDescent="0.25">
      <c r="A4393" s="18"/>
      <c r="B4393" s="18"/>
      <c r="C4393" s="18"/>
      <c r="D4393" s="18"/>
      <c r="E4393" s="18"/>
      <c r="F4393" s="18"/>
      <c r="G4393" s="18"/>
      <c r="H4393" s="18"/>
      <c r="I4393" s="18"/>
      <c r="J4393" s="18"/>
      <c r="K4393" s="18"/>
      <c r="L4393" s="18"/>
    </row>
    <row r="4394" spans="1:12" ht="15" customHeight="1" x14ac:dyDescent="0.25">
      <c r="A4394" s="27" t="s">
        <v>61</v>
      </c>
      <c r="B4394" s="27"/>
      <c r="C4394" s="27"/>
      <c r="D4394" s="27"/>
      <c r="E4394" s="27"/>
      <c r="F4394" s="27"/>
      <c r="G4394" s="27"/>
      <c r="H4394" s="27"/>
      <c r="I4394" s="27"/>
      <c r="J4394" s="27"/>
      <c r="K4394" s="27">
        <v>63.95</v>
      </c>
      <c r="L4394" s="27"/>
    </row>
    <row r="4395" spans="1:12" ht="15" customHeight="1" x14ac:dyDescent="0.25">
      <c r="A4395" s="27" t="s">
        <v>62</v>
      </c>
      <c r="B4395" s="27"/>
      <c r="C4395" s="27"/>
      <c r="D4395" s="27"/>
      <c r="E4395" s="27"/>
      <c r="F4395" s="27"/>
      <c r="G4395" s="27"/>
      <c r="H4395" s="27"/>
      <c r="I4395" s="27"/>
      <c r="J4395" s="27"/>
      <c r="K4395" s="27">
        <v>21.26</v>
      </c>
      <c r="L4395" s="27"/>
    </row>
    <row r="4396" spans="1:12" ht="15" customHeight="1" x14ac:dyDescent="0.25">
      <c r="A4396" s="27" t="s">
        <v>63</v>
      </c>
      <c r="B4396" s="27"/>
      <c r="C4396" s="27"/>
      <c r="D4396" s="27"/>
      <c r="E4396" s="27"/>
      <c r="F4396" s="27"/>
      <c r="G4396" s="27"/>
      <c r="H4396" s="27"/>
      <c r="I4396" s="27"/>
      <c r="J4396" s="27"/>
      <c r="K4396" s="27">
        <v>85.21</v>
      </c>
      <c r="L4396" s="27"/>
    </row>
    <row r="4397" spans="1:12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</row>
    <row r="4398" spans="1:12" ht="15" customHeight="1" x14ac:dyDescent="0.25">
      <c r="A4398" s="3" t="s">
        <v>8</v>
      </c>
      <c r="B4398" s="6" t="s">
        <v>9</v>
      </c>
      <c r="C4398" s="6"/>
      <c r="D4398" s="6"/>
      <c r="E4398" s="6"/>
      <c r="F4398" s="6"/>
      <c r="G4398" s="6"/>
      <c r="H4398" s="6"/>
      <c r="I4398" s="6"/>
      <c r="J4398" s="6"/>
      <c r="K4398" s="6"/>
      <c r="L4398" s="6"/>
    </row>
    <row r="4399" spans="1:12" ht="15" customHeight="1" x14ac:dyDescent="0.25">
      <c r="A4399" s="3" t="s">
        <v>10</v>
      </c>
      <c r="B4399" s="6" t="s">
        <v>540</v>
      </c>
      <c r="C4399" s="6"/>
      <c r="D4399" s="6"/>
      <c r="E4399" s="6"/>
      <c r="F4399" s="6"/>
      <c r="G4399" s="6"/>
      <c r="H4399" s="6"/>
      <c r="I4399" s="6"/>
      <c r="J4399" s="6"/>
      <c r="K4399" s="3" t="s">
        <v>12</v>
      </c>
      <c r="L4399" s="4" t="s">
        <v>84</v>
      </c>
    </row>
    <row r="4400" spans="1:12" ht="15" customHeight="1" x14ac:dyDescent="0.25">
      <c r="A4400" s="3" t="s">
        <v>14</v>
      </c>
      <c r="B4400" s="6" t="s">
        <v>88</v>
      </c>
      <c r="C4400" s="6"/>
      <c r="D4400" s="7" t="s">
        <v>16</v>
      </c>
      <c r="E4400" s="7"/>
      <c r="F4400" s="6" t="str">
        <f>"2D31.000079"</f>
        <v>2D31.000079</v>
      </c>
      <c r="G4400" s="6"/>
      <c r="H4400" s="3" t="s">
        <v>17</v>
      </c>
      <c r="I4400" s="6" t="s">
        <v>89</v>
      </c>
      <c r="J4400" s="6"/>
      <c r="K4400" s="3" t="s">
        <v>19</v>
      </c>
      <c r="L4400" s="5">
        <v>1</v>
      </c>
    </row>
    <row r="4401" spans="1:12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</row>
    <row r="4402" spans="1:12" ht="15" customHeight="1" x14ac:dyDescent="0.25">
      <c r="A4402" s="10" t="s">
        <v>20</v>
      </c>
      <c r="B4402" s="11"/>
      <c r="C4402" s="12"/>
      <c r="D4402" s="8" t="s">
        <v>21</v>
      </c>
      <c r="E4402" s="8" t="s">
        <v>22</v>
      </c>
      <c r="F4402" s="9" t="s">
        <v>23</v>
      </c>
      <c r="G4402" s="9" t="s">
        <v>24</v>
      </c>
      <c r="H4402" s="9" t="s">
        <v>25</v>
      </c>
      <c r="I4402" s="9" t="s">
        <v>26</v>
      </c>
      <c r="J4402" s="9" t="s">
        <v>27</v>
      </c>
      <c r="K4402" s="13" t="s">
        <v>28</v>
      </c>
      <c r="L4402" s="14"/>
    </row>
    <row r="4403" spans="1:12" ht="15" customHeight="1" x14ac:dyDescent="0.25">
      <c r="A4403" s="15" t="s">
        <v>29</v>
      </c>
      <c r="B4403" s="16"/>
      <c r="C4403" s="16"/>
      <c r="D4403" s="16"/>
      <c r="E4403" s="16"/>
      <c r="F4403" s="16"/>
      <c r="G4403" s="16"/>
      <c r="H4403" s="16"/>
      <c r="I4403" s="16"/>
      <c r="J4403" s="17"/>
      <c r="K4403" s="15">
        <v>0</v>
      </c>
      <c r="L4403" s="17"/>
    </row>
    <row r="4404" spans="1:12" x14ac:dyDescent="0.25">
      <c r="A4404" s="18"/>
      <c r="B4404" s="18"/>
      <c r="C4404" s="18"/>
      <c r="D4404" s="18"/>
      <c r="E4404" s="18"/>
      <c r="F4404" s="18"/>
      <c r="G4404" s="18"/>
      <c r="H4404" s="18"/>
      <c r="I4404" s="18"/>
      <c r="J4404" s="18"/>
      <c r="K4404" s="18"/>
      <c r="L4404" s="18"/>
    </row>
    <row r="4405" spans="1:12" ht="15" customHeight="1" x14ac:dyDescent="0.25">
      <c r="A4405" s="10" t="s">
        <v>30</v>
      </c>
      <c r="B4405" s="11"/>
      <c r="C4405" s="12"/>
      <c r="D4405" s="8" t="s">
        <v>21</v>
      </c>
      <c r="E4405" s="8" t="s">
        <v>22</v>
      </c>
      <c r="F4405" s="9" t="s">
        <v>31</v>
      </c>
      <c r="G4405" s="9" t="s">
        <v>32</v>
      </c>
      <c r="H4405" s="9" t="s">
        <v>33</v>
      </c>
      <c r="I4405" s="13" t="s">
        <v>34</v>
      </c>
      <c r="J4405" s="14"/>
      <c r="K4405" s="13" t="s">
        <v>28</v>
      </c>
      <c r="L4405" s="14"/>
    </row>
    <row r="4406" spans="1:12" ht="15" customHeight="1" x14ac:dyDescent="0.25">
      <c r="A4406" s="15" t="s">
        <v>38</v>
      </c>
      <c r="B4406" s="16"/>
      <c r="C4406" s="16"/>
      <c r="D4406" s="16"/>
      <c r="E4406" s="16"/>
      <c r="F4406" s="16"/>
      <c r="G4406" s="16"/>
      <c r="H4406" s="16"/>
      <c r="I4406" s="16"/>
      <c r="J4406" s="17"/>
      <c r="K4406" s="15">
        <v>0</v>
      </c>
      <c r="L4406" s="17"/>
    </row>
    <row r="4407" spans="1:12" x14ac:dyDescent="0.25">
      <c r="A4407" s="18"/>
      <c r="B4407" s="18"/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</row>
    <row r="4408" spans="1:12" ht="15" customHeight="1" x14ac:dyDescent="0.25">
      <c r="A4408" s="10" t="s">
        <v>39</v>
      </c>
      <c r="B4408" s="11"/>
      <c r="C4408" s="12"/>
      <c r="D4408" s="8" t="s">
        <v>21</v>
      </c>
      <c r="E4408" s="13" t="s">
        <v>40</v>
      </c>
      <c r="F4408" s="14"/>
      <c r="G4408" s="8" t="s">
        <v>41</v>
      </c>
      <c r="H4408" s="8" t="s">
        <v>42</v>
      </c>
      <c r="I4408" s="8" t="s">
        <v>43</v>
      </c>
      <c r="J4408" s="13" t="s">
        <v>44</v>
      </c>
      <c r="K4408" s="26"/>
      <c r="L4408" s="14"/>
    </row>
    <row r="4409" spans="1:12" ht="15" customHeight="1" x14ac:dyDescent="0.25">
      <c r="A4409" s="15" t="s">
        <v>45</v>
      </c>
      <c r="B4409" s="16"/>
      <c r="C4409" s="16"/>
      <c r="D4409" s="16"/>
      <c r="E4409" s="16"/>
      <c r="F4409" s="16"/>
      <c r="G4409" s="16"/>
      <c r="H4409" s="16"/>
      <c r="I4409" s="16"/>
      <c r="J4409" s="17"/>
      <c r="K4409" s="15">
        <v>0</v>
      </c>
      <c r="L4409" s="17"/>
    </row>
    <row r="4410" spans="1:12" x14ac:dyDescent="0.25">
      <c r="A4410" s="18"/>
      <c r="B4410" s="18"/>
      <c r="C4410" s="18"/>
      <c r="D4410" s="18"/>
      <c r="E4410" s="18"/>
      <c r="F4410" s="18"/>
      <c r="G4410" s="18"/>
      <c r="H4410" s="18"/>
      <c r="I4410" s="18"/>
      <c r="J4410" s="18"/>
      <c r="K4410" s="18"/>
      <c r="L4410" s="18"/>
    </row>
    <row r="4411" spans="1:12" ht="15" customHeight="1" x14ac:dyDescent="0.25">
      <c r="A4411" s="27" t="s">
        <v>46</v>
      </c>
      <c r="B4411" s="27"/>
      <c r="C4411" s="27"/>
      <c r="D4411" s="27"/>
      <c r="E4411" s="27"/>
      <c r="F4411" s="27"/>
      <c r="G4411" s="27"/>
      <c r="H4411" s="27"/>
      <c r="I4411" s="27"/>
      <c r="J4411" s="27"/>
      <c r="K4411" s="27">
        <v>0</v>
      </c>
      <c r="L4411" s="27"/>
    </row>
    <row r="4412" spans="1:12" ht="15" customHeight="1" x14ac:dyDescent="0.25">
      <c r="A4412" s="27" t="s">
        <v>47</v>
      </c>
      <c r="B4412" s="27"/>
      <c r="C4412" s="27"/>
      <c r="D4412" s="27"/>
      <c r="E4412" s="27"/>
      <c r="F4412" s="27"/>
      <c r="G4412" s="27"/>
      <c r="H4412" s="27"/>
      <c r="I4412" s="27"/>
      <c r="J4412" s="27"/>
      <c r="K4412" s="27">
        <v>1</v>
      </c>
      <c r="L4412" s="27"/>
    </row>
    <row r="4413" spans="1:12" ht="15" customHeight="1" x14ac:dyDescent="0.25">
      <c r="A4413" s="27" t="s">
        <v>48</v>
      </c>
      <c r="B4413" s="27"/>
      <c r="C4413" s="27"/>
      <c r="D4413" s="27"/>
      <c r="E4413" s="27"/>
      <c r="F4413" s="27"/>
      <c r="G4413" s="27"/>
      <c r="H4413" s="27"/>
      <c r="I4413" s="27"/>
      <c r="J4413" s="27"/>
      <c r="K4413" s="27">
        <v>0</v>
      </c>
      <c r="L4413" s="27"/>
    </row>
    <row r="4414" spans="1:12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</row>
    <row r="4415" spans="1:12" ht="15" customHeight="1" x14ac:dyDescent="0.25">
      <c r="A4415" s="10" t="s">
        <v>49</v>
      </c>
      <c r="B4415" s="11"/>
      <c r="C4415" s="11"/>
      <c r="D4415" s="11"/>
      <c r="E4415" s="12"/>
      <c r="F4415" s="8" t="s">
        <v>21</v>
      </c>
      <c r="G4415" s="8" t="s">
        <v>22</v>
      </c>
      <c r="H4415" s="9" t="s">
        <v>44</v>
      </c>
      <c r="I4415" s="13" t="s">
        <v>34</v>
      </c>
      <c r="J4415" s="14"/>
      <c r="K4415" s="13" t="s">
        <v>50</v>
      </c>
      <c r="L4415" s="14"/>
    </row>
    <row r="4416" spans="1:12" ht="15" customHeight="1" x14ac:dyDescent="0.25">
      <c r="A4416" s="15" t="s">
        <v>51</v>
      </c>
      <c r="B4416" s="16"/>
      <c r="C4416" s="16"/>
      <c r="D4416" s="16"/>
      <c r="E4416" s="16"/>
      <c r="F4416" s="16"/>
      <c r="G4416" s="16"/>
      <c r="H4416" s="16"/>
      <c r="I4416" s="16"/>
      <c r="J4416" s="17"/>
      <c r="K4416" s="15">
        <v>0</v>
      </c>
      <c r="L4416" s="17"/>
    </row>
    <row r="4417" spans="1:12" x14ac:dyDescent="0.25">
      <c r="A4417" s="18"/>
      <c r="B4417" s="18"/>
      <c r="C4417" s="18"/>
      <c r="D4417" s="18"/>
      <c r="E4417" s="18"/>
      <c r="F4417" s="18"/>
      <c r="G4417" s="18"/>
      <c r="H4417" s="18"/>
      <c r="I4417" s="18"/>
      <c r="J4417" s="18"/>
      <c r="K4417" s="18"/>
      <c r="L4417" s="18"/>
    </row>
    <row r="4418" spans="1:12" ht="15" customHeight="1" x14ac:dyDescent="0.25">
      <c r="A4418" s="10" t="s">
        <v>52</v>
      </c>
      <c r="B4418" s="11"/>
      <c r="C4418" s="11"/>
      <c r="D4418" s="11"/>
      <c r="E4418" s="12"/>
      <c r="F4418" s="8" t="s">
        <v>21</v>
      </c>
      <c r="G4418" s="8" t="s">
        <v>22</v>
      </c>
      <c r="H4418" s="9" t="s">
        <v>44</v>
      </c>
      <c r="I4418" s="13" t="s">
        <v>34</v>
      </c>
      <c r="J4418" s="14"/>
      <c r="K4418" s="13" t="s">
        <v>50</v>
      </c>
      <c r="L4418" s="14"/>
    </row>
    <row r="4419" spans="1:12" ht="30" customHeight="1" x14ac:dyDescent="0.25">
      <c r="A4419" s="21" t="s">
        <v>541</v>
      </c>
      <c r="B4419" s="22"/>
      <c r="C4419" s="22"/>
      <c r="D4419" s="22"/>
      <c r="E4419" s="23"/>
      <c r="F4419" s="19" t="s">
        <v>542</v>
      </c>
      <c r="G4419" s="19" t="s">
        <v>84</v>
      </c>
      <c r="H4419" s="20">
        <v>1</v>
      </c>
      <c r="I4419" s="24">
        <v>145.21</v>
      </c>
      <c r="J4419" s="25"/>
      <c r="K4419" s="24">
        <v>145.21</v>
      </c>
      <c r="L4419" s="25"/>
    </row>
    <row r="4420" spans="1:12" ht="15" customHeight="1" x14ac:dyDescent="0.25">
      <c r="A4420" s="15" t="s">
        <v>53</v>
      </c>
      <c r="B4420" s="16"/>
      <c r="C4420" s="16"/>
      <c r="D4420" s="16"/>
      <c r="E4420" s="16"/>
      <c r="F4420" s="16"/>
      <c r="G4420" s="16"/>
      <c r="H4420" s="16"/>
      <c r="I4420" s="16"/>
      <c r="J4420" s="17"/>
      <c r="K4420" s="15">
        <v>145.21</v>
      </c>
      <c r="L4420" s="17"/>
    </row>
    <row r="4421" spans="1:12" x14ac:dyDescent="0.25">
      <c r="A4421" s="18"/>
      <c r="B4421" s="18"/>
      <c r="C4421" s="18"/>
      <c r="D4421" s="18"/>
      <c r="E4421" s="18"/>
      <c r="F4421" s="18"/>
      <c r="G4421" s="18"/>
      <c r="H4421" s="18"/>
      <c r="I4421" s="18"/>
      <c r="J4421" s="18"/>
      <c r="K4421" s="18"/>
      <c r="L4421" s="18"/>
    </row>
    <row r="4422" spans="1:12" ht="15" customHeight="1" x14ac:dyDescent="0.25">
      <c r="A4422" s="10" t="s">
        <v>54</v>
      </c>
      <c r="B4422" s="11"/>
      <c r="C4422" s="12"/>
      <c r="D4422" s="8" t="s">
        <v>21</v>
      </c>
      <c r="E4422" s="8" t="s">
        <v>22</v>
      </c>
      <c r="F4422" s="9" t="s">
        <v>55</v>
      </c>
      <c r="G4422" s="8" t="s">
        <v>56</v>
      </c>
      <c r="H4422" s="8" t="s">
        <v>57</v>
      </c>
      <c r="I4422" s="8" t="s">
        <v>58</v>
      </c>
      <c r="J4422" s="9" t="s">
        <v>59</v>
      </c>
      <c r="K4422" s="9" t="s">
        <v>34</v>
      </c>
      <c r="L4422" s="9" t="s">
        <v>50</v>
      </c>
    </row>
    <row r="4423" spans="1:12" ht="15" customHeight="1" x14ac:dyDescent="0.25">
      <c r="A4423" s="15" t="s">
        <v>60</v>
      </c>
      <c r="B4423" s="16"/>
      <c r="C4423" s="16"/>
      <c r="D4423" s="16"/>
      <c r="E4423" s="16"/>
      <c r="F4423" s="16"/>
      <c r="G4423" s="16"/>
      <c r="H4423" s="16"/>
      <c r="I4423" s="16"/>
      <c r="J4423" s="17"/>
      <c r="K4423" s="15">
        <v>0</v>
      </c>
      <c r="L4423" s="17"/>
    </row>
    <row r="4424" spans="1:12" x14ac:dyDescent="0.25">
      <c r="A4424" s="18"/>
      <c r="B4424" s="18"/>
      <c r="C4424" s="18"/>
      <c r="D4424" s="18"/>
      <c r="E4424" s="18"/>
      <c r="F4424" s="18"/>
      <c r="G4424" s="18"/>
      <c r="H4424" s="18"/>
      <c r="I4424" s="18"/>
      <c r="J4424" s="18"/>
      <c r="K4424" s="18"/>
      <c r="L4424" s="18"/>
    </row>
    <row r="4425" spans="1:12" ht="15" customHeight="1" x14ac:dyDescent="0.25">
      <c r="A4425" s="27" t="s">
        <v>61</v>
      </c>
      <c r="B4425" s="27"/>
      <c r="C4425" s="27"/>
      <c r="D4425" s="27"/>
      <c r="E4425" s="27"/>
      <c r="F4425" s="27"/>
      <c r="G4425" s="27"/>
      <c r="H4425" s="27"/>
      <c r="I4425" s="27"/>
      <c r="J4425" s="27"/>
      <c r="K4425" s="27">
        <v>145.21</v>
      </c>
      <c r="L4425" s="27"/>
    </row>
    <row r="4426" spans="1:12" ht="15" customHeight="1" x14ac:dyDescent="0.25">
      <c r="A4426" s="27" t="s">
        <v>62</v>
      </c>
      <c r="B4426" s="27"/>
      <c r="C4426" s="27"/>
      <c r="D4426" s="27"/>
      <c r="E4426" s="27"/>
      <c r="F4426" s="27"/>
      <c r="G4426" s="27"/>
      <c r="H4426" s="27"/>
      <c r="I4426" s="27"/>
      <c r="J4426" s="27"/>
      <c r="K4426" s="27">
        <v>48.28</v>
      </c>
      <c r="L4426" s="27"/>
    </row>
    <row r="4427" spans="1:12" ht="15" customHeight="1" x14ac:dyDescent="0.25">
      <c r="A4427" s="27" t="s">
        <v>63</v>
      </c>
      <c r="B4427" s="27"/>
      <c r="C4427" s="27"/>
      <c r="D4427" s="27"/>
      <c r="E4427" s="27"/>
      <c r="F4427" s="27"/>
      <c r="G4427" s="27"/>
      <c r="H4427" s="27"/>
      <c r="I4427" s="27"/>
      <c r="J4427" s="27"/>
      <c r="K4427" s="27">
        <v>193.49</v>
      </c>
      <c r="L4427" s="27"/>
    </row>
    <row r="4428" spans="1:12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</row>
    <row r="4429" spans="1:12" ht="15" customHeight="1" x14ac:dyDescent="0.25">
      <c r="A4429" s="3" t="s">
        <v>8</v>
      </c>
      <c r="B4429" s="6" t="s">
        <v>9</v>
      </c>
      <c r="C4429" s="6"/>
      <c r="D4429" s="6"/>
      <c r="E4429" s="6"/>
      <c r="F4429" s="6"/>
      <c r="G4429" s="6"/>
      <c r="H4429" s="6"/>
      <c r="I4429" s="6"/>
      <c r="J4429" s="6"/>
      <c r="K4429" s="6"/>
      <c r="L4429" s="6"/>
    </row>
    <row r="4430" spans="1:12" ht="15" customHeight="1" x14ac:dyDescent="0.25">
      <c r="A4430" s="3" t="s">
        <v>10</v>
      </c>
      <c r="B4430" s="6" t="s">
        <v>543</v>
      </c>
      <c r="C4430" s="6"/>
      <c r="D4430" s="6"/>
      <c r="E4430" s="6"/>
      <c r="F4430" s="6"/>
      <c r="G4430" s="6"/>
      <c r="H4430" s="6"/>
      <c r="I4430" s="6"/>
      <c r="J4430" s="6"/>
      <c r="K4430" s="3" t="s">
        <v>12</v>
      </c>
      <c r="L4430" s="4" t="s">
        <v>84</v>
      </c>
    </row>
    <row r="4431" spans="1:12" ht="15" customHeight="1" x14ac:dyDescent="0.25">
      <c r="A4431" s="3" t="s">
        <v>14</v>
      </c>
      <c r="B4431" s="6" t="s">
        <v>88</v>
      </c>
      <c r="C4431" s="6"/>
      <c r="D4431" s="7" t="s">
        <v>16</v>
      </c>
      <c r="E4431" s="7"/>
      <c r="F4431" s="6" t="str">
        <f>"2A87.000254"</f>
        <v>2A87.000254</v>
      </c>
      <c r="G4431" s="6"/>
      <c r="H4431" s="3" t="s">
        <v>17</v>
      </c>
      <c r="I4431" s="6" t="s">
        <v>89</v>
      </c>
      <c r="J4431" s="6"/>
      <c r="K4431" s="3" t="s">
        <v>19</v>
      </c>
      <c r="L4431" s="5">
        <v>1</v>
      </c>
    </row>
    <row r="4432" spans="1:12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</row>
    <row r="4433" spans="1:12" ht="15" customHeight="1" x14ac:dyDescent="0.25">
      <c r="A4433" s="10" t="s">
        <v>20</v>
      </c>
      <c r="B4433" s="11"/>
      <c r="C4433" s="12"/>
      <c r="D4433" s="8" t="s">
        <v>21</v>
      </c>
      <c r="E4433" s="8" t="s">
        <v>22</v>
      </c>
      <c r="F4433" s="9" t="s">
        <v>23</v>
      </c>
      <c r="G4433" s="9" t="s">
        <v>24</v>
      </c>
      <c r="H4433" s="9" t="s">
        <v>25</v>
      </c>
      <c r="I4433" s="9" t="s">
        <v>26</v>
      </c>
      <c r="J4433" s="9" t="s">
        <v>27</v>
      </c>
      <c r="K4433" s="13" t="s">
        <v>28</v>
      </c>
      <c r="L4433" s="14"/>
    </row>
    <row r="4434" spans="1:12" ht="15" customHeight="1" x14ac:dyDescent="0.25">
      <c r="A4434" s="15" t="s">
        <v>29</v>
      </c>
      <c r="B4434" s="16"/>
      <c r="C4434" s="16"/>
      <c r="D4434" s="16"/>
      <c r="E4434" s="16"/>
      <c r="F4434" s="16"/>
      <c r="G4434" s="16"/>
      <c r="H4434" s="16"/>
      <c r="I4434" s="16"/>
      <c r="J4434" s="17"/>
      <c r="K4434" s="15">
        <v>0</v>
      </c>
      <c r="L4434" s="17"/>
    </row>
    <row r="4435" spans="1:12" x14ac:dyDescent="0.25">
      <c r="A4435" s="18"/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8"/>
    </row>
    <row r="4436" spans="1:12" ht="15" customHeight="1" x14ac:dyDescent="0.25">
      <c r="A4436" s="10" t="s">
        <v>30</v>
      </c>
      <c r="B4436" s="11"/>
      <c r="C4436" s="12"/>
      <c r="D4436" s="8" t="s">
        <v>21</v>
      </c>
      <c r="E4436" s="8" t="s">
        <v>22</v>
      </c>
      <c r="F4436" s="9" t="s">
        <v>31</v>
      </c>
      <c r="G4436" s="9" t="s">
        <v>32</v>
      </c>
      <c r="H4436" s="9" t="s">
        <v>33</v>
      </c>
      <c r="I4436" s="13" t="s">
        <v>34</v>
      </c>
      <c r="J4436" s="14"/>
      <c r="K4436" s="13" t="s">
        <v>28</v>
      </c>
      <c r="L4436" s="14"/>
    </row>
    <row r="4437" spans="1:12" ht="15" customHeight="1" x14ac:dyDescent="0.25">
      <c r="A4437" s="15" t="s">
        <v>38</v>
      </c>
      <c r="B4437" s="16"/>
      <c r="C4437" s="16"/>
      <c r="D4437" s="16"/>
      <c r="E4437" s="16"/>
      <c r="F4437" s="16"/>
      <c r="G4437" s="16"/>
      <c r="H4437" s="16"/>
      <c r="I4437" s="16"/>
      <c r="J4437" s="17"/>
      <c r="K4437" s="15">
        <v>0</v>
      </c>
      <c r="L4437" s="17"/>
    </row>
    <row r="4438" spans="1:12" x14ac:dyDescent="0.25">
      <c r="A4438" s="18"/>
      <c r="B4438" s="18"/>
      <c r="C4438" s="18"/>
      <c r="D4438" s="18"/>
      <c r="E4438" s="18"/>
      <c r="F4438" s="18"/>
      <c r="G4438" s="18"/>
      <c r="H4438" s="18"/>
      <c r="I4438" s="18"/>
      <c r="J4438" s="18"/>
      <c r="K4438" s="18"/>
      <c r="L4438" s="18"/>
    </row>
    <row r="4439" spans="1:12" ht="15" customHeight="1" x14ac:dyDescent="0.25">
      <c r="A4439" s="10" t="s">
        <v>39</v>
      </c>
      <c r="B4439" s="11"/>
      <c r="C4439" s="12"/>
      <c r="D4439" s="8" t="s">
        <v>21</v>
      </c>
      <c r="E4439" s="13" t="s">
        <v>40</v>
      </c>
      <c r="F4439" s="14"/>
      <c r="G4439" s="8" t="s">
        <v>41</v>
      </c>
      <c r="H4439" s="8" t="s">
        <v>42</v>
      </c>
      <c r="I4439" s="8" t="s">
        <v>43</v>
      </c>
      <c r="J4439" s="13" t="s">
        <v>44</v>
      </c>
      <c r="K4439" s="26"/>
      <c r="L4439" s="14"/>
    </row>
    <row r="4440" spans="1:12" ht="15" customHeight="1" x14ac:dyDescent="0.25">
      <c r="A4440" s="15" t="s">
        <v>45</v>
      </c>
      <c r="B4440" s="16"/>
      <c r="C4440" s="16"/>
      <c r="D4440" s="16"/>
      <c r="E4440" s="16"/>
      <c r="F4440" s="16"/>
      <c r="G4440" s="16"/>
      <c r="H4440" s="16"/>
      <c r="I4440" s="16"/>
      <c r="J4440" s="17"/>
      <c r="K4440" s="15">
        <v>0</v>
      </c>
      <c r="L4440" s="17"/>
    </row>
    <row r="4441" spans="1:12" x14ac:dyDescent="0.25">
      <c r="A4441" s="18"/>
      <c r="B4441" s="18"/>
      <c r="C4441" s="18"/>
      <c r="D4441" s="18"/>
      <c r="E4441" s="18"/>
      <c r="F4441" s="18"/>
      <c r="G4441" s="18"/>
      <c r="H4441" s="18"/>
      <c r="I4441" s="18"/>
      <c r="J4441" s="18"/>
      <c r="K4441" s="18"/>
      <c r="L4441" s="18"/>
    </row>
    <row r="4442" spans="1:12" ht="15" customHeight="1" x14ac:dyDescent="0.25">
      <c r="A4442" s="27" t="s">
        <v>46</v>
      </c>
      <c r="B4442" s="27"/>
      <c r="C4442" s="27"/>
      <c r="D4442" s="27"/>
      <c r="E4442" s="27"/>
      <c r="F4442" s="27"/>
      <c r="G4442" s="27"/>
      <c r="H4442" s="27"/>
      <c r="I4442" s="27"/>
      <c r="J4442" s="27"/>
      <c r="K4442" s="27">
        <v>0</v>
      </c>
      <c r="L4442" s="27"/>
    </row>
    <row r="4443" spans="1:12" ht="15" customHeight="1" x14ac:dyDescent="0.25">
      <c r="A4443" s="27" t="s">
        <v>47</v>
      </c>
      <c r="B4443" s="27"/>
      <c r="C4443" s="27"/>
      <c r="D4443" s="27"/>
      <c r="E4443" s="27"/>
      <c r="F4443" s="27"/>
      <c r="G4443" s="27"/>
      <c r="H4443" s="27"/>
      <c r="I4443" s="27"/>
      <c r="J4443" s="27"/>
      <c r="K4443" s="27">
        <v>1</v>
      </c>
      <c r="L4443" s="27"/>
    </row>
    <row r="4444" spans="1:12" ht="15" customHeight="1" x14ac:dyDescent="0.25">
      <c r="A4444" s="27" t="s">
        <v>48</v>
      </c>
      <c r="B4444" s="27"/>
      <c r="C4444" s="27"/>
      <c r="D4444" s="27"/>
      <c r="E4444" s="27"/>
      <c r="F4444" s="27"/>
      <c r="G4444" s="27"/>
      <c r="H4444" s="27"/>
      <c r="I4444" s="27"/>
      <c r="J4444" s="27"/>
      <c r="K4444" s="27">
        <v>0</v>
      </c>
      <c r="L4444" s="27"/>
    </row>
    <row r="4445" spans="1:12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</row>
    <row r="4446" spans="1:12" ht="15" customHeight="1" x14ac:dyDescent="0.25">
      <c r="A4446" s="10" t="s">
        <v>49</v>
      </c>
      <c r="B4446" s="11"/>
      <c r="C4446" s="11"/>
      <c r="D4446" s="11"/>
      <c r="E4446" s="12"/>
      <c r="F4446" s="8" t="s">
        <v>21</v>
      </c>
      <c r="G4446" s="8" t="s">
        <v>22</v>
      </c>
      <c r="H4446" s="9" t="s">
        <v>44</v>
      </c>
      <c r="I4446" s="13" t="s">
        <v>34</v>
      </c>
      <c r="J4446" s="14"/>
      <c r="K4446" s="13" t="s">
        <v>50</v>
      </c>
      <c r="L4446" s="14"/>
    </row>
    <row r="4447" spans="1:12" ht="15" customHeight="1" x14ac:dyDescent="0.25">
      <c r="A4447" s="21" t="s">
        <v>544</v>
      </c>
      <c r="B4447" s="22"/>
      <c r="C4447" s="22"/>
      <c r="D4447" s="22"/>
      <c r="E4447" s="23"/>
      <c r="F4447" s="19" t="str">
        <f>"048357"</f>
        <v>048357</v>
      </c>
      <c r="G4447" s="19" t="s">
        <v>81</v>
      </c>
      <c r="H4447" s="20">
        <v>45.1</v>
      </c>
      <c r="I4447" s="24">
        <v>1</v>
      </c>
      <c r="J4447" s="25"/>
      <c r="K4447" s="24">
        <v>45.1</v>
      </c>
      <c r="L4447" s="25"/>
    </row>
    <row r="4448" spans="1:12" ht="15" customHeight="1" x14ac:dyDescent="0.25">
      <c r="A4448" s="15" t="s">
        <v>51</v>
      </c>
      <c r="B4448" s="16"/>
      <c r="C4448" s="16"/>
      <c r="D4448" s="16"/>
      <c r="E4448" s="16"/>
      <c r="F4448" s="16"/>
      <c r="G4448" s="16"/>
      <c r="H4448" s="16"/>
      <c r="I4448" s="16"/>
      <c r="J4448" s="17"/>
      <c r="K4448" s="15">
        <v>45.1</v>
      </c>
      <c r="L4448" s="17"/>
    </row>
    <row r="4449" spans="1:12" x14ac:dyDescent="0.25">
      <c r="A4449" s="18"/>
      <c r="B4449" s="18"/>
      <c r="C4449" s="18"/>
      <c r="D4449" s="18"/>
      <c r="E4449" s="18"/>
      <c r="F4449" s="18"/>
      <c r="G4449" s="18"/>
      <c r="H4449" s="18"/>
      <c r="I4449" s="18"/>
      <c r="J4449" s="18"/>
      <c r="K4449" s="18"/>
      <c r="L4449" s="18"/>
    </row>
    <row r="4450" spans="1:12" ht="15" customHeight="1" x14ac:dyDescent="0.25">
      <c r="A4450" s="10" t="s">
        <v>52</v>
      </c>
      <c r="B4450" s="11"/>
      <c r="C4450" s="11"/>
      <c r="D4450" s="11"/>
      <c r="E4450" s="12"/>
      <c r="F4450" s="8" t="s">
        <v>21</v>
      </c>
      <c r="G4450" s="8" t="s">
        <v>22</v>
      </c>
      <c r="H4450" s="9" t="s">
        <v>44</v>
      </c>
      <c r="I4450" s="13" t="s">
        <v>34</v>
      </c>
      <c r="J4450" s="14"/>
      <c r="K4450" s="13" t="s">
        <v>50</v>
      </c>
      <c r="L4450" s="14"/>
    </row>
    <row r="4451" spans="1:12" ht="30" customHeight="1" x14ac:dyDescent="0.25">
      <c r="A4451" s="21" t="s">
        <v>545</v>
      </c>
      <c r="B4451" s="22"/>
      <c r="C4451" s="22"/>
      <c r="D4451" s="22"/>
      <c r="E4451" s="23"/>
      <c r="F4451" s="19" t="s">
        <v>546</v>
      </c>
      <c r="G4451" s="19" t="s">
        <v>84</v>
      </c>
      <c r="H4451" s="20">
        <v>1</v>
      </c>
      <c r="I4451" s="24" t="s">
        <v>164</v>
      </c>
      <c r="J4451" s="25"/>
      <c r="K4451" s="24" t="s">
        <v>164</v>
      </c>
      <c r="L4451" s="25"/>
    </row>
    <row r="4452" spans="1:12" ht="15" customHeight="1" x14ac:dyDescent="0.25">
      <c r="A4452" s="15" t="s">
        <v>53</v>
      </c>
      <c r="B4452" s="16"/>
      <c r="C4452" s="16"/>
      <c r="D4452" s="16"/>
      <c r="E4452" s="16"/>
      <c r="F4452" s="16"/>
      <c r="G4452" s="16"/>
      <c r="H4452" s="16"/>
      <c r="I4452" s="16"/>
      <c r="J4452" s="17"/>
      <c r="K4452" s="15">
        <v>14.38</v>
      </c>
      <c r="L4452" s="17"/>
    </row>
    <row r="4453" spans="1:12" x14ac:dyDescent="0.25">
      <c r="A4453" s="18"/>
      <c r="B4453" s="18"/>
      <c r="C4453" s="18"/>
      <c r="D4453" s="18"/>
      <c r="E4453" s="18"/>
      <c r="F4453" s="18"/>
      <c r="G4453" s="18"/>
      <c r="H4453" s="18"/>
      <c r="I4453" s="18"/>
      <c r="J4453" s="18"/>
      <c r="K4453" s="18"/>
      <c r="L4453" s="18"/>
    </row>
    <row r="4454" spans="1:12" ht="15" customHeight="1" x14ac:dyDescent="0.25">
      <c r="A4454" s="10" t="s">
        <v>54</v>
      </c>
      <c r="B4454" s="11"/>
      <c r="C4454" s="12"/>
      <c r="D4454" s="8" t="s">
        <v>21</v>
      </c>
      <c r="E4454" s="8" t="s">
        <v>22</v>
      </c>
      <c r="F4454" s="9" t="s">
        <v>55</v>
      </c>
      <c r="G4454" s="8" t="s">
        <v>56</v>
      </c>
      <c r="H4454" s="8" t="s">
        <v>57</v>
      </c>
      <c r="I4454" s="8" t="s">
        <v>58</v>
      </c>
      <c r="J4454" s="9" t="s">
        <v>59</v>
      </c>
      <c r="K4454" s="9" t="s">
        <v>34</v>
      </c>
      <c r="L4454" s="9" t="s">
        <v>50</v>
      </c>
    </row>
    <row r="4455" spans="1:12" ht="15" customHeight="1" x14ac:dyDescent="0.25">
      <c r="A4455" s="15" t="s">
        <v>60</v>
      </c>
      <c r="B4455" s="16"/>
      <c r="C4455" s="16"/>
      <c r="D4455" s="16"/>
      <c r="E4455" s="16"/>
      <c r="F4455" s="16"/>
      <c r="G4455" s="16"/>
      <c r="H4455" s="16"/>
      <c r="I4455" s="16"/>
      <c r="J4455" s="17"/>
      <c r="K4455" s="15">
        <v>0</v>
      </c>
      <c r="L4455" s="17"/>
    </row>
    <row r="4456" spans="1:12" x14ac:dyDescent="0.25">
      <c r="A4456" s="18"/>
      <c r="B4456" s="18"/>
      <c r="C4456" s="18"/>
      <c r="D4456" s="18"/>
      <c r="E4456" s="18"/>
      <c r="F4456" s="18"/>
      <c r="G4456" s="18"/>
      <c r="H4456" s="18"/>
      <c r="I4456" s="18"/>
      <c r="J4456" s="18"/>
      <c r="K4456" s="18"/>
      <c r="L4456" s="18"/>
    </row>
    <row r="4457" spans="1:12" ht="15" customHeight="1" x14ac:dyDescent="0.25">
      <c r="A4457" s="27" t="s">
        <v>61</v>
      </c>
      <c r="B4457" s="27"/>
      <c r="C4457" s="27"/>
      <c r="D4457" s="27"/>
      <c r="E4457" s="27"/>
      <c r="F4457" s="27"/>
      <c r="G4457" s="27"/>
      <c r="H4457" s="27"/>
      <c r="I4457" s="27"/>
      <c r="J4457" s="27"/>
      <c r="K4457" s="27">
        <v>59.48</v>
      </c>
      <c r="L4457" s="27"/>
    </row>
    <row r="4458" spans="1:12" ht="15" customHeight="1" x14ac:dyDescent="0.25">
      <c r="A4458" s="27" t="s">
        <v>62</v>
      </c>
      <c r="B4458" s="27"/>
      <c r="C4458" s="27"/>
      <c r="D4458" s="27"/>
      <c r="E4458" s="27"/>
      <c r="F4458" s="27"/>
      <c r="G4458" s="27"/>
      <c r="H4458" s="27"/>
      <c r="I4458" s="27"/>
      <c r="J4458" s="27"/>
      <c r="K4458" s="27">
        <v>19.78</v>
      </c>
      <c r="L4458" s="27"/>
    </row>
    <row r="4459" spans="1:12" ht="15" customHeight="1" x14ac:dyDescent="0.25">
      <c r="A4459" s="27" t="s">
        <v>63</v>
      </c>
      <c r="B4459" s="27"/>
      <c r="C4459" s="27"/>
      <c r="D4459" s="27"/>
      <c r="E4459" s="27"/>
      <c r="F4459" s="27"/>
      <c r="G4459" s="27"/>
      <c r="H4459" s="27"/>
      <c r="I4459" s="27"/>
      <c r="J4459" s="27"/>
      <c r="K4459" s="27">
        <v>79.260000000000005</v>
      </c>
      <c r="L4459" s="27"/>
    </row>
    <row r="4460" spans="1:12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</row>
    <row r="4461" spans="1:12" ht="15" customHeight="1" x14ac:dyDescent="0.25">
      <c r="A4461" s="3" t="s">
        <v>8</v>
      </c>
      <c r="B4461" s="6" t="s">
        <v>9</v>
      </c>
      <c r="C4461" s="6"/>
      <c r="D4461" s="6"/>
      <c r="E4461" s="6"/>
      <c r="F4461" s="6"/>
      <c r="G4461" s="6"/>
      <c r="H4461" s="6"/>
      <c r="I4461" s="6"/>
      <c r="J4461" s="6"/>
      <c r="K4461" s="6"/>
      <c r="L4461" s="6"/>
    </row>
    <row r="4462" spans="1:12" ht="30" customHeight="1" x14ac:dyDescent="0.25">
      <c r="A4462" s="3" t="s">
        <v>10</v>
      </c>
      <c r="B4462" s="6" t="s">
        <v>547</v>
      </c>
      <c r="C4462" s="6"/>
      <c r="D4462" s="6"/>
      <c r="E4462" s="6"/>
      <c r="F4462" s="6"/>
      <c r="G4462" s="6"/>
      <c r="H4462" s="6"/>
      <c r="I4462" s="6"/>
      <c r="J4462" s="6"/>
      <c r="K4462" s="3" t="s">
        <v>12</v>
      </c>
      <c r="L4462" s="4" t="s">
        <v>87</v>
      </c>
    </row>
    <row r="4463" spans="1:12" ht="15" customHeight="1" x14ac:dyDescent="0.25">
      <c r="A4463" s="3" t="s">
        <v>14</v>
      </c>
      <c r="B4463" s="6" t="s">
        <v>88</v>
      </c>
      <c r="C4463" s="6"/>
      <c r="D4463" s="7" t="s">
        <v>16</v>
      </c>
      <c r="E4463" s="7"/>
      <c r="F4463" s="6" t="str">
        <f>"4079.000052"</f>
        <v>4079.000052</v>
      </c>
      <c r="G4463" s="6"/>
      <c r="H4463" s="3" t="s">
        <v>17</v>
      </c>
      <c r="I4463" s="6" t="s">
        <v>89</v>
      </c>
      <c r="J4463" s="6"/>
      <c r="K4463" s="3" t="s">
        <v>19</v>
      </c>
      <c r="L4463" s="5">
        <v>1</v>
      </c>
    </row>
    <row r="4464" spans="1:12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</row>
    <row r="4465" spans="1:12" ht="15" customHeight="1" x14ac:dyDescent="0.25">
      <c r="A4465" s="10" t="s">
        <v>20</v>
      </c>
      <c r="B4465" s="11"/>
      <c r="C4465" s="12"/>
      <c r="D4465" s="8" t="s">
        <v>21</v>
      </c>
      <c r="E4465" s="8" t="s">
        <v>22</v>
      </c>
      <c r="F4465" s="9" t="s">
        <v>23</v>
      </c>
      <c r="G4465" s="9" t="s">
        <v>24</v>
      </c>
      <c r="H4465" s="9" t="s">
        <v>25</v>
      </c>
      <c r="I4465" s="9" t="s">
        <v>26</v>
      </c>
      <c r="J4465" s="9" t="s">
        <v>27</v>
      </c>
      <c r="K4465" s="13" t="s">
        <v>28</v>
      </c>
      <c r="L4465" s="14"/>
    </row>
    <row r="4466" spans="1:12" ht="15" customHeight="1" x14ac:dyDescent="0.25">
      <c r="A4466" s="15" t="s">
        <v>29</v>
      </c>
      <c r="B4466" s="16"/>
      <c r="C4466" s="16"/>
      <c r="D4466" s="16"/>
      <c r="E4466" s="16"/>
      <c r="F4466" s="16"/>
      <c r="G4466" s="16"/>
      <c r="H4466" s="16"/>
      <c r="I4466" s="16"/>
      <c r="J4466" s="17"/>
      <c r="K4466" s="15">
        <v>0</v>
      </c>
      <c r="L4466" s="17"/>
    </row>
    <row r="4467" spans="1:12" x14ac:dyDescent="0.25">
      <c r="A4467" s="18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8"/>
    </row>
    <row r="4468" spans="1:12" ht="15" customHeight="1" x14ac:dyDescent="0.25">
      <c r="A4468" s="10" t="s">
        <v>30</v>
      </c>
      <c r="B4468" s="11"/>
      <c r="C4468" s="12"/>
      <c r="D4468" s="8" t="s">
        <v>21</v>
      </c>
      <c r="E4468" s="8" t="s">
        <v>22</v>
      </c>
      <c r="F4468" s="9" t="s">
        <v>31</v>
      </c>
      <c r="G4468" s="9" t="s">
        <v>32</v>
      </c>
      <c r="H4468" s="9" t="s">
        <v>33</v>
      </c>
      <c r="I4468" s="13" t="s">
        <v>34</v>
      </c>
      <c r="J4468" s="14"/>
      <c r="K4468" s="13" t="s">
        <v>28</v>
      </c>
      <c r="L4468" s="14"/>
    </row>
    <row r="4469" spans="1:12" ht="15" customHeight="1" x14ac:dyDescent="0.25">
      <c r="A4469" s="15" t="s">
        <v>38</v>
      </c>
      <c r="B4469" s="16"/>
      <c r="C4469" s="16"/>
      <c r="D4469" s="16"/>
      <c r="E4469" s="16"/>
      <c r="F4469" s="16"/>
      <c r="G4469" s="16"/>
      <c r="H4469" s="16"/>
      <c r="I4469" s="16"/>
      <c r="J4469" s="17"/>
      <c r="K4469" s="15">
        <v>0</v>
      </c>
      <c r="L4469" s="17"/>
    </row>
    <row r="4470" spans="1:12" x14ac:dyDescent="0.25">
      <c r="A4470" s="18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8"/>
    </row>
    <row r="4471" spans="1:12" ht="15" customHeight="1" x14ac:dyDescent="0.25">
      <c r="A4471" s="10" t="s">
        <v>39</v>
      </c>
      <c r="B4471" s="11"/>
      <c r="C4471" s="12"/>
      <c r="D4471" s="8" t="s">
        <v>21</v>
      </c>
      <c r="E4471" s="13" t="s">
        <v>40</v>
      </c>
      <c r="F4471" s="14"/>
      <c r="G4471" s="8" t="s">
        <v>41</v>
      </c>
      <c r="H4471" s="8" t="s">
        <v>42</v>
      </c>
      <c r="I4471" s="8" t="s">
        <v>43</v>
      </c>
      <c r="J4471" s="13" t="s">
        <v>44</v>
      </c>
      <c r="K4471" s="26"/>
      <c r="L4471" s="14"/>
    </row>
    <row r="4472" spans="1:12" ht="15" customHeight="1" x14ac:dyDescent="0.25">
      <c r="A4472" s="15" t="s">
        <v>45</v>
      </c>
      <c r="B4472" s="16"/>
      <c r="C4472" s="16"/>
      <c r="D4472" s="16"/>
      <c r="E4472" s="16"/>
      <c r="F4472" s="16"/>
      <c r="G4472" s="16"/>
      <c r="H4472" s="16"/>
      <c r="I4472" s="16"/>
      <c r="J4472" s="17"/>
      <c r="K4472" s="15">
        <v>0</v>
      </c>
      <c r="L4472" s="17"/>
    </row>
    <row r="4473" spans="1:12" x14ac:dyDescent="0.25">
      <c r="A4473" s="18"/>
      <c r="B4473" s="18"/>
      <c r="C4473" s="18"/>
      <c r="D4473" s="18"/>
      <c r="E4473" s="18"/>
      <c r="F4473" s="18"/>
      <c r="G4473" s="18"/>
      <c r="H4473" s="18"/>
      <c r="I4473" s="18"/>
      <c r="J4473" s="18"/>
      <c r="K4473" s="18"/>
      <c r="L4473" s="18"/>
    </row>
    <row r="4474" spans="1:12" ht="15" customHeight="1" x14ac:dyDescent="0.25">
      <c r="A4474" s="27" t="s">
        <v>46</v>
      </c>
      <c r="B4474" s="27"/>
      <c r="C4474" s="27"/>
      <c r="D4474" s="27"/>
      <c r="E4474" s="27"/>
      <c r="F4474" s="27"/>
      <c r="G4474" s="27"/>
      <c r="H4474" s="27"/>
      <c r="I4474" s="27"/>
      <c r="J4474" s="27"/>
      <c r="K4474" s="27">
        <v>0</v>
      </c>
      <c r="L4474" s="27"/>
    </row>
    <row r="4475" spans="1:12" ht="15" customHeight="1" x14ac:dyDescent="0.25">
      <c r="A4475" s="27" t="s">
        <v>47</v>
      </c>
      <c r="B4475" s="27"/>
      <c r="C4475" s="27"/>
      <c r="D4475" s="27"/>
      <c r="E4475" s="27"/>
      <c r="F4475" s="27"/>
      <c r="G4475" s="27"/>
      <c r="H4475" s="27"/>
      <c r="I4475" s="27"/>
      <c r="J4475" s="27"/>
      <c r="K4475" s="27">
        <v>1</v>
      </c>
      <c r="L4475" s="27"/>
    </row>
    <row r="4476" spans="1:12" ht="15" customHeight="1" x14ac:dyDescent="0.25">
      <c r="A4476" s="27" t="s">
        <v>48</v>
      </c>
      <c r="B4476" s="27"/>
      <c r="C4476" s="27"/>
      <c r="D4476" s="27"/>
      <c r="E4476" s="27"/>
      <c r="F4476" s="27"/>
      <c r="G4476" s="27"/>
      <c r="H4476" s="27"/>
      <c r="I4476" s="27"/>
      <c r="J4476" s="27"/>
      <c r="K4476" s="27">
        <v>0</v>
      </c>
      <c r="L4476" s="27"/>
    </row>
    <row r="4477" spans="1:12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</row>
    <row r="4478" spans="1:12" ht="15" customHeight="1" x14ac:dyDescent="0.25">
      <c r="A4478" s="10" t="s">
        <v>49</v>
      </c>
      <c r="B4478" s="11"/>
      <c r="C4478" s="11"/>
      <c r="D4478" s="11"/>
      <c r="E4478" s="12"/>
      <c r="F4478" s="8" t="s">
        <v>21</v>
      </c>
      <c r="G4478" s="8" t="s">
        <v>22</v>
      </c>
      <c r="H4478" s="9" t="s">
        <v>44</v>
      </c>
      <c r="I4478" s="13" t="s">
        <v>34</v>
      </c>
      <c r="J4478" s="14"/>
      <c r="K4478" s="13" t="s">
        <v>50</v>
      </c>
      <c r="L4478" s="14"/>
    </row>
    <row r="4479" spans="1:12" ht="15" customHeight="1" x14ac:dyDescent="0.25">
      <c r="A4479" s="21" t="s">
        <v>548</v>
      </c>
      <c r="B4479" s="22"/>
      <c r="C4479" s="22"/>
      <c r="D4479" s="22"/>
      <c r="E4479" s="23"/>
      <c r="F4479" s="19" t="str">
        <f>"043304"</f>
        <v>043304</v>
      </c>
      <c r="G4479" s="19" t="s">
        <v>99</v>
      </c>
      <c r="H4479" s="20">
        <v>2.25</v>
      </c>
      <c r="I4479" s="24">
        <v>1.02</v>
      </c>
      <c r="J4479" s="25"/>
      <c r="K4479" s="24">
        <v>2.29</v>
      </c>
      <c r="L4479" s="25"/>
    </row>
    <row r="4480" spans="1:12" ht="15" customHeight="1" x14ac:dyDescent="0.25">
      <c r="A4480" s="15" t="s">
        <v>51</v>
      </c>
      <c r="B4480" s="16"/>
      <c r="C4480" s="16"/>
      <c r="D4480" s="16"/>
      <c r="E4480" s="16"/>
      <c r="F4480" s="16"/>
      <c r="G4480" s="16"/>
      <c r="H4480" s="16"/>
      <c r="I4480" s="16"/>
      <c r="J4480" s="17"/>
      <c r="K4480" s="15">
        <v>2.29</v>
      </c>
      <c r="L4480" s="17"/>
    </row>
    <row r="4481" spans="1:12" x14ac:dyDescent="0.25">
      <c r="A4481" s="18"/>
      <c r="B4481" s="18"/>
      <c r="C4481" s="18"/>
      <c r="D4481" s="18"/>
      <c r="E4481" s="18"/>
      <c r="F4481" s="18"/>
      <c r="G4481" s="18"/>
      <c r="H4481" s="18"/>
      <c r="I4481" s="18"/>
      <c r="J4481" s="18"/>
      <c r="K4481" s="18"/>
      <c r="L4481" s="18"/>
    </row>
    <row r="4482" spans="1:12" ht="15" customHeight="1" x14ac:dyDescent="0.25">
      <c r="A4482" s="10" t="s">
        <v>52</v>
      </c>
      <c r="B4482" s="11"/>
      <c r="C4482" s="11"/>
      <c r="D4482" s="11"/>
      <c r="E4482" s="12"/>
      <c r="F4482" s="8" t="s">
        <v>21</v>
      </c>
      <c r="G4482" s="8" t="s">
        <v>22</v>
      </c>
      <c r="H4482" s="9" t="s">
        <v>44</v>
      </c>
      <c r="I4482" s="13" t="s">
        <v>34</v>
      </c>
      <c r="J4482" s="14"/>
      <c r="K4482" s="13" t="s">
        <v>50</v>
      </c>
      <c r="L4482" s="14"/>
    </row>
    <row r="4483" spans="1:12" ht="30" customHeight="1" x14ac:dyDescent="0.25">
      <c r="A4483" s="21" t="s">
        <v>549</v>
      </c>
      <c r="B4483" s="22"/>
      <c r="C4483" s="22"/>
      <c r="D4483" s="22"/>
      <c r="E4483" s="23"/>
      <c r="F4483" s="19" t="s">
        <v>550</v>
      </c>
      <c r="G4483" s="19" t="s">
        <v>87</v>
      </c>
      <c r="H4483" s="20">
        <v>1</v>
      </c>
      <c r="I4483" s="24" t="s">
        <v>164</v>
      </c>
      <c r="J4483" s="25"/>
      <c r="K4483" s="24" t="s">
        <v>164</v>
      </c>
      <c r="L4483" s="25"/>
    </row>
    <row r="4484" spans="1:12" ht="15" customHeight="1" x14ac:dyDescent="0.25">
      <c r="A4484" s="15" t="s">
        <v>53</v>
      </c>
      <c r="B4484" s="16"/>
      <c r="C4484" s="16"/>
      <c r="D4484" s="16"/>
      <c r="E4484" s="16"/>
      <c r="F4484" s="16"/>
      <c r="G4484" s="16"/>
      <c r="H4484" s="16"/>
      <c r="I4484" s="16"/>
      <c r="J4484" s="17"/>
      <c r="K4484" s="15">
        <v>5.27</v>
      </c>
      <c r="L4484" s="17"/>
    </row>
    <row r="4485" spans="1:12" x14ac:dyDescent="0.25">
      <c r="A4485" s="18"/>
      <c r="B4485" s="18"/>
      <c r="C4485" s="18"/>
      <c r="D4485" s="18"/>
      <c r="E4485" s="18"/>
      <c r="F4485" s="18"/>
      <c r="G4485" s="18"/>
      <c r="H4485" s="18"/>
      <c r="I4485" s="18"/>
      <c r="J4485" s="18"/>
      <c r="K4485" s="18"/>
      <c r="L4485" s="18"/>
    </row>
    <row r="4486" spans="1:12" ht="15" customHeight="1" x14ac:dyDescent="0.25">
      <c r="A4486" s="10" t="s">
        <v>54</v>
      </c>
      <c r="B4486" s="11"/>
      <c r="C4486" s="12"/>
      <c r="D4486" s="8" t="s">
        <v>21</v>
      </c>
      <c r="E4486" s="8" t="s">
        <v>22</v>
      </c>
      <c r="F4486" s="9" t="s">
        <v>55</v>
      </c>
      <c r="G4486" s="8" t="s">
        <v>56</v>
      </c>
      <c r="H4486" s="8" t="s">
        <v>57</v>
      </c>
      <c r="I4486" s="8" t="s">
        <v>58</v>
      </c>
      <c r="J4486" s="9" t="s">
        <v>59</v>
      </c>
      <c r="K4486" s="9" t="s">
        <v>34</v>
      </c>
      <c r="L4486" s="9" t="s">
        <v>50</v>
      </c>
    </row>
    <row r="4487" spans="1:12" ht="15" customHeight="1" x14ac:dyDescent="0.25">
      <c r="A4487" s="15" t="s">
        <v>60</v>
      </c>
      <c r="B4487" s="16"/>
      <c r="C4487" s="16"/>
      <c r="D4487" s="16"/>
      <c r="E4487" s="16"/>
      <c r="F4487" s="16"/>
      <c r="G4487" s="16"/>
      <c r="H4487" s="16"/>
      <c r="I4487" s="16"/>
      <c r="J4487" s="17"/>
      <c r="K4487" s="15">
        <v>0</v>
      </c>
      <c r="L4487" s="17"/>
    </row>
    <row r="4488" spans="1:12" x14ac:dyDescent="0.25">
      <c r="A4488" s="18"/>
      <c r="B4488" s="18"/>
      <c r="C4488" s="18"/>
      <c r="D4488" s="18"/>
      <c r="E4488" s="18"/>
      <c r="F4488" s="18"/>
      <c r="G4488" s="18"/>
      <c r="H4488" s="18"/>
      <c r="I4488" s="18"/>
      <c r="J4488" s="18"/>
      <c r="K4488" s="18"/>
      <c r="L4488" s="18"/>
    </row>
    <row r="4489" spans="1:12" ht="15" customHeight="1" x14ac:dyDescent="0.25">
      <c r="A4489" s="27" t="s">
        <v>61</v>
      </c>
      <c r="B4489" s="27"/>
      <c r="C4489" s="27"/>
      <c r="D4489" s="27"/>
      <c r="E4489" s="27"/>
      <c r="F4489" s="27"/>
      <c r="G4489" s="27"/>
      <c r="H4489" s="27"/>
      <c r="I4489" s="27"/>
      <c r="J4489" s="27"/>
      <c r="K4489" s="27">
        <v>7.56</v>
      </c>
      <c r="L4489" s="27"/>
    </row>
    <row r="4490" spans="1:12" ht="15" customHeight="1" x14ac:dyDescent="0.25">
      <c r="A4490" s="27" t="s">
        <v>62</v>
      </c>
      <c r="B4490" s="27"/>
      <c r="C4490" s="27"/>
      <c r="D4490" s="27"/>
      <c r="E4490" s="27"/>
      <c r="F4490" s="27"/>
      <c r="G4490" s="27"/>
      <c r="H4490" s="27"/>
      <c r="I4490" s="27"/>
      <c r="J4490" s="27"/>
      <c r="K4490" s="27">
        <v>2.5099999999999998</v>
      </c>
      <c r="L4490" s="27"/>
    </row>
    <row r="4491" spans="1:12" ht="15" customHeight="1" x14ac:dyDescent="0.25">
      <c r="A4491" s="27" t="s">
        <v>63</v>
      </c>
      <c r="B4491" s="27"/>
      <c r="C4491" s="27"/>
      <c r="D4491" s="27"/>
      <c r="E4491" s="27"/>
      <c r="F4491" s="27"/>
      <c r="G4491" s="27"/>
      <c r="H4491" s="27"/>
      <c r="I4491" s="27"/>
      <c r="J4491" s="27"/>
      <c r="K4491" s="27">
        <v>10.07</v>
      </c>
      <c r="L4491" s="27"/>
    </row>
    <row r="4492" spans="1:12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</row>
    <row r="4493" spans="1:12" ht="15" customHeight="1" x14ac:dyDescent="0.25">
      <c r="A4493" s="3" t="s">
        <v>8</v>
      </c>
      <c r="B4493" s="6" t="s">
        <v>9</v>
      </c>
      <c r="C4493" s="6"/>
      <c r="D4493" s="6"/>
      <c r="E4493" s="6"/>
      <c r="F4493" s="6"/>
      <c r="G4493" s="6"/>
      <c r="H4493" s="6"/>
      <c r="I4493" s="6"/>
      <c r="J4493" s="6"/>
      <c r="K4493" s="6"/>
      <c r="L4493" s="6"/>
    </row>
    <row r="4494" spans="1:12" ht="30" customHeight="1" x14ac:dyDescent="0.25">
      <c r="A4494" s="3" t="s">
        <v>10</v>
      </c>
      <c r="B4494" s="6" t="s">
        <v>551</v>
      </c>
      <c r="C4494" s="6"/>
      <c r="D4494" s="6"/>
      <c r="E4494" s="6"/>
      <c r="F4494" s="6"/>
      <c r="G4494" s="6"/>
      <c r="H4494" s="6"/>
      <c r="I4494" s="6"/>
      <c r="J4494" s="6"/>
      <c r="K4494" s="3" t="s">
        <v>12</v>
      </c>
      <c r="L4494" s="4" t="s">
        <v>87</v>
      </c>
    </row>
    <row r="4495" spans="1:12" ht="15" customHeight="1" x14ac:dyDescent="0.25">
      <c r="A4495" s="3" t="s">
        <v>14</v>
      </c>
      <c r="B4495" s="6" t="s">
        <v>88</v>
      </c>
      <c r="C4495" s="6"/>
      <c r="D4495" s="7" t="s">
        <v>16</v>
      </c>
      <c r="E4495" s="7"/>
      <c r="F4495" s="6" t="str">
        <f>"4079.000073"</f>
        <v>4079.000073</v>
      </c>
      <c r="G4495" s="6"/>
      <c r="H4495" s="3" t="s">
        <v>17</v>
      </c>
      <c r="I4495" s="6" t="s">
        <v>89</v>
      </c>
      <c r="J4495" s="6"/>
      <c r="K4495" s="3" t="s">
        <v>19</v>
      </c>
      <c r="L4495" s="5">
        <v>1</v>
      </c>
    </row>
    <row r="4496" spans="1:12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</row>
    <row r="4497" spans="1:12" ht="15" customHeight="1" x14ac:dyDescent="0.25">
      <c r="A4497" s="10" t="s">
        <v>20</v>
      </c>
      <c r="B4497" s="11"/>
      <c r="C4497" s="12"/>
      <c r="D4497" s="8" t="s">
        <v>21</v>
      </c>
      <c r="E4497" s="8" t="s">
        <v>22</v>
      </c>
      <c r="F4497" s="9" t="s">
        <v>23</v>
      </c>
      <c r="G4497" s="9" t="s">
        <v>24</v>
      </c>
      <c r="H4497" s="9" t="s">
        <v>25</v>
      </c>
      <c r="I4497" s="9" t="s">
        <v>26</v>
      </c>
      <c r="J4497" s="9" t="s">
        <v>27</v>
      </c>
      <c r="K4497" s="13" t="s">
        <v>28</v>
      </c>
      <c r="L4497" s="14"/>
    </row>
    <row r="4498" spans="1:12" ht="15" customHeight="1" x14ac:dyDescent="0.25">
      <c r="A4498" s="15" t="s">
        <v>29</v>
      </c>
      <c r="B4498" s="16"/>
      <c r="C4498" s="16"/>
      <c r="D4498" s="16"/>
      <c r="E4498" s="16"/>
      <c r="F4498" s="16"/>
      <c r="G4498" s="16"/>
      <c r="H4498" s="16"/>
      <c r="I4498" s="16"/>
      <c r="J4498" s="17"/>
      <c r="K4498" s="15">
        <v>0</v>
      </c>
      <c r="L4498" s="17"/>
    </row>
    <row r="4499" spans="1:12" x14ac:dyDescent="0.25">
      <c r="A4499" s="18"/>
      <c r="B4499" s="18"/>
      <c r="C4499" s="18"/>
      <c r="D4499" s="18"/>
      <c r="E4499" s="18"/>
      <c r="F4499" s="18"/>
      <c r="G4499" s="18"/>
      <c r="H4499" s="18"/>
      <c r="I4499" s="18"/>
      <c r="J4499" s="18"/>
      <c r="K4499" s="18"/>
      <c r="L4499" s="18"/>
    </row>
    <row r="4500" spans="1:12" ht="15" customHeight="1" x14ac:dyDescent="0.25">
      <c r="A4500" s="10" t="s">
        <v>30</v>
      </c>
      <c r="B4500" s="11"/>
      <c r="C4500" s="12"/>
      <c r="D4500" s="8" t="s">
        <v>21</v>
      </c>
      <c r="E4500" s="8" t="s">
        <v>22</v>
      </c>
      <c r="F4500" s="9" t="s">
        <v>31</v>
      </c>
      <c r="G4500" s="9" t="s">
        <v>32</v>
      </c>
      <c r="H4500" s="9" t="s">
        <v>33</v>
      </c>
      <c r="I4500" s="13" t="s">
        <v>34</v>
      </c>
      <c r="J4500" s="14"/>
      <c r="K4500" s="13" t="s">
        <v>28</v>
      </c>
      <c r="L4500" s="14"/>
    </row>
    <row r="4501" spans="1:12" ht="15" customHeight="1" x14ac:dyDescent="0.25">
      <c r="A4501" s="15" t="s">
        <v>38</v>
      </c>
      <c r="B4501" s="16"/>
      <c r="C4501" s="16"/>
      <c r="D4501" s="16"/>
      <c r="E4501" s="16"/>
      <c r="F4501" s="16"/>
      <c r="G4501" s="16"/>
      <c r="H4501" s="16"/>
      <c r="I4501" s="16"/>
      <c r="J4501" s="17"/>
      <c r="K4501" s="15">
        <v>0</v>
      </c>
      <c r="L4501" s="17"/>
    </row>
    <row r="4502" spans="1:12" x14ac:dyDescent="0.25">
      <c r="A4502" s="18"/>
      <c r="B4502" s="18"/>
      <c r="C4502" s="18"/>
      <c r="D4502" s="18"/>
      <c r="E4502" s="18"/>
      <c r="F4502" s="18"/>
      <c r="G4502" s="18"/>
      <c r="H4502" s="18"/>
      <c r="I4502" s="18"/>
      <c r="J4502" s="18"/>
      <c r="K4502" s="18"/>
      <c r="L4502" s="18"/>
    </row>
    <row r="4503" spans="1:12" ht="15" customHeight="1" x14ac:dyDescent="0.25">
      <c r="A4503" s="10" t="s">
        <v>39</v>
      </c>
      <c r="B4503" s="11"/>
      <c r="C4503" s="12"/>
      <c r="D4503" s="8" t="s">
        <v>21</v>
      </c>
      <c r="E4503" s="13" t="s">
        <v>40</v>
      </c>
      <c r="F4503" s="14"/>
      <c r="G4503" s="8" t="s">
        <v>41</v>
      </c>
      <c r="H4503" s="8" t="s">
        <v>42</v>
      </c>
      <c r="I4503" s="8" t="s">
        <v>43</v>
      </c>
      <c r="J4503" s="13" t="s">
        <v>44</v>
      </c>
      <c r="K4503" s="26"/>
      <c r="L4503" s="14"/>
    </row>
    <row r="4504" spans="1:12" ht="15" customHeight="1" x14ac:dyDescent="0.25">
      <c r="A4504" s="15" t="s">
        <v>45</v>
      </c>
      <c r="B4504" s="16"/>
      <c r="C4504" s="16"/>
      <c r="D4504" s="16"/>
      <c r="E4504" s="16"/>
      <c r="F4504" s="16"/>
      <c r="G4504" s="16"/>
      <c r="H4504" s="16"/>
      <c r="I4504" s="16"/>
      <c r="J4504" s="17"/>
      <c r="K4504" s="15">
        <v>0</v>
      </c>
      <c r="L4504" s="17"/>
    </row>
    <row r="4505" spans="1:12" x14ac:dyDescent="0.25">
      <c r="A4505" s="18"/>
      <c r="B4505" s="18"/>
      <c r="C4505" s="18"/>
      <c r="D4505" s="18"/>
      <c r="E4505" s="18"/>
      <c r="F4505" s="18"/>
      <c r="G4505" s="18"/>
      <c r="H4505" s="18"/>
      <c r="I4505" s="18"/>
      <c r="J4505" s="18"/>
      <c r="K4505" s="18"/>
      <c r="L4505" s="18"/>
    </row>
    <row r="4506" spans="1:12" ht="15" customHeight="1" x14ac:dyDescent="0.25">
      <c r="A4506" s="27" t="s">
        <v>46</v>
      </c>
      <c r="B4506" s="27"/>
      <c r="C4506" s="27"/>
      <c r="D4506" s="27"/>
      <c r="E4506" s="27"/>
      <c r="F4506" s="27"/>
      <c r="G4506" s="27"/>
      <c r="H4506" s="27"/>
      <c r="I4506" s="27"/>
      <c r="J4506" s="27"/>
      <c r="K4506" s="27">
        <v>0</v>
      </c>
      <c r="L4506" s="27"/>
    </row>
    <row r="4507" spans="1:12" ht="15" customHeight="1" x14ac:dyDescent="0.25">
      <c r="A4507" s="27" t="s">
        <v>47</v>
      </c>
      <c r="B4507" s="27"/>
      <c r="C4507" s="27"/>
      <c r="D4507" s="27"/>
      <c r="E4507" s="27"/>
      <c r="F4507" s="27"/>
      <c r="G4507" s="27"/>
      <c r="H4507" s="27"/>
      <c r="I4507" s="27"/>
      <c r="J4507" s="27"/>
      <c r="K4507" s="27">
        <v>1</v>
      </c>
      <c r="L4507" s="27"/>
    </row>
    <row r="4508" spans="1:12" ht="15" customHeight="1" x14ac:dyDescent="0.25">
      <c r="A4508" s="27" t="s">
        <v>48</v>
      </c>
      <c r="B4508" s="27"/>
      <c r="C4508" s="27"/>
      <c r="D4508" s="27"/>
      <c r="E4508" s="27"/>
      <c r="F4508" s="27"/>
      <c r="G4508" s="27"/>
      <c r="H4508" s="27"/>
      <c r="I4508" s="27"/>
      <c r="J4508" s="27"/>
      <c r="K4508" s="27">
        <v>0</v>
      </c>
      <c r="L4508" s="27"/>
    </row>
    <row r="4509" spans="1:12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</row>
    <row r="4510" spans="1:12" ht="15" customHeight="1" x14ac:dyDescent="0.25">
      <c r="A4510" s="10" t="s">
        <v>49</v>
      </c>
      <c r="B4510" s="11"/>
      <c r="C4510" s="11"/>
      <c r="D4510" s="11"/>
      <c r="E4510" s="12"/>
      <c r="F4510" s="8" t="s">
        <v>21</v>
      </c>
      <c r="G4510" s="8" t="s">
        <v>22</v>
      </c>
      <c r="H4510" s="9" t="s">
        <v>44</v>
      </c>
      <c r="I4510" s="13" t="s">
        <v>34</v>
      </c>
      <c r="J4510" s="14"/>
      <c r="K4510" s="13" t="s">
        <v>50</v>
      </c>
      <c r="L4510" s="14"/>
    </row>
    <row r="4511" spans="1:12" ht="15" customHeight="1" x14ac:dyDescent="0.25">
      <c r="A4511" s="21" t="s">
        <v>552</v>
      </c>
      <c r="B4511" s="22"/>
      <c r="C4511" s="22"/>
      <c r="D4511" s="22"/>
      <c r="E4511" s="23"/>
      <c r="F4511" s="19" t="str">
        <f>"043306"</f>
        <v>043306</v>
      </c>
      <c r="G4511" s="19" t="s">
        <v>99</v>
      </c>
      <c r="H4511" s="20">
        <v>5.33</v>
      </c>
      <c r="I4511" s="24">
        <v>1.02</v>
      </c>
      <c r="J4511" s="25"/>
      <c r="K4511" s="24">
        <v>5.43</v>
      </c>
      <c r="L4511" s="25"/>
    </row>
    <row r="4512" spans="1:12" ht="15" customHeight="1" x14ac:dyDescent="0.25">
      <c r="A4512" s="15" t="s">
        <v>51</v>
      </c>
      <c r="B4512" s="16"/>
      <c r="C4512" s="16"/>
      <c r="D4512" s="16"/>
      <c r="E4512" s="16"/>
      <c r="F4512" s="16"/>
      <c r="G4512" s="16"/>
      <c r="H4512" s="16"/>
      <c r="I4512" s="16"/>
      <c r="J4512" s="17"/>
      <c r="K4512" s="15">
        <v>5.43</v>
      </c>
      <c r="L4512" s="17"/>
    </row>
    <row r="4513" spans="1:12" x14ac:dyDescent="0.25">
      <c r="A4513" s="18"/>
      <c r="B4513" s="18"/>
      <c r="C4513" s="18"/>
      <c r="D4513" s="18"/>
      <c r="E4513" s="18"/>
      <c r="F4513" s="18"/>
      <c r="G4513" s="18"/>
      <c r="H4513" s="18"/>
      <c r="I4513" s="18"/>
      <c r="J4513" s="18"/>
      <c r="K4513" s="18"/>
      <c r="L4513" s="18"/>
    </row>
    <row r="4514" spans="1:12" ht="15" customHeight="1" x14ac:dyDescent="0.25">
      <c r="A4514" s="10" t="s">
        <v>52</v>
      </c>
      <c r="B4514" s="11"/>
      <c r="C4514" s="11"/>
      <c r="D4514" s="11"/>
      <c r="E4514" s="12"/>
      <c r="F4514" s="8" t="s">
        <v>21</v>
      </c>
      <c r="G4514" s="8" t="s">
        <v>22</v>
      </c>
      <c r="H4514" s="9" t="s">
        <v>44</v>
      </c>
      <c r="I4514" s="13" t="s">
        <v>34</v>
      </c>
      <c r="J4514" s="14"/>
      <c r="K4514" s="13" t="s">
        <v>50</v>
      </c>
      <c r="L4514" s="14"/>
    </row>
    <row r="4515" spans="1:12" ht="30" customHeight="1" x14ac:dyDescent="0.25">
      <c r="A4515" s="21" t="s">
        <v>553</v>
      </c>
      <c r="B4515" s="22"/>
      <c r="C4515" s="22"/>
      <c r="D4515" s="22"/>
      <c r="E4515" s="23"/>
      <c r="F4515" s="19" t="s">
        <v>554</v>
      </c>
      <c r="G4515" s="19" t="s">
        <v>87</v>
      </c>
      <c r="H4515" s="20">
        <v>1</v>
      </c>
      <c r="I4515" s="24" t="s">
        <v>164</v>
      </c>
      <c r="J4515" s="25"/>
      <c r="K4515" s="24" t="s">
        <v>164</v>
      </c>
      <c r="L4515" s="25"/>
    </row>
    <row r="4516" spans="1:12" ht="15" customHeight="1" x14ac:dyDescent="0.25">
      <c r="A4516" s="15" t="s">
        <v>53</v>
      </c>
      <c r="B4516" s="16"/>
      <c r="C4516" s="16"/>
      <c r="D4516" s="16"/>
      <c r="E4516" s="16"/>
      <c r="F4516" s="16"/>
      <c r="G4516" s="16"/>
      <c r="H4516" s="16"/>
      <c r="I4516" s="16"/>
      <c r="J4516" s="17"/>
      <c r="K4516" s="15">
        <v>6.23</v>
      </c>
      <c r="L4516" s="17"/>
    </row>
    <row r="4517" spans="1:12" x14ac:dyDescent="0.25">
      <c r="A4517" s="18"/>
      <c r="B4517" s="18"/>
      <c r="C4517" s="18"/>
      <c r="D4517" s="18"/>
      <c r="E4517" s="18"/>
      <c r="F4517" s="18"/>
      <c r="G4517" s="18"/>
      <c r="H4517" s="18"/>
      <c r="I4517" s="18"/>
      <c r="J4517" s="18"/>
      <c r="K4517" s="18"/>
      <c r="L4517" s="18"/>
    </row>
    <row r="4518" spans="1:12" ht="15" customHeight="1" x14ac:dyDescent="0.25">
      <c r="A4518" s="10" t="s">
        <v>54</v>
      </c>
      <c r="B4518" s="11"/>
      <c r="C4518" s="12"/>
      <c r="D4518" s="8" t="s">
        <v>21</v>
      </c>
      <c r="E4518" s="8" t="s">
        <v>22</v>
      </c>
      <c r="F4518" s="9" t="s">
        <v>55</v>
      </c>
      <c r="G4518" s="8" t="s">
        <v>56</v>
      </c>
      <c r="H4518" s="8" t="s">
        <v>57</v>
      </c>
      <c r="I4518" s="8" t="s">
        <v>58</v>
      </c>
      <c r="J4518" s="9" t="s">
        <v>59</v>
      </c>
      <c r="K4518" s="9" t="s">
        <v>34</v>
      </c>
      <c r="L4518" s="9" t="s">
        <v>50</v>
      </c>
    </row>
    <row r="4519" spans="1:12" ht="15" customHeight="1" x14ac:dyDescent="0.25">
      <c r="A4519" s="15" t="s">
        <v>60</v>
      </c>
      <c r="B4519" s="16"/>
      <c r="C4519" s="16"/>
      <c r="D4519" s="16"/>
      <c r="E4519" s="16"/>
      <c r="F4519" s="16"/>
      <c r="G4519" s="16"/>
      <c r="H4519" s="16"/>
      <c r="I4519" s="16"/>
      <c r="J4519" s="17"/>
      <c r="K4519" s="15">
        <v>0</v>
      </c>
      <c r="L4519" s="17"/>
    </row>
    <row r="4520" spans="1:12" x14ac:dyDescent="0.25">
      <c r="A4520" s="18"/>
      <c r="B4520" s="18"/>
      <c r="C4520" s="18"/>
      <c r="D4520" s="18"/>
      <c r="E4520" s="18"/>
      <c r="F4520" s="18"/>
      <c r="G4520" s="18"/>
      <c r="H4520" s="18"/>
      <c r="I4520" s="18"/>
      <c r="J4520" s="18"/>
      <c r="K4520" s="18"/>
      <c r="L4520" s="18"/>
    </row>
    <row r="4521" spans="1:12" ht="15" customHeight="1" x14ac:dyDescent="0.25">
      <c r="A4521" s="27" t="s">
        <v>61</v>
      </c>
      <c r="B4521" s="27"/>
      <c r="C4521" s="27"/>
      <c r="D4521" s="27"/>
      <c r="E4521" s="27"/>
      <c r="F4521" s="27"/>
      <c r="G4521" s="27"/>
      <c r="H4521" s="27"/>
      <c r="I4521" s="27"/>
      <c r="J4521" s="27"/>
      <c r="K4521" s="27">
        <v>11.66</v>
      </c>
      <c r="L4521" s="27"/>
    </row>
    <row r="4522" spans="1:12" ht="15" customHeight="1" x14ac:dyDescent="0.25">
      <c r="A4522" s="27" t="s">
        <v>62</v>
      </c>
      <c r="B4522" s="27"/>
      <c r="C4522" s="27"/>
      <c r="D4522" s="27"/>
      <c r="E4522" s="27"/>
      <c r="F4522" s="27"/>
      <c r="G4522" s="27"/>
      <c r="H4522" s="27"/>
      <c r="I4522" s="27"/>
      <c r="J4522" s="27"/>
      <c r="K4522" s="27">
        <v>3.88</v>
      </c>
      <c r="L4522" s="27"/>
    </row>
    <row r="4523" spans="1:12" ht="15" customHeight="1" x14ac:dyDescent="0.25">
      <c r="A4523" s="27" t="s">
        <v>63</v>
      </c>
      <c r="B4523" s="27"/>
      <c r="C4523" s="27"/>
      <c r="D4523" s="27"/>
      <c r="E4523" s="27"/>
      <c r="F4523" s="27"/>
      <c r="G4523" s="27"/>
      <c r="H4523" s="27"/>
      <c r="I4523" s="27"/>
      <c r="J4523" s="27"/>
      <c r="K4523" s="27">
        <v>15.54</v>
      </c>
      <c r="L4523" s="27"/>
    </row>
    <row r="4524" spans="1:12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</row>
    <row r="4525" spans="1:12" ht="15" customHeight="1" x14ac:dyDescent="0.25">
      <c r="A4525" s="3" t="s">
        <v>8</v>
      </c>
      <c r="B4525" s="6" t="s">
        <v>9</v>
      </c>
      <c r="C4525" s="6"/>
      <c r="D4525" s="6"/>
      <c r="E4525" s="6"/>
      <c r="F4525" s="6"/>
      <c r="G4525" s="6"/>
      <c r="H4525" s="6"/>
      <c r="I4525" s="6"/>
      <c r="J4525" s="6"/>
      <c r="K4525" s="6"/>
      <c r="L4525" s="6"/>
    </row>
    <row r="4526" spans="1:12" ht="15" customHeight="1" x14ac:dyDescent="0.25">
      <c r="A4526" s="3" t="s">
        <v>10</v>
      </c>
      <c r="B4526" s="6" t="s">
        <v>555</v>
      </c>
      <c r="C4526" s="6"/>
      <c r="D4526" s="6"/>
      <c r="E4526" s="6"/>
      <c r="F4526" s="6"/>
      <c r="G4526" s="6"/>
      <c r="H4526" s="6"/>
      <c r="I4526" s="6"/>
      <c r="J4526" s="6"/>
      <c r="K4526" s="3" t="s">
        <v>12</v>
      </c>
      <c r="L4526" s="4" t="s">
        <v>84</v>
      </c>
    </row>
    <row r="4527" spans="1:12" ht="15" customHeight="1" x14ac:dyDescent="0.25">
      <c r="A4527" s="3" t="s">
        <v>14</v>
      </c>
      <c r="B4527" s="6" t="s">
        <v>88</v>
      </c>
      <c r="C4527" s="6"/>
      <c r="D4527" s="7" t="s">
        <v>16</v>
      </c>
      <c r="E4527" s="7"/>
      <c r="F4527" s="6" t="str">
        <f>"2A87.000263"</f>
        <v>2A87.000263</v>
      </c>
      <c r="G4527" s="6"/>
      <c r="H4527" s="3" t="s">
        <v>17</v>
      </c>
      <c r="I4527" s="6" t="s">
        <v>89</v>
      </c>
      <c r="J4527" s="6"/>
      <c r="K4527" s="3" t="s">
        <v>19</v>
      </c>
      <c r="L4527" s="5">
        <v>1</v>
      </c>
    </row>
    <row r="4528" spans="1:12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</row>
    <row r="4529" spans="1:12" ht="15" customHeight="1" x14ac:dyDescent="0.25">
      <c r="A4529" s="10" t="s">
        <v>20</v>
      </c>
      <c r="B4529" s="11"/>
      <c r="C4529" s="12"/>
      <c r="D4529" s="8" t="s">
        <v>21</v>
      </c>
      <c r="E4529" s="8" t="s">
        <v>22</v>
      </c>
      <c r="F4529" s="9" t="s">
        <v>23</v>
      </c>
      <c r="G4529" s="9" t="s">
        <v>24</v>
      </c>
      <c r="H4529" s="9" t="s">
        <v>25</v>
      </c>
      <c r="I4529" s="9" t="s">
        <v>26</v>
      </c>
      <c r="J4529" s="9" t="s">
        <v>27</v>
      </c>
      <c r="K4529" s="13" t="s">
        <v>28</v>
      </c>
      <c r="L4529" s="14"/>
    </row>
    <row r="4530" spans="1:12" ht="15" customHeight="1" x14ac:dyDescent="0.25">
      <c r="A4530" s="15" t="s">
        <v>29</v>
      </c>
      <c r="B4530" s="16"/>
      <c r="C4530" s="16"/>
      <c r="D4530" s="16"/>
      <c r="E4530" s="16"/>
      <c r="F4530" s="16"/>
      <c r="G4530" s="16"/>
      <c r="H4530" s="16"/>
      <c r="I4530" s="16"/>
      <c r="J4530" s="17"/>
      <c r="K4530" s="15">
        <v>0</v>
      </c>
      <c r="L4530" s="17"/>
    </row>
    <row r="4531" spans="1:12" x14ac:dyDescent="0.25">
      <c r="A4531" s="18"/>
      <c r="B4531" s="18"/>
      <c r="C4531" s="18"/>
      <c r="D4531" s="18"/>
      <c r="E4531" s="18"/>
      <c r="F4531" s="18"/>
      <c r="G4531" s="18"/>
      <c r="H4531" s="18"/>
      <c r="I4531" s="18"/>
      <c r="J4531" s="18"/>
      <c r="K4531" s="18"/>
      <c r="L4531" s="18"/>
    </row>
    <row r="4532" spans="1:12" ht="15" customHeight="1" x14ac:dyDescent="0.25">
      <c r="A4532" s="10" t="s">
        <v>30</v>
      </c>
      <c r="B4532" s="11"/>
      <c r="C4532" s="12"/>
      <c r="D4532" s="8" t="s">
        <v>21</v>
      </c>
      <c r="E4532" s="8" t="s">
        <v>22</v>
      </c>
      <c r="F4532" s="9" t="s">
        <v>31</v>
      </c>
      <c r="G4532" s="9" t="s">
        <v>32</v>
      </c>
      <c r="H4532" s="9" t="s">
        <v>33</v>
      </c>
      <c r="I4532" s="13" t="s">
        <v>34</v>
      </c>
      <c r="J4532" s="14"/>
      <c r="K4532" s="13" t="s">
        <v>28</v>
      </c>
      <c r="L4532" s="14"/>
    </row>
    <row r="4533" spans="1:12" ht="15" customHeight="1" x14ac:dyDescent="0.25">
      <c r="A4533" s="21" t="s">
        <v>281</v>
      </c>
      <c r="B4533" s="22"/>
      <c r="C4533" s="23"/>
      <c r="D4533" s="19" t="str">
        <f>"010101"</f>
        <v>010101</v>
      </c>
      <c r="E4533" s="19" t="s">
        <v>36</v>
      </c>
      <c r="F4533" s="20">
        <v>8.5299999999999994</v>
      </c>
      <c r="G4533" s="20">
        <v>157.27000000000001</v>
      </c>
      <c r="H4533" s="20">
        <v>21.94</v>
      </c>
      <c r="I4533" s="24">
        <v>0.02</v>
      </c>
      <c r="J4533" s="25"/>
      <c r="K4533" s="24">
        <v>0.43</v>
      </c>
      <c r="L4533" s="25"/>
    </row>
    <row r="4534" spans="1:12" ht="15" customHeight="1" x14ac:dyDescent="0.25">
      <c r="A4534" s="21" t="s">
        <v>336</v>
      </c>
      <c r="B4534" s="22"/>
      <c r="C4534" s="23"/>
      <c r="D4534" s="19" t="str">
        <f>"010115"</f>
        <v>010115</v>
      </c>
      <c r="E4534" s="19" t="s">
        <v>36</v>
      </c>
      <c r="F4534" s="20">
        <v>10.119999999999999</v>
      </c>
      <c r="G4534" s="20">
        <v>157.27000000000001</v>
      </c>
      <c r="H4534" s="20">
        <v>26.03</v>
      </c>
      <c r="I4534" s="24">
        <v>0.02</v>
      </c>
      <c r="J4534" s="25"/>
      <c r="K4534" s="24">
        <v>0.52</v>
      </c>
      <c r="L4534" s="25"/>
    </row>
    <row r="4535" spans="1:12" ht="15" customHeight="1" x14ac:dyDescent="0.25">
      <c r="A4535" s="15" t="s">
        <v>38</v>
      </c>
      <c r="B4535" s="16"/>
      <c r="C4535" s="16"/>
      <c r="D4535" s="16"/>
      <c r="E4535" s="16"/>
      <c r="F4535" s="16"/>
      <c r="G4535" s="16"/>
      <c r="H4535" s="16"/>
      <c r="I4535" s="16"/>
      <c r="J4535" s="17"/>
      <c r="K4535" s="15">
        <v>0.95</v>
      </c>
      <c r="L4535" s="17"/>
    </row>
    <row r="4536" spans="1:12" x14ac:dyDescent="0.25">
      <c r="A4536" s="18"/>
      <c r="B4536" s="18"/>
      <c r="C4536" s="18"/>
      <c r="D4536" s="18"/>
      <c r="E4536" s="18"/>
      <c r="F4536" s="18"/>
      <c r="G4536" s="18"/>
      <c r="H4536" s="18"/>
      <c r="I4536" s="18"/>
      <c r="J4536" s="18"/>
      <c r="K4536" s="18"/>
      <c r="L4536" s="18"/>
    </row>
    <row r="4537" spans="1:12" ht="15" customHeight="1" x14ac:dyDescent="0.25">
      <c r="A4537" s="10" t="s">
        <v>39</v>
      </c>
      <c r="B4537" s="11"/>
      <c r="C4537" s="12"/>
      <c r="D4537" s="8" t="s">
        <v>21</v>
      </c>
      <c r="E4537" s="13" t="s">
        <v>40</v>
      </c>
      <c r="F4537" s="14"/>
      <c r="G4537" s="8" t="s">
        <v>41</v>
      </c>
      <c r="H4537" s="8" t="s">
        <v>42</v>
      </c>
      <c r="I4537" s="8" t="s">
        <v>43</v>
      </c>
      <c r="J4537" s="13" t="s">
        <v>44</v>
      </c>
      <c r="K4537" s="26"/>
      <c r="L4537" s="14"/>
    </row>
    <row r="4538" spans="1:12" ht="15" customHeight="1" x14ac:dyDescent="0.25">
      <c r="A4538" s="15" t="s">
        <v>45</v>
      </c>
      <c r="B4538" s="16"/>
      <c r="C4538" s="16"/>
      <c r="D4538" s="16"/>
      <c r="E4538" s="16"/>
      <c r="F4538" s="16"/>
      <c r="G4538" s="16"/>
      <c r="H4538" s="16"/>
      <c r="I4538" s="16"/>
      <c r="J4538" s="17"/>
      <c r="K4538" s="15">
        <v>0</v>
      </c>
      <c r="L4538" s="17"/>
    </row>
    <row r="4539" spans="1:12" x14ac:dyDescent="0.25">
      <c r="A4539" s="18"/>
      <c r="B4539" s="18"/>
      <c r="C4539" s="18"/>
      <c r="D4539" s="18"/>
      <c r="E4539" s="18"/>
      <c r="F4539" s="18"/>
      <c r="G4539" s="18"/>
      <c r="H4539" s="18"/>
      <c r="I4539" s="18"/>
      <c r="J4539" s="18"/>
      <c r="K4539" s="18"/>
      <c r="L4539" s="18"/>
    </row>
    <row r="4540" spans="1:12" ht="15" customHeight="1" x14ac:dyDescent="0.25">
      <c r="A4540" s="27" t="s">
        <v>46</v>
      </c>
      <c r="B4540" s="27"/>
      <c r="C4540" s="27"/>
      <c r="D4540" s="27"/>
      <c r="E4540" s="27"/>
      <c r="F4540" s="27"/>
      <c r="G4540" s="27"/>
      <c r="H4540" s="27"/>
      <c r="I4540" s="27"/>
      <c r="J4540" s="27"/>
      <c r="K4540" s="27">
        <v>0.95</v>
      </c>
      <c r="L4540" s="27"/>
    </row>
    <row r="4541" spans="1:12" ht="15" customHeight="1" x14ac:dyDescent="0.25">
      <c r="A4541" s="27" t="s">
        <v>47</v>
      </c>
      <c r="B4541" s="27"/>
      <c r="C4541" s="27"/>
      <c r="D4541" s="27"/>
      <c r="E4541" s="27"/>
      <c r="F4541" s="27"/>
      <c r="G4541" s="27"/>
      <c r="H4541" s="27"/>
      <c r="I4541" s="27"/>
      <c r="J4541" s="27"/>
      <c r="K4541" s="27">
        <v>1</v>
      </c>
      <c r="L4541" s="27"/>
    </row>
    <row r="4542" spans="1:12" ht="15" customHeight="1" x14ac:dyDescent="0.25">
      <c r="A4542" s="27" t="s">
        <v>48</v>
      </c>
      <c r="B4542" s="27"/>
      <c r="C4542" s="27"/>
      <c r="D4542" s="27"/>
      <c r="E4542" s="27"/>
      <c r="F4542" s="27"/>
      <c r="G4542" s="27"/>
      <c r="H4542" s="27"/>
      <c r="I4542" s="27"/>
      <c r="J4542" s="27"/>
      <c r="K4542" s="27">
        <v>0.95</v>
      </c>
      <c r="L4542" s="27"/>
    </row>
    <row r="4543" spans="1:12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</row>
    <row r="4544" spans="1:12" ht="15" customHeight="1" x14ac:dyDescent="0.25">
      <c r="A4544" s="10" t="s">
        <v>49</v>
      </c>
      <c r="B4544" s="11"/>
      <c r="C4544" s="11"/>
      <c r="D4544" s="11"/>
      <c r="E4544" s="12"/>
      <c r="F4544" s="8" t="s">
        <v>21</v>
      </c>
      <c r="G4544" s="8" t="s">
        <v>22</v>
      </c>
      <c r="H4544" s="9" t="s">
        <v>44</v>
      </c>
      <c r="I4544" s="13" t="s">
        <v>34</v>
      </c>
      <c r="J4544" s="14"/>
      <c r="K4544" s="13" t="s">
        <v>50</v>
      </c>
      <c r="L4544" s="14"/>
    </row>
    <row r="4545" spans="1:12" ht="15" customHeight="1" x14ac:dyDescent="0.25">
      <c r="A4545" s="21" t="s">
        <v>556</v>
      </c>
      <c r="B4545" s="22"/>
      <c r="C4545" s="22"/>
      <c r="D4545" s="22"/>
      <c r="E4545" s="23"/>
      <c r="F4545" s="19" t="str">
        <f>"043735"</f>
        <v>043735</v>
      </c>
      <c r="G4545" s="19" t="s">
        <v>81</v>
      </c>
      <c r="H4545" s="20">
        <v>0.1</v>
      </c>
      <c r="I4545" s="24">
        <v>1</v>
      </c>
      <c r="J4545" s="25"/>
      <c r="K4545" s="24">
        <v>0.1</v>
      </c>
      <c r="L4545" s="25"/>
    </row>
    <row r="4546" spans="1:12" ht="15" customHeight="1" x14ac:dyDescent="0.25">
      <c r="A4546" s="15" t="s">
        <v>51</v>
      </c>
      <c r="B4546" s="16"/>
      <c r="C4546" s="16"/>
      <c r="D4546" s="16"/>
      <c r="E4546" s="16"/>
      <c r="F4546" s="16"/>
      <c r="G4546" s="16"/>
      <c r="H4546" s="16"/>
      <c r="I4546" s="16"/>
      <c r="J4546" s="17"/>
      <c r="K4546" s="15">
        <v>0.1</v>
      </c>
      <c r="L4546" s="17"/>
    </row>
    <row r="4547" spans="1:12" x14ac:dyDescent="0.25">
      <c r="A4547" s="18"/>
      <c r="B4547" s="18"/>
      <c r="C4547" s="18"/>
      <c r="D4547" s="18"/>
      <c r="E4547" s="18"/>
      <c r="F4547" s="18"/>
      <c r="G4547" s="18"/>
      <c r="H4547" s="18"/>
      <c r="I4547" s="18"/>
      <c r="J4547" s="18"/>
      <c r="K4547" s="18"/>
      <c r="L4547" s="18"/>
    </row>
    <row r="4548" spans="1:12" ht="15" customHeight="1" x14ac:dyDescent="0.25">
      <c r="A4548" s="10" t="s">
        <v>52</v>
      </c>
      <c r="B4548" s="11"/>
      <c r="C4548" s="11"/>
      <c r="D4548" s="11"/>
      <c r="E4548" s="12"/>
      <c r="F4548" s="8" t="s">
        <v>21</v>
      </c>
      <c r="G4548" s="8" t="s">
        <v>22</v>
      </c>
      <c r="H4548" s="9" t="s">
        <v>44</v>
      </c>
      <c r="I4548" s="13" t="s">
        <v>34</v>
      </c>
      <c r="J4548" s="14"/>
      <c r="K4548" s="13" t="s">
        <v>50</v>
      </c>
      <c r="L4548" s="14"/>
    </row>
    <row r="4549" spans="1:12" ht="15" customHeight="1" x14ac:dyDescent="0.25">
      <c r="A4549" s="15" t="s">
        <v>53</v>
      </c>
      <c r="B4549" s="16"/>
      <c r="C4549" s="16"/>
      <c r="D4549" s="16"/>
      <c r="E4549" s="16"/>
      <c r="F4549" s="16"/>
      <c r="G4549" s="16"/>
      <c r="H4549" s="16"/>
      <c r="I4549" s="16"/>
      <c r="J4549" s="17"/>
      <c r="K4549" s="15">
        <v>0</v>
      </c>
      <c r="L4549" s="17"/>
    </row>
    <row r="4550" spans="1:12" x14ac:dyDescent="0.25">
      <c r="A4550" s="18"/>
      <c r="B4550" s="18"/>
      <c r="C4550" s="18"/>
      <c r="D4550" s="18"/>
      <c r="E4550" s="18"/>
      <c r="F4550" s="18"/>
      <c r="G4550" s="18"/>
      <c r="H4550" s="18"/>
      <c r="I4550" s="18"/>
      <c r="J4550" s="18"/>
      <c r="K4550" s="18"/>
      <c r="L4550" s="18"/>
    </row>
    <row r="4551" spans="1:12" ht="15" customHeight="1" x14ac:dyDescent="0.25">
      <c r="A4551" s="10" t="s">
        <v>54</v>
      </c>
      <c r="B4551" s="11"/>
      <c r="C4551" s="12"/>
      <c r="D4551" s="8" t="s">
        <v>21</v>
      </c>
      <c r="E4551" s="8" t="s">
        <v>22</v>
      </c>
      <c r="F4551" s="9" t="s">
        <v>55</v>
      </c>
      <c r="G4551" s="8" t="s">
        <v>56</v>
      </c>
      <c r="H4551" s="8" t="s">
        <v>57</v>
      </c>
      <c r="I4551" s="8" t="s">
        <v>58</v>
      </c>
      <c r="J4551" s="9" t="s">
        <v>59</v>
      </c>
      <c r="K4551" s="9" t="s">
        <v>34</v>
      </c>
      <c r="L4551" s="9" t="s">
        <v>50</v>
      </c>
    </row>
    <row r="4552" spans="1:12" ht="15" customHeight="1" x14ac:dyDescent="0.25">
      <c r="A4552" s="15" t="s">
        <v>60</v>
      </c>
      <c r="B4552" s="16"/>
      <c r="C4552" s="16"/>
      <c r="D4552" s="16"/>
      <c r="E4552" s="16"/>
      <c r="F4552" s="16"/>
      <c r="G4552" s="16"/>
      <c r="H4552" s="16"/>
      <c r="I4552" s="16"/>
      <c r="J4552" s="17"/>
      <c r="K4552" s="15">
        <v>0</v>
      </c>
      <c r="L4552" s="17"/>
    </row>
    <row r="4553" spans="1:12" x14ac:dyDescent="0.25">
      <c r="A4553" s="18"/>
      <c r="B4553" s="18"/>
      <c r="C4553" s="18"/>
      <c r="D4553" s="18"/>
      <c r="E4553" s="18"/>
      <c r="F4553" s="18"/>
      <c r="G4553" s="18"/>
      <c r="H4553" s="18"/>
      <c r="I4553" s="18"/>
      <c r="J4553" s="18"/>
      <c r="K4553" s="18"/>
      <c r="L4553" s="18"/>
    </row>
    <row r="4554" spans="1:12" ht="15" customHeight="1" x14ac:dyDescent="0.25">
      <c r="A4554" s="27" t="s">
        <v>61</v>
      </c>
      <c r="B4554" s="27"/>
      <c r="C4554" s="27"/>
      <c r="D4554" s="27"/>
      <c r="E4554" s="27"/>
      <c r="F4554" s="27"/>
      <c r="G4554" s="27"/>
      <c r="H4554" s="27"/>
      <c r="I4554" s="27"/>
      <c r="J4554" s="27"/>
      <c r="K4554" s="27">
        <v>1.05</v>
      </c>
      <c r="L4554" s="27"/>
    </row>
    <row r="4555" spans="1:12" ht="15" customHeight="1" x14ac:dyDescent="0.25">
      <c r="A4555" s="27" t="s">
        <v>62</v>
      </c>
      <c r="B4555" s="27"/>
      <c r="C4555" s="27"/>
      <c r="D4555" s="27"/>
      <c r="E4555" s="27"/>
      <c r="F4555" s="27"/>
      <c r="G4555" s="27"/>
      <c r="H4555" s="27"/>
      <c r="I4555" s="27"/>
      <c r="J4555" s="27"/>
      <c r="K4555" s="27">
        <v>0.35</v>
      </c>
      <c r="L4555" s="27"/>
    </row>
    <row r="4556" spans="1:12" ht="15" customHeight="1" x14ac:dyDescent="0.25">
      <c r="A4556" s="27" t="s">
        <v>63</v>
      </c>
      <c r="B4556" s="27"/>
      <c r="C4556" s="27"/>
      <c r="D4556" s="27"/>
      <c r="E4556" s="27"/>
      <c r="F4556" s="27"/>
      <c r="G4556" s="27"/>
      <c r="H4556" s="27"/>
      <c r="I4556" s="27"/>
      <c r="J4556" s="27"/>
      <c r="K4556" s="27">
        <v>1.4</v>
      </c>
      <c r="L4556" s="27"/>
    </row>
    <row r="4557" spans="1:12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</row>
    <row r="4558" spans="1:12" ht="15" customHeight="1" x14ac:dyDescent="0.25">
      <c r="A4558" s="3" t="s">
        <v>8</v>
      </c>
      <c r="B4558" s="6" t="s">
        <v>9</v>
      </c>
      <c r="C4558" s="6"/>
      <c r="D4558" s="6"/>
      <c r="E4558" s="6"/>
      <c r="F4558" s="6"/>
      <c r="G4558" s="6"/>
      <c r="H4558" s="6"/>
      <c r="I4558" s="6"/>
      <c r="J4558" s="6"/>
      <c r="K4558" s="6"/>
      <c r="L4558" s="6"/>
    </row>
    <row r="4559" spans="1:12" ht="15" customHeight="1" x14ac:dyDescent="0.25">
      <c r="A4559" s="3" t="s">
        <v>10</v>
      </c>
      <c r="B4559" s="6" t="s">
        <v>557</v>
      </c>
      <c r="C4559" s="6"/>
      <c r="D4559" s="6"/>
      <c r="E4559" s="6"/>
      <c r="F4559" s="6"/>
      <c r="G4559" s="6"/>
      <c r="H4559" s="6"/>
      <c r="I4559" s="6"/>
      <c r="J4559" s="6"/>
      <c r="K4559" s="3" t="s">
        <v>12</v>
      </c>
      <c r="L4559" s="4" t="s">
        <v>84</v>
      </c>
    </row>
    <row r="4560" spans="1:12" ht="15" customHeight="1" x14ac:dyDescent="0.25">
      <c r="A4560" s="3" t="s">
        <v>14</v>
      </c>
      <c r="B4560" s="6" t="s">
        <v>88</v>
      </c>
      <c r="C4560" s="6"/>
      <c r="D4560" s="7" t="s">
        <v>16</v>
      </c>
      <c r="E4560" s="7"/>
      <c r="F4560" s="6" t="str">
        <f>"37DC.000087"</f>
        <v>37DC.000087</v>
      </c>
      <c r="G4560" s="6"/>
      <c r="H4560" s="3" t="s">
        <v>17</v>
      </c>
      <c r="I4560" s="6" t="s">
        <v>89</v>
      </c>
      <c r="J4560" s="6"/>
      <c r="K4560" s="3" t="s">
        <v>19</v>
      </c>
      <c r="L4560" s="5">
        <v>1</v>
      </c>
    </row>
    <row r="4561" spans="1:12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</row>
    <row r="4562" spans="1:12" ht="15" customHeight="1" x14ac:dyDescent="0.25">
      <c r="A4562" s="10" t="s">
        <v>20</v>
      </c>
      <c r="B4562" s="11"/>
      <c r="C4562" s="12"/>
      <c r="D4562" s="8" t="s">
        <v>21</v>
      </c>
      <c r="E4562" s="8" t="s">
        <v>22</v>
      </c>
      <c r="F4562" s="9" t="s">
        <v>23</v>
      </c>
      <c r="G4562" s="9" t="s">
        <v>24</v>
      </c>
      <c r="H4562" s="9" t="s">
        <v>25</v>
      </c>
      <c r="I4562" s="9" t="s">
        <v>26</v>
      </c>
      <c r="J4562" s="9" t="s">
        <v>27</v>
      </c>
      <c r="K4562" s="13" t="s">
        <v>28</v>
      </c>
      <c r="L4562" s="14"/>
    </row>
    <row r="4563" spans="1:12" ht="15" customHeight="1" x14ac:dyDescent="0.25">
      <c r="A4563" s="15" t="s">
        <v>29</v>
      </c>
      <c r="B4563" s="16"/>
      <c r="C4563" s="16"/>
      <c r="D4563" s="16"/>
      <c r="E4563" s="16"/>
      <c r="F4563" s="16"/>
      <c r="G4563" s="16"/>
      <c r="H4563" s="16"/>
      <c r="I4563" s="16"/>
      <c r="J4563" s="17"/>
      <c r="K4563" s="15">
        <v>0</v>
      </c>
      <c r="L4563" s="17"/>
    </row>
    <row r="4564" spans="1:12" x14ac:dyDescent="0.25">
      <c r="A4564" s="18"/>
      <c r="B4564" s="18"/>
      <c r="C4564" s="18"/>
      <c r="D4564" s="18"/>
      <c r="E4564" s="18"/>
      <c r="F4564" s="18"/>
      <c r="G4564" s="18"/>
      <c r="H4564" s="18"/>
      <c r="I4564" s="18"/>
      <c r="J4564" s="18"/>
      <c r="K4564" s="18"/>
      <c r="L4564" s="18"/>
    </row>
    <row r="4565" spans="1:12" ht="15" customHeight="1" x14ac:dyDescent="0.25">
      <c r="A4565" s="10" t="s">
        <v>30</v>
      </c>
      <c r="B4565" s="11"/>
      <c r="C4565" s="12"/>
      <c r="D4565" s="8" t="s">
        <v>21</v>
      </c>
      <c r="E4565" s="8" t="s">
        <v>22</v>
      </c>
      <c r="F4565" s="9" t="s">
        <v>31</v>
      </c>
      <c r="G4565" s="9" t="s">
        <v>32</v>
      </c>
      <c r="H4565" s="9" t="s">
        <v>33</v>
      </c>
      <c r="I4565" s="13" t="s">
        <v>34</v>
      </c>
      <c r="J4565" s="14"/>
      <c r="K4565" s="13" t="s">
        <v>28</v>
      </c>
      <c r="L4565" s="14"/>
    </row>
    <row r="4566" spans="1:12" ht="15" customHeight="1" x14ac:dyDescent="0.25">
      <c r="A4566" s="15" t="s">
        <v>38</v>
      </c>
      <c r="B4566" s="16"/>
      <c r="C4566" s="16"/>
      <c r="D4566" s="16"/>
      <c r="E4566" s="16"/>
      <c r="F4566" s="16"/>
      <c r="G4566" s="16"/>
      <c r="H4566" s="16"/>
      <c r="I4566" s="16"/>
      <c r="J4566" s="17"/>
      <c r="K4566" s="15">
        <v>0</v>
      </c>
      <c r="L4566" s="17"/>
    </row>
    <row r="4567" spans="1:12" x14ac:dyDescent="0.25">
      <c r="A4567" s="18"/>
      <c r="B4567" s="18"/>
      <c r="C4567" s="18"/>
      <c r="D4567" s="18"/>
      <c r="E4567" s="18"/>
      <c r="F4567" s="18"/>
      <c r="G4567" s="18"/>
      <c r="H4567" s="18"/>
      <c r="I4567" s="18"/>
      <c r="J4567" s="18"/>
      <c r="K4567" s="18"/>
      <c r="L4567" s="18"/>
    </row>
    <row r="4568" spans="1:12" ht="15" customHeight="1" x14ac:dyDescent="0.25">
      <c r="A4568" s="10" t="s">
        <v>39</v>
      </c>
      <c r="B4568" s="11"/>
      <c r="C4568" s="12"/>
      <c r="D4568" s="8" t="s">
        <v>21</v>
      </c>
      <c r="E4568" s="13" t="s">
        <v>40</v>
      </c>
      <c r="F4568" s="14"/>
      <c r="G4568" s="8" t="s">
        <v>41</v>
      </c>
      <c r="H4568" s="8" t="s">
        <v>42</v>
      </c>
      <c r="I4568" s="8" t="s">
        <v>43</v>
      </c>
      <c r="J4568" s="13" t="s">
        <v>44</v>
      </c>
      <c r="K4568" s="26"/>
      <c r="L4568" s="14"/>
    </row>
    <row r="4569" spans="1:12" ht="15" customHeight="1" x14ac:dyDescent="0.25">
      <c r="A4569" s="15" t="s">
        <v>45</v>
      </c>
      <c r="B4569" s="16"/>
      <c r="C4569" s="16"/>
      <c r="D4569" s="16"/>
      <c r="E4569" s="16"/>
      <c r="F4569" s="16"/>
      <c r="G4569" s="16"/>
      <c r="H4569" s="16"/>
      <c r="I4569" s="16"/>
      <c r="J4569" s="17"/>
      <c r="K4569" s="15">
        <v>0</v>
      </c>
      <c r="L4569" s="17"/>
    </row>
    <row r="4570" spans="1:12" x14ac:dyDescent="0.25">
      <c r="A4570" s="18"/>
      <c r="B4570" s="18"/>
      <c r="C4570" s="18"/>
      <c r="D4570" s="18"/>
      <c r="E4570" s="18"/>
      <c r="F4570" s="18"/>
      <c r="G4570" s="18"/>
      <c r="H4570" s="18"/>
      <c r="I4570" s="18"/>
      <c r="J4570" s="18"/>
      <c r="K4570" s="18"/>
      <c r="L4570" s="18"/>
    </row>
    <row r="4571" spans="1:12" ht="15" customHeight="1" x14ac:dyDescent="0.25">
      <c r="A4571" s="27" t="s">
        <v>46</v>
      </c>
      <c r="B4571" s="27"/>
      <c r="C4571" s="27"/>
      <c r="D4571" s="27"/>
      <c r="E4571" s="27"/>
      <c r="F4571" s="27"/>
      <c r="G4571" s="27"/>
      <c r="H4571" s="27"/>
      <c r="I4571" s="27"/>
      <c r="J4571" s="27"/>
      <c r="K4571" s="27">
        <v>0</v>
      </c>
      <c r="L4571" s="27"/>
    </row>
    <row r="4572" spans="1:12" ht="15" customHeight="1" x14ac:dyDescent="0.25">
      <c r="A4572" s="27" t="s">
        <v>47</v>
      </c>
      <c r="B4572" s="27"/>
      <c r="C4572" s="27"/>
      <c r="D4572" s="27"/>
      <c r="E4572" s="27"/>
      <c r="F4572" s="27"/>
      <c r="G4572" s="27"/>
      <c r="H4572" s="27"/>
      <c r="I4572" s="27"/>
      <c r="J4572" s="27"/>
      <c r="K4572" s="27">
        <v>1</v>
      </c>
      <c r="L4572" s="27"/>
    </row>
    <row r="4573" spans="1:12" ht="15" customHeight="1" x14ac:dyDescent="0.25">
      <c r="A4573" s="27" t="s">
        <v>48</v>
      </c>
      <c r="B4573" s="27"/>
      <c r="C4573" s="27"/>
      <c r="D4573" s="27"/>
      <c r="E4573" s="27"/>
      <c r="F4573" s="27"/>
      <c r="G4573" s="27"/>
      <c r="H4573" s="27"/>
      <c r="I4573" s="27"/>
      <c r="J4573" s="27"/>
      <c r="K4573" s="27">
        <v>0</v>
      </c>
      <c r="L4573" s="27"/>
    </row>
    <row r="4574" spans="1:12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</row>
    <row r="4575" spans="1:12" ht="15" customHeight="1" x14ac:dyDescent="0.25">
      <c r="A4575" s="10" t="s">
        <v>49</v>
      </c>
      <c r="B4575" s="11"/>
      <c r="C4575" s="11"/>
      <c r="D4575" s="11"/>
      <c r="E4575" s="12"/>
      <c r="F4575" s="8" t="s">
        <v>21</v>
      </c>
      <c r="G4575" s="8" t="s">
        <v>22</v>
      </c>
      <c r="H4575" s="9" t="s">
        <v>44</v>
      </c>
      <c r="I4575" s="13" t="s">
        <v>34</v>
      </c>
      <c r="J4575" s="14"/>
      <c r="K4575" s="13" t="s">
        <v>50</v>
      </c>
      <c r="L4575" s="14"/>
    </row>
    <row r="4576" spans="1:12" ht="15" customHeight="1" x14ac:dyDescent="0.25">
      <c r="A4576" s="21" t="s">
        <v>558</v>
      </c>
      <c r="B4576" s="22"/>
      <c r="C4576" s="22"/>
      <c r="D4576" s="22"/>
      <c r="E4576" s="23"/>
      <c r="F4576" s="19" t="str">
        <f>"043778"</f>
        <v>043778</v>
      </c>
      <c r="G4576" s="19" t="s">
        <v>81</v>
      </c>
      <c r="H4576" s="20">
        <v>0.41</v>
      </c>
      <c r="I4576" s="24">
        <v>1</v>
      </c>
      <c r="J4576" s="25"/>
      <c r="K4576" s="24">
        <v>0.41</v>
      </c>
      <c r="L4576" s="25"/>
    </row>
    <row r="4577" spans="1:12" ht="15" customHeight="1" x14ac:dyDescent="0.25">
      <c r="A4577" s="15" t="s">
        <v>51</v>
      </c>
      <c r="B4577" s="16"/>
      <c r="C4577" s="16"/>
      <c r="D4577" s="16"/>
      <c r="E4577" s="16"/>
      <c r="F4577" s="16"/>
      <c r="G4577" s="16"/>
      <c r="H4577" s="16"/>
      <c r="I4577" s="16"/>
      <c r="J4577" s="17"/>
      <c r="K4577" s="15">
        <v>0.41</v>
      </c>
      <c r="L4577" s="17"/>
    </row>
    <row r="4578" spans="1:12" x14ac:dyDescent="0.25">
      <c r="A4578" s="18"/>
      <c r="B4578" s="18"/>
      <c r="C4578" s="18"/>
      <c r="D4578" s="18"/>
      <c r="E4578" s="18"/>
      <c r="F4578" s="18"/>
      <c r="G4578" s="18"/>
      <c r="H4578" s="18"/>
      <c r="I4578" s="18"/>
      <c r="J4578" s="18"/>
      <c r="K4578" s="18"/>
      <c r="L4578" s="18"/>
    </row>
    <row r="4579" spans="1:12" ht="15" customHeight="1" x14ac:dyDescent="0.25">
      <c r="A4579" s="10" t="s">
        <v>52</v>
      </c>
      <c r="B4579" s="11"/>
      <c r="C4579" s="11"/>
      <c r="D4579" s="11"/>
      <c r="E4579" s="12"/>
      <c r="F4579" s="8" t="s">
        <v>21</v>
      </c>
      <c r="G4579" s="8" t="s">
        <v>22</v>
      </c>
      <c r="H4579" s="9" t="s">
        <v>44</v>
      </c>
      <c r="I4579" s="13" t="s">
        <v>34</v>
      </c>
      <c r="J4579" s="14"/>
      <c r="K4579" s="13" t="s">
        <v>50</v>
      </c>
      <c r="L4579" s="14"/>
    </row>
    <row r="4580" spans="1:12" ht="15" customHeight="1" x14ac:dyDescent="0.25">
      <c r="A4580" s="21" t="s">
        <v>559</v>
      </c>
      <c r="B4580" s="22"/>
      <c r="C4580" s="22"/>
      <c r="D4580" s="22"/>
      <c r="E4580" s="23"/>
      <c r="F4580" s="19" t="s">
        <v>560</v>
      </c>
      <c r="G4580" s="19" t="s">
        <v>84</v>
      </c>
      <c r="H4580" s="20">
        <v>1</v>
      </c>
      <c r="I4580" s="24" t="s">
        <v>164</v>
      </c>
      <c r="J4580" s="25"/>
      <c r="K4580" s="24" t="s">
        <v>164</v>
      </c>
      <c r="L4580" s="25"/>
    </row>
    <row r="4581" spans="1:12" ht="15" customHeight="1" x14ac:dyDescent="0.25">
      <c r="A4581" s="15" t="s">
        <v>53</v>
      </c>
      <c r="B4581" s="16"/>
      <c r="C4581" s="16"/>
      <c r="D4581" s="16"/>
      <c r="E4581" s="16"/>
      <c r="F4581" s="16"/>
      <c r="G4581" s="16"/>
      <c r="H4581" s="16"/>
      <c r="I4581" s="16"/>
      <c r="J4581" s="17"/>
      <c r="K4581" s="15">
        <v>9.58</v>
      </c>
      <c r="L4581" s="17"/>
    </row>
    <row r="4582" spans="1:12" x14ac:dyDescent="0.25">
      <c r="A4582" s="18"/>
      <c r="B4582" s="18"/>
      <c r="C4582" s="18"/>
      <c r="D4582" s="18"/>
      <c r="E4582" s="18"/>
      <c r="F4582" s="18"/>
      <c r="G4582" s="18"/>
      <c r="H4582" s="18"/>
      <c r="I4582" s="18"/>
      <c r="J4582" s="18"/>
      <c r="K4582" s="18"/>
      <c r="L4582" s="18"/>
    </row>
    <row r="4583" spans="1:12" ht="15" customHeight="1" x14ac:dyDescent="0.25">
      <c r="A4583" s="10" t="s">
        <v>54</v>
      </c>
      <c r="B4583" s="11"/>
      <c r="C4583" s="12"/>
      <c r="D4583" s="8" t="s">
        <v>21</v>
      </c>
      <c r="E4583" s="8" t="s">
        <v>22</v>
      </c>
      <c r="F4583" s="9" t="s">
        <v>55</v>
      </c>
      <c r="G4583" s="8" t="s">
        <v>56</v>
      </c>
      <c r="H4583" s="8" t="s">
        <v>57</v>
      </c>
      <c r="I4583" s="8" t="s">
        <v>58</v>
      </c>
      <c r="J4583" s="9" t="s">
        <v>59</v>
      </c>
      <c r="K4583" s="9" t="s">
        <v>34</v>
      </c>
      <c r="L4583" s="9" t="s">
        <v>50</v>
      </c>
    </row>
    <row r="4584" spans="1:12" ht="15" customHeight="1" x14ac:dyDescent="0.25">
      <c r="A4584" s="15" t="s">
        <v>60</v>
      </c>
      <c r="B4584" s="16"/>
      <c r="C4584" s="16"/>
      <c r="D4584" s="16"/>
      <c r="E4584" s="16"/>
      <c r="F4584" s="16"/>
      <c r="G4584" s="16"/>
      <c r="H4584" s="16"/>
      <c r="I4584" s="16"/>
      <c r="J4584" s="17"/>
      <c r="K4584" s="15">
        <v>0</v>
      </c>
      <c r="L4584" s="17"/>
    </row>
    <row r="4585" spans="1:12" x14ac:dyDescent="0.25">
      <c r="A4585" s="18"/>
      <c r="B4585" s="18"/>
      <c r="C4585" s="18"/>
      <c r="D4585" s="18"/>
      <c r="E4585" s="18"/>
      <c r="F4585" s="18"/>
      <c r="G4585" s="18"/>
      <c r="H4585" s="18"/>
      <c r="I4585" s="18"/>
      <c r="J4585" s="18"/>
      <c r="K4585" s="18"/>
      <c r="L4585" s="18"/>
    </row>
    <row r="4586" spans="1:12" ht="15" customHeight="1" x14ac:dyDescent="0.25">
      <c r="A4586" s="27" t="s">
        <v>61</v>
      </c>
      <c r="B4586" s="27"/>
      <c r="C4586" s="27"/>
      <c r="D4586" s="27"/>
      <c r="E4586" s="27"/>
      <c r="F4586" s="27"/>
      <c r="G4586" s="27"/>
      <c r="H4586" s="27"/>
      <c r="I4586" s="27"/>
      <c r="J4586" s="27"/>
      <c r="K4586" s="27">
        <v>9.99</v>
      </c>
      <c r="L4586" s="27"/>
    </row>
    <row r="4587" spans="1:12" ht="15" customHeight="1" x14ac:dyDescent="0.25">
      <c r="A4587" s="27" t="s">
        <v>62</v>
      </c>
      <c r="B4587" s="27"/>
      <c r="C4587" s="27"/>
      <c r="D4587" s="27"/>
      <c r="E4587" s="27"/>
      <c r="F4587" s="27"/>
      <c r="G4587" s="27"/>
      <c r="H4587" s="27"/>
      <c r="I4587" s="27"/>
      <c r="J4587" s="27"/>
      <c r="K4587" s="27">
        <v>3.32</v>
      </c>
      <c r="L4587" s="27"/>
    </row>
    <row r="4588" spans="1:12" ht="15" customHeight="1" x14ac:dyDescent="0.25">
      <c r="A4588" s="27" t="s">
        <v>63</v>
      </c>
      <c r="B4588" s="27"/>
      <c r="C4588" s="27"/>
      <c r="D4588" s="27"/>
      <c r="E4588" s="27"/>
      <c r="F4588" s="27"/>
      <c r="G4588" s="27"/>
      <c r="H4588" s="27"/>
      <c r="I4588" s="27"/>
      <c r="J4588" s="27"/>
      <c r="K4588" s="27">
        <v>13.31</v>
      </c>
      <c r="L4588" s="27"/>
    </row>
    <row r="4589" spans="1:12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</row>
    <row r="4590" spans="1:12" ht="15" customHeight="1" x14ac:dyDescent="0.25">
      <c r="A4590" s="3" t="s">
        <v>8</v>
      </c>
      <c r="B4590" s="6" t="s">
        <v>9</v>
      </c>
      <c r="C4590" s="6"/>
      <c r="D4590" s="6"/>
      <c r="E4590" s="6"/>
      <c r="F4590" s="6"/>
      <c r="G4590" s="6"/>
      <c r="H4590" s="6"/>
      <c r="I4590" s="6"/>
      <c r="J4590" s="6"/>
      <c r="K4590" s="6"/>
      <c r="L4590" s="6"/>
    </row>
    <row r="4591" spans="1:12" ht="15" customHeight="1" x14ac:dyDescent="0.25">
      <c r="A4591" s="3" t="s">
        <v>10</v>
      </c>
      <c r="B4591" s="6" t="s">
        <v>561</v>
      </c>
      <c r="C4591" s="6"/>
      <c r="D4591" s="6"/>
      <c r="E4591" s="6"/>
      <c r="F4591" s="6"/>
      <c r="G4591" s="6"/>
      <c r="H4591" s="6"/>
      <c r="I4591" s="6"/>
      <c r="J4591" s="6"/>
      <c r="K4591" s="3" t="s">
        <v>12</v>
      </c>
      <c r="L4591" s="4" t="s">
        <v>84</v>
      </c>
    </row>
    <row r="4592" spans="1:12" ht="15" customHeight="1" x14ac:dyDescent="0.25">
      <c r="A4592" s="3" t="s">
        <v>14</v>
      </c>
      <c r="B4592" s="6" t="s">
        <v>88</v>
      </c>
      <c r="C4592" s="6"/>
      <c r="D4592" s="7" t="s">
        <v>16</v>
      </c>
      <c r="E4592" s="7"/>
      <c r="F4592" s="6" t="str">
        <f>"2A87.000267"</f>
        <v>2A87.000267</v>
      </c>
      <c r="G4592" s="6"/>
      <c r="H4592" s="3" t="s">
        <v>17</v>
      </c>
      <c r="I4592" s="6" t="s">
        <v>89</v>
      </c>
      <c r="J4592" s="6"/>
      <c r="K4592" s="3" t="s">
        <v>19</v>
      </c>
      <c r="L4592" s="5">
        <v>1</v>
      </c>
    </row>
    <row r="4593" spans="1:12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</row>
    <row r="4594" spans="1:12" ht="15" customHeight="1" x14ac:dyDescent="0.25">
      <c r="A4594" s="10" t="s">
        <v>20</v>
      </c>
      <c r="B4594" s="11"/>
      <c r="C4594" s="12"/>
      <c r="D4594" s="8" t="s">
        <v>21</v>
      </c>
      <c r="E4594" s="8" t="s">
        <v>22</v>
      </c>
      <c r="F4594" s="9" t="s">
        <v>23</v>
      </c>
      <c r="G4594" s="9" t="s">
        <v>24</v>
      </c>
      <c r="H4594" s="9" t="s">
        <v>25</v>
      </c>
      <c r="I4594" s="9" t="s">
        <v>26</v>
      </c>
      <c r="J4594" s="9" t="s">
        <v>27</v>
      </c>
      <c r="K4594" s="13" t="s">
        <v>28</v>
      </c>
      <c r="L4594" s="14"/>
    </row>
    <row r="4595" spans="1:12" ht="15" customHeight="1" x14ac:dyDescent="0.25">
      <c r="A4595" s="15" t="s">
        <v>29</v>
      </c>
      <c r="B4595" s="16"/>
      <c r="C4595" s="16"/>
      <c r="D4595" s="16"/>
      <c r="E4595" s="16"/>
      <c r="F4595" s="16"/>
      <c r="G4595" s="16"/>
      <c r="H4595" s="16"/>
      <c r="I4595" s="16"/>
      <c r="J4595" s="17"/>
      <c r="K4595" s="15">
        <v>0</v>
      </c>
      <c r="L4595" s="17"/>
    </row>
    <row r="4596" spans="1:12" x14ac:dyDescent="0.25">
      <c r="A4596" s="18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8"/>
    </row>
    <row r="4597" spans="1:12" ht="15" customHeight="1" x14ac:dyDescent="0.25">
      <c r="A4597" s="10" t="s">
        <v>30</v>
      </c>
      <c r="B4597" s="11"/>
      <c r="C4597" s="12"/>
      <c r="D4597" s="8" t="s">
        <v>21</v>
      </c>
      <c r="E4597" s="8" t="s">
        <v>22</v>
      </c>
      <c r="F4597" s="9" t="s">
        <v>31</v>
      </c>
      <c r="G4597" s="9" t="s">
        <v>32</v>
      </c>
      <c r="H4597" s="9" t="s">
        <v>33</v>
      </c>
      <c r="I4597" s="13" t="s">
        <v>34</v>
      </c>
      <c r="J4597" s="14"/>
      <c r="K4597" s="13" t="s">
        <v>28</v>
      </c>
      <c r="L4597" s="14"/>
    </row>
    <row r="4598" spans="1:12" ht="15" customHeight="1" x14ac:dyDescent="0.25">
      <c r="A4598" s="15" t="s">
        <v>38</v>
      </c>
      <c r="B4598" s="16"/>
      <c r="C4598" s="16"/>
      <c r="D4598" s="16"/>
      <c r="E4598" s="16"/>
      <c r="F4598" s="16"/>
      <c r="G4598" s="16"/>
      <c r="H4598" s="16"/>
      <c r="I4598" s="16"/>
      <c r="J4598" s="17"/>
      <c r="K4598" s="15">
        <v>0</v>
      </c>
      <c r="L4598" s="17"/>
    </row>
    <row r="4599" spans="1:12" x14ac:dyDescent="0.25">
      <c r="A4599" s="18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8"/>
    </row>
    <row r="4600" spans="1:12" ht="15" customHeight="1" x14ac:dyDescent="0.25">
      <c r="A4600" s="10" t="s">
        <v>39</v>
      </c>
      <c r="B4600" s="11"/>
      <c r="C4600" s="12"/>
      <c r="D4600" s="8" t="s">
        <v>21</v>
      </c>
      <c r="E4600" s="13" t="s">
        <v>40</v>
      </c>
      <c r="F4600" s="14"/>
      <c r="G4600" s="8" t="s">
        <v>41</v>
      </c>
      <c r="H4600" s="8" t="s">
        <v>42</v>
      </c>
      <c r="I4600" s="8" t="s">
        <v>43</v>
      </c>
      <c r="J4600" s="13" t="s">
        <v>44</v>
      </c>
      <c r="K4600" s="26"/>
      <c r="L4600" s="14"/>
    </row>
    <row r="4601" spans="1:12" ht="15" customHeight="1" x14ac:dyDescent="0.25">
      <c r="A4601" s="15" t="s">
        <v>45</v>
      </c>
      <c r="B4601" s="16"/>
      <c r="C4601" s="16"/>
      <c r="D4601" s="16"/>
      <c r="E4601" s="16"/>
      <c r="F4601" s="16"/>
      <c r="G4601" s="16"/>
      <c r="H4601" s="16"/>
      <c r="I4601" s="16"/>
      <c r="J4601" s="17"/>
      <c r="K4601" s="15">
        <v>0</v>
      </c>
      <c r="L4601" s="17"/>
    </row>
    <row r="4602" spans="1:12" x14ac:dyDescent="0.25">
      <c r="A4602" s="18"/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8"/>
    </row>
    <row r="4603" spans="1:12" ht="15" customHeight="1" x14ac:dyDescent="0.25">
      <c r="A4603" s="27" t="s">
        <v>46</v>
      </c>
      <c r="B4603" s="27"/>
      <c r="C4603" s="27"/>
      <c r="D4603" s="27"/>
      <c r="E4603" s="27"/>
      <c r="F4603" s="27"/>
      <c r="G4603" s="27"/>
      <c r="H4603" s="27"/>
      <c r="I4603" s="27"/>
      <c r="J4603" s="27"/>
      <c r="K4603" s="27">
        <v>0</v>
      </c>
      <c r="L4603" s="27"/>
    </row>
    <row r="4604" spans="1:12" ht="15" customHeight="1" x14ac:dyDescent="0.25">
      <c r="A4604" s="27" t="s">
        <v>47</v>
      </c>
      <c r="B4604" s="27"/>
      <c r="C4604" s="27"/>
      <c r="D4604" s="27"/>
      <c r="E4604" s="27"/>
      <c r="F4604" s="27"/>
      <c r="G4604" s="27"/>
      <c r="H4604" s="27"/>
      <c r="I4604" s="27"/>
      <c r="J4604" s="27"/>
      <c r="K4604" s="27">
        <v>1</v>
      </c>
      <c r="L4604" s="27"/>
    </row>
    <row r="4605" spans="1:12" ht="15" customHeight="1" x14ac:dyDescent="0.25">
      <c r="A4605" s="27" t="s">
        <v>48</v>
      </c>
      <c r="B4605" s="27"/>
      <c r="C4605" s="27"/>
      <c r="D4605" s="27"/>
      <c r="E4605" s="27"/>
      <c r="F4605" s="27"/>
      <c r="G4605" s="27"/>
      <c r="H4605" s="27"/>
      <c r="I4605" s="27"/>
      <c r="J4605" s="27"/>
      <c r="K4605" s="27">
        <v>0</v>
      </c>
      <c r="L4605" s="27"/>
    </row>
    <row r="4606" spans="1:12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</row>
    <row r="4607" spans="1:12" ht="15" customHeight="1" x14ac:dyDescent="0.25">
      <c r="A4607" s="10" t="s">
        <v>49</v>
      </c>
      <c r="B4607" s="11"/>
      <c r="C4607" s="11"/>
      <c r="D4607" s="11"/>
      <c r="E4607" s="12"/>
      <c r="F4607" s="8" t="s">
        <v>21</v>
      </c>
      <c r="G4607" s="8" t="s">
        <v>22</v>
      </c>
      <c r="H4607" s="9" t="s">
        <v>44</v>
      </c>
      <c r="I4607" s="13" t="s">
        <v>34</v>
      </c>
      <c r="J4607" s="14"/>
      <c r="K4607" s="13" t="s">
        <v>50</v>
      </c>
      <c r="L4607" s="14"/>
    </row>
    <row r="4608" spans="1:12" ht="15" customHeight="1" x14ac:dyDescent="0.25">
      <c r="A4608" s="21" t="s">
        <v>562</v>
      </c>
      <c r="B4608" s="22"/>
      <c r="C4608" s="22"/>
      <c r="D4608" s="22"/>
      <c r="E4608" s="23"/>
      <c r="F4608" s="19" t="str">
        <f>"048842"</f>
        <v>048842</v>
      </c>
      <c r="G4608" s="19" t="s">
        <v>81</v>
      </c>
      <c r="H4608" s="20">
        <v>0.82</v>
      </c>
      <c r="I4608" s="24">
        <v>1</v>
      </c>
      <c r="J4608" s="25"/>
      <c r="K4608" s="24">
        <v>0.82</v>
      </c>
      <c r="L4608" s="25"/>
    </row>
    <row r="4609" spans="1:12" ht="15" customHeight="1" x14ac:dyDescent="0.25">
      <c r="A4609" s="15" t="s">
        <v>51</v>
      </c>
      <c r="B4609" s="16"/>
      <c r="C4609" s="16"/>
      <c r="D4609" s="16"/>
      <c r="E4609" s="16"/>
      <c r="F4609" s="16"/>
      <c r="G4609" s="16"/>
      <c r="H4609" s="16"/>
      <c r="I4609" s="16"/>
      <c r="J4609" s="17"/>
      <c r="K4609" s="15">
        <v>0.82</v>
      </c>
      <c r="L4609" s="17"/>
    </row>
    <row r="4610" spans="1:12" x14ac:dyDescent="0.25">
      <c r="A4610" s="18"/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8"/>
    </row>
    <row r="4611" spans="1:12" ht="15" customHeight="1" x14ac:dyDescent="0.25">
      <c r="A4611" s="10" t="s">
        <v>52</v>
      </c>
      <c r="B4611" s="11"/>
      <c r="C4611" s="11"/>
      <c r="D4611" s="11"/>
      <c r="E4611" s="12"/>
      <c r="F4611" s="8" t="s">
        <v>21</v>
      </c>
      <c r="G4611" s="8" t="s">
        <v>22</v>
      </c>
      <c r="H4611" s="9" t="s">
        <v>44</v>
      </c>
      <c r="I4611" s="13" t="s">
        <v>34</v>
      </c>
      <c r="J4611" s="14"/>
      <c r="K4611" s="13" t="s">
        <v>50</v>
      </c>
      <c r="L4611" s="14"/>
    </row>
    <row r="4612" spans="1:12" ht="15" customHeight="1" x14ac:dyDescent="0.25">
      <c r="A4612" s="21" t="s">
        <v>559</v>
      </c>
      <c r="B4612" s="22"/>
      <c r="C4612" s="22"/>
      <c r="D4612" s="22"/>
      <c r="E4612" s="23"/>
      <c r="F4612" s="19" t="s">
        <v>563</v>
      </c>
      <c r="G4612" s="19" t="s">
        <v>84</v>
      </c>
      <c r="H4612" s="20">
        <v>1</v>
      </c>
      <c r="I4612" s="24" t="s">
        <v>164</v>
      </c>
      <c r="J4612" s="25"/>
      <c r="K4612" s="24" t="s">
        <v>164</v>
      </c>
      <c r="L4612" s="25"/>
    </row>
    <row r="4613" spans="1:12" ht="15" customHeight="1" x14ac:dyDescent="0.25">
      <c r="A4613" s="15" t="s">
        <v>53</v>
      </c>
      <c r="B4613" s="16"/>
      <c r="C4613" s="16"/>
      <c r="D4613" s="16"/>
      <c r="E4613" s="16"/>
      <c r="F4613" s="16"/>
      <c r="G4613" s="16"/>
      <c r="H4613" s="16"/>
      <c r="I4613" s="16"/>
      <c r="J4613" s="17"/>
      <c r="K4613" s="15">
        <v>9.58</v>
      </c>
      <c r="L4613" s="17"/>
    </row>
    <row r="4614" spans="1:12" x14ac:dyDescent="0.25">
      <c r="A4614" s="18"/>
      <c r="B4614" s="18"/>
      <c r="C4614" s="18"/>
      <c r="D4614" s="18"/>
      <c r="E4614" s="18"/>
      <c r="F4614" s="18"/>
      <c r="G4614" s="18"/>
      <c r="H4614" s="18"/>
      <c r="I4614" s="18"/>
      <c r="J4614" s="18"/>
      <c r="K4614" s="18"/>
      <c r="L4614" s="18"/>
    </row>
    <row r="4615" spans="1:12" ht="15" customHeight="1" x14ac:dyDescent="0.25">
      <c r="A4615" s="10" t="s">
        <v>54</v>
      </c>
      <c r="B4615" s="11"/>
      <c r="C4615" s="12"/>
      <c r="D4615" s="8" t="s">
        <v>21</v>
      </c>
      <c r="E4615" s="8" t="s">
        <v>22</v>
      </c>
      <c r="F4615" s="9" t="s">
        <v>55</v>
      </c>
      <c r="G4615" s="8" t="s">
        <v>56</v>
      </c>
      <c r="H4615" s="8" t="s">
        <v>57</v>
      </c>
      <c r="I4615" s="8" t="s">
        <v>58</v>
      </c>
      <c r="J4615" s="9" t="s">
        <v>59</v>
      </c>
      <c r="K4615" s="9" t="s">
        <v>34</v>
      </c>
      <c r="L4615" s="9" t="s">
        <v>50</v>
      </c>
    </row>
    <row r="4616" spans="1:12" ht="15" customHeight="1" x14ac:dyDescent="0.25">
      <c r="A4616" s="15" t="s">
        <v>60</v>
      </c>
      <c r="B4616" s="16"/>
      <c r="C4616" s="16"/>
      <c r="D4616" s="16"/>
      <c r="E4616" s="16"/>
      <c r="F4616" s="16"/>
      <c r="G4616" s="16"/>
      <c r="H4616" s="16"/>
      <c r="I4616" s="16"/>
      <c r="J4616" s="17"/>
      <c r="K4616" s="15">
        <v>0</v>
      </c>
      <c r="L4616" s="17"/>
    </row>
    <row r="4617" spans="1:12" x14ac:dyDescent="0.25">
      <c r="A4617" s="18"/>
      <c r="B4617" s="18"/>
      <c r="C4617" s="18"/>
      <c r="D4617" s="18"/>
      <c r="E4617" s="18"/>
      <c r="F4617" s="18"/>
      <c r="G4617" s="18"/>
      <c r="H4617" s="18"/>
      <c r="I4617" s="18"/>
      <c r="J4617" s="18"/>
      <c r="K4617" s="18"/>
      <c r="L4617" s="18"/>
    </row>
    <row r="4618" spans="1:12" ht="15" customHeight="1" x14ac:dyDescent="0.25">
      <c r="A4618" s="27" t="s">
        <v>61</v>
      </c>
      <c r="B4618" s="27"/>
      <c r="C4618" s="27"/>
      <c r="D4618" s="27"/>
      <c r="E4618" s="27"/>
      <c r="F4618" s="27"/>
      <c r="G4618" s="27"/>
      <c r="H4618" s="27"/>
      <c r="I4618" s="27"/>
      <c r="J4618" s="27"/>
      <c r="K4618" s="27">
        <v>10.4</v>
      </c>
      <c r="L4618" s="27"/>
    </row>
    <row r="4619" spans="1:12" ht="15" customHeight="1" x14ac:dyDescent="0.25">
      <c r="A4619" s="27" t="s">
        <v>62</v>
      </c>
      <c r="B4619" s="27"/>
      <c r="C4619" s="27"/>
      <c r="D4619" s="27"/>
      <c r="E4619" s="27"/>
      <c r="F4619" s="27"/>
      <c r="G4619" s="27"/>
      <c r="H4619" s="27"/>
      <c r="I4619" s="27"/>
      <c r="J4619" s="27"/>
      <c r="K4619" s="27">
        <v>3.46</v>
      </c>
      <c r="L4619" s="27"/>
    </row>
    <row r="4620" spans="1:12" ht="15" customHeight="1" x14ac:dyDescent="0.25">
      <c r="A4620" s="27" t="s">
        <v>63</v>
      </c>
      <c r="B4620" s="27"/>
      <c r="C4620" s="27"/>
      <c r="D4620" s="27"/>
      <c r="E4620" s="27"/>
      <c r="F4620" s="27"/>
      <c r="G4620" s="27"/>
      <c r="H4620" s="27"/>
      <c r="I4620" s="27"/>
      <c r="J4620" s="27"/>
      <c r="K4620" s="27">
        <v>13.86</v>
      </c>
      <c r="L4620" s="27"/>
    </row>
    <row r="4621" spans="1:12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</row>
    <row r="4622" spans="1:12" ht="15" customHeight="1" x14ac:dyDescent="0.25">
      <c r="A4622" s="3" t="s">
        <v>8</v>
      </c>
      <c r="B4622" s="6" t="s">
        <v>9</v>
      </c>
      <c r="C4622" s="6"/>
      <c r="D4622" s="6"/>
      <c r="E4622" s="6"/>
      <c r="F4622" s="6"/>
      <c r="G4622" s="6"/>
      <c r="H4622" s="6"/>
      <c r="I4622" s="6"/>
      <c r="J4622" s="6"/>
      <c r="K4622" s="6"/>
      <c r="L4622" s="6"/>
    </row>
    <row r="4623" spans="1:12" ht="15" customHeight="1" x14ac:dyDescent="0.25">
      <c r="A4623" s="3" t="s">
        <v>10</v>
      </c>
      <c r="B4623" s="6" t="s">
        <v>564</v>
      </c>
      <c r="C4623" s="6"/>
      <c r="D4623" s="6"/>
      <c r="E4623" s="6"/>
      <c r="F4623" s="6"/>
      <c r="G4623" s="6"/>
      <c r="H4623" s="6"/>
      <c r="I4623" s="6"/>
      <c r="J4623" s="6"/>
      <c r="K4623" s="3" t="s">
        <v>12</v>
      </c>
      <c r="L4623" s="4" t="s">
        <v>84</v>
      </c>
    </row>
    <row r="4624" spans="1:12" ht="15" customHeight="1" x14ac:dyDescent="0.25">
      <c r="A4624" s="3" t="s">
        <v>14</v>
      </c>
      <c r="B4624" s="6" t="s">
        <v>88</v>
      </c>
      <c r="C4624" s="6"/>
      <c r="D4624" s="7" t="s">
        <v>16</v>
      </c>
      <c r="E4624" s="7"/>
      <c r="F4624" s="6" t="str">
        <f>"2A87.000268"</f>
        <v>2A87.000268</v>
      </c>
      <c r="G4624" s="6"/>
      <c r="H4624" s="3" t="s">
        <v>17</v>
      </c>
      <c r="I4624" s="6" t="s">
        <v>89</v>
      </c>
      <c r="J4624" s="6"/>
      <c r="K4624" s="3" t="s">
        <v>19</v>
      </c>
      <c r="L4624" s="5">
        <v>1</v>
      </c>
    </row>
    <row r="4625" spans="1:12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</row>
    <row r="4626" spans="1:12" ht="15" customHeight="1" x14ac:dyDescent="0.25">
      <c r="A4626" s="10" t="s">
        <v>20</v>
      </c>
      <c r="B4626" s="11"/>
      <c r="C4626" s="12"/>
      <c r="D4626" s="8" t="s">
        <v>21</v>
      </c>
      <c r="E4626" s="8" t="s">
        <v>22</v>
      </c>
      <c r="F4626" s="9" t="s">
        <v>23</v>
      </c>
      <c r="G4626" s="9" t="s">
        <v>24</v>
      </c>
      <c r="H4626" s="9" t="s">
        <v>25</v>
      </c>
      <c r="I4626" s="9" t="s">
        <v>26</v>
      </c>
      <c r="J4626" s="9" t="s">
        <v>27</v>
      </c>
      <c r="K4626" s="13" t="s">
        <v>28</v>
      </c>
      <c r="L4626" s="14"/>
    </row>
    <row r="4627" spans="1:12" ht="15" customHeight="1" x14ac:dyDescent="0.25">
      <c r="A4627" s="15" t="s">
        <v>29</v>
      </c>
      <c r="B4627" s="16"/>
      <c r="C4627" s="16"/>
      <c r="D4627" s="16"/>
      <c r="E4627" s="16"/>
      <c r="F4627" s="16"/>
      <c r="G4627" s="16"/>
      <c r="H4627" s="16"/>
      <c r="I4627" s="16"/>
      <c r="J4627" s="17"/>
      <c r="K4627" s="15">
        <v>0</v>
      </c>
      <c r="L4627" s="17"/>
    </row>
    <row r="4628" spans="1:12" x14ac:dyDescent="0.25">
      <c r="A4628" s="18"/>
      <c r="B4628" s="18"/>
      <c r="C4628" s="18"/>
      <c r="D4628" s="18"/>
      <c r="E4628" s="18"/>
      <c r="F4628" s="18"/>
      <c r="G4628" s="18"/>
      <c r="H4628" s="18"/>
      <c r="I4628" s="18"/>
      <c r="J4628" s="18"/>
      <c r="K4628" s="18"/>
      <c r="L4628" s="18"/>
    </row>
    <row r="4629" spans="1:12" ht="15" customHeight="1" x14ac:dyDescent="0.25">
      <c r="A4629" s="10" t="s">
        <v>30</v>
      </c>
      <c r="B4629" s="11"/>
      <c r="C4629" s="12"/>
      <c r="D4629" s="8" t="s">
        <v>21</v>
      </c>
      <c r="E4629" s="8" t="s">
        <v>22</v>
      </c>
      <c r="F4629" s="9" t="s">
        <v>31</v>
      </c>
      <c r="G4629" s="9" t="s">
        <v>32</v>
      </c>
      <c r="H4629" s="9" t="s">
        <v>33</v>
      </c>
      <c r="I4629" s="13" t="s">
        <v>34</v>
      </c>
      <c r="J4629" s="14"/>
      <c r="K4629" s="13" t="s">
        <v>28</v>
      </c>
      <c r="L4629" s="14"/>
    </row>
    <row r="4630" spans="1:12" ht="15" customHeight="1" x14ac:dyDescent="0.25">
      <c r="A4630" s="15" t="s">
        <v>38</v>
      </c>
      <c r="B4630" s="16"/>
      <c r="C4630" s="16"/>
      <c r="D4630" s="16"/>
      <c r="E4630" s="16"/>
      <c r="F4630" s="16"/>
      <c r="G4630" s="16"/>
      <c r="H4630" s="16"/>
      <c r="I4630" s="16"/>
      <c r="J4630" s="17"/>
      <c r="K4630" s="15">
        <v>0</v>
      </c>
      <c r="L4630" s="17"/>
    </row>
    <row r="4631" spans="1:12" x14ac:dyDescent="0.25">
      <c r="A4631" s="18"/>
      <c r="B4631" s="18"/>
      <c r="C4631" s="18"/>
      <c r="D4631" s="18"/>
      <c r="E4631" s="18"/>
      <c r="F4631" s="18"/>
      <c r="G4631" s="18"/>
      <c r="H4631" s="18"/>
      <c r="I4631" s="18"/>
      <c r="J4631" s="18"/>
      <c r="K4631" s="18"/>
      <c r="L4631" s="18"/>
    </row>
    <row r="4632" spans="1:12" ht="15" customHeight="1" x14ac:dyDescent="0.25">
      <c r="A4632" s="10" t="s">
        <v>39</v>
      </c>
      <c r="B4632" s="11"/>
      <c r="C4632" s="12"/>
      <c r="D4632" s="8" t="s">
        <v>21</v>
      </c>
      <c r="E4632" s="13" t="s">
        <v>40</v>
      </c>
      <c r="F4632" s="14"/>
      <c r="G4632" s="8" t="s">
        <v>41</v>
      </c>
      <c r="H4632" s="8" t="s">
        <v>42</v>
      </c>
      <c r="I4632" s="8" t="s">
        <v>43</v>
      </c>
      <c r="J4632" s="13" t="s">
        <v>44</v>
      </c>
      <c r="K4632" s="26"/>
      <c r="L4632" s="14"/>
    </row>
    <row r="4633" spans="1:12" ht="15" customHeight="1" x14ac:dyDescent="0.25">
      <c r="A4633" s="15" t="s">
        <v>45</v>
      </c>
      <c r="B4633" s="16"/>
      <c r="C4633" s="16"/>
      <c r="D4633" s="16"/>
      <c r="E4633" s="16"/>
      <c r="F4633" s="16"/>
      <c r="G4633" s="16"/>
      <c r="H4633" s="16"/>
      <c r="I4633" s="16"/>
      <c r="J4633" s="17"/>
      <c r="K4633" s="15">
        <v>0</v>
      </c>
      <c r="L4633" s="17"/>
    </row>
    <row r="4634" spans="1:12" x14ac:dyDescent="0.25">
      <c r="A4634" s="18"/>
      <c r="B4634" s="18"/>
      <c r="C4634" s="18"/>
      <c r="D4634" s="18"/>
      <c r="E4634" s="18"/>
      <c r="F4634" s="18"/>
      <c r="G4634" s="18"/>
      <c r="H4634" s="18"/>
      <c r="I4634" s="18"/>
      <c r="J4634" s="18"/>
      <c r="K4634" s="18"/>
      <c r="L4634" s="18"/>
    </row>
    <row r="4635" spans="1:12" ht="15" customHeight="1" x14ac:dyDescent="0.25">
      <c r="A4635" s="27" t="s">
        <v>46</v>
      </c>
      <c r="B4635" s="27"/>
      <c r="C4635" s="27"/>
      <c r="D4635" s="27"/>
      <c r="E4635" s="27"/>
      <c r="F4635" s="27"/>
      <c r="G4635" s="27"/>
      <c r="H4635" s="27"/>
      <c r="I4635" s="27"/>
      <c r="J4635" s="27"/>
      <c r="K4635" s="27">
        <v>0</v>
      </c>
      <c r="L4635" s="27"/>
    </row>
    <row r="4636" spans="1:12" ht="15" customHeight="1" x14ac:dyDescent="0.25">
      <c r="A4636" s="27" t="s">
        <v>47</v>
      </c>
      <c r="B4636" s="27"/>
      <c r="C4636" s="27"/>
      <c r="D4636" s="27"/>
      <c r="E4636" s="27"/>
      <c r="F4636" s="27"/>
      <c r="G4636" s="27"/>
      <c r="H4636" s="27"/>
      <c r="I4636" s="27"/>
      <c r="J4636" s="27"/>
      <c r="K4636" s="27">
        <v>1</v>
      </c>
      <c r="L4636" s="27"/>
    </row>
    <row r="4637" spans="1:12" ht="15" customHeight="1" x14ac:dyDescent="0.25">
      <c r="A4637" s="27" t="s">
        <v>48</v>
      </c>
      <c r="B4637" s="27"/>
      <c r="C4637" s="27"/>
      <c r="D4637" s="27"/>
      <c r="E4637" s="27"/>
      <c r="F4637" s="27"/>
      <c r="G4637" s="27"/>
      <c r="H4637" s="27"/>
      <c r="I4637" s="27"/>
      <c r="J4637" s="27"/>
      <c r="K4637" s="27">
        <v>0</v>
      </c>
      <c r="L4637" s="27"/>
    </row>
    <row r="4638" spans="1:12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</row>
    <row r="4639" spans="1:12" ht="15" customHeight="1" x14ac:dyDescent="0.25">
      <c r="A4639" s="10" t="s">
        <v>49</v>
      </c>
      <c r="B4639" s="11"/>
      <c r="C4639" s="11"/>
      <c r="D4639" s="11"/>
      <c r="E4639" s="12"/>
      <c r="F4639" s="8" t="s">
        <v>21</v>
      </c>
      <c r="G4639" s="8" t="s">
        <v>22</v>
      </c>
      <c r="H4639" s="9" t="s">
        <v>44</v>
      </c>
      <c r="I4639" s="13" t="s">
        <v>34</v>
      </c>
      <c r="J4639" s="14"/>
      <c r="K4639" s="13" t="s">
        <v>50</v>
      </c>
      <c r="L4639" s="14"/>
    </row>
    <row r="4640" spans="1:12" ht="15" customHeight="1" x14ac:dyDescent="0.25">
      <c r="A4640" s="21" t="s">
        <v>565</v>
      </c>
      <c r="B4640" s="22"/>
      <c r="C4640" s="22"/>
      <c r="D4640" s="22"/>
      <c r="E4640" s="23"/>
      <c r="F4640" s="19" t="str">
        <f>"048843"</f>
        <v>048843</v>
      </c>
      <c r="G4640" s="19" t="s">
        <v>81</v>
      </c>
      <c r="H4640" s="20">
        <v>0.82</v>
      </c>
      <c r="I4640" s="24">
        <v>1</v>
      </c>
      <c r="J4640" s="25"/>
      <c r="K4640" s="24">
        <v>0.82</v>
      </c>
      <c r="L4640" s="25"/>
    </row>
    <row r="4641" spans="1:12" ht="15" customHeight="1" x14ac:dyDescent="0.25">
      <c r="A4641" s="15" t="s">
        <v>51</v>
      </c>
      <c r="B4641" s="16"/>
      <c r="C4641" s="16"/>
      <c r="D4641" s="16"/>
      <c r="E4641" s="16"/>
      <c r="F4641" s="16"/>
      <c r="G4641" s="16"/>
      <c r="H4641" s="16"/>
      <c r="I4641" s="16"/>
      <c r="J4641" s="17"/>
      <c r="K4641" s="15">
        <v>0.82</v>
      </c>
      <c r="L4641" s="17"/>
    </row>
    <row r="4642" spans="1:12" x14ac:dyDescent="0.25">
      <c r="A4642" s="18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8"/>
    </row>
    <row r="4643" spans="1:12" ht="15" customHeight="1" x14ac:dyDescent="0.25">
      <c r="A4643" s="10" t="s">
        <v>52</v>
      </c>
      <c r="B4643" s="11"/>
      <c r="C4643" s="11"/>
      <c r="D4643" s="11"/>
      <c r="E4643" s="12"/>
      <c r="F4643" s="8" t="s">
        <v>21</v>
      </c>
      <c r="G4643" s="8" t="s">
        <v>22</v>
      </c>
      <c r="H4643" s="9" t="s">
        <v>44</v>
      </c>
      <c r="I4643" s="13" t="s">
        <v>34</v>
      </c>
      <c r="J4643" s="14"/>
      <c r="K4643" s="13" t="s">
        <v>50</v>
      </c>
      <c r="L4643" s="14"/>
    </row>
    <row r="4644" spans="1:12" ht="15" customHeight="1" x14ac:dyDescent="0.25">
      <c r="A4644" s="21" t="s">
        <v>566</v>
      </c>
      <c r="B4644" s="22"/>
      <c r="C4644" s="22"/>
      <c r="D4644" s="22"/>
      <c r="E4644" s="23"/>
      <c r="F4644" s="19" t="s">
        <v>567</v>
      </c>
      <c r="G4644" s="19" t="s">
        <v>84</v>
      </c>
      <c r="H4644" s="20">
        <v>1</v>
      </c>
      <c r="I4644" s="24" t="s">
        <v>164</v>
      </c>
      <c r="J4644" s="25"/>
      <c r="K4644" s="24" t="s">
        <v>164</v>
      </c>
      <c r="L4644" s="25"/>
    </row>
    <row r="4645" spans="1:12" ht="15" customHeight="1" x14ac:dyDescent="0.25">
      <c r="A4645" s="15" t="s">
        <v>53</v>
      </c>
      <c r="B4645" s="16"/>
      <c r="C4645" s="16"/>
      <c r="D4645" s="16"/>
      <c r="E4645" s="16"/>
      <c r="F4645" s="16"/>
      <c r="G4645" s="16"/>
      <c r="H4645" s="16"/>
      <c r="I4645" s="16"/>
      <c r="J4645" s="17"/>
      <c r="K4645" s="15">
        <v>10.54</v>
      </c>
      <c r="L4645" s="17"/>
    </row>
    <row r="4646" spans="1:12" x14ac:dyDescent="0.25">
      <c r="A4646" s="18"/>
      <c r="B4646" s="18"/>
      <c r="C4646" s="18"/>
      <c r="D4646" s="18"/>
      <c r="E4646" s="18"/>
      <c r="F4646" s="18"/>
      <c r="G4646" s="18"/>
      <c r="H4646" s="18"/>
      <c r="I4646" s="18"/>
      <c r="J4646" s="18"/>
      <c r="K4646" s="18"/>
      <c r="L4646" s="18"/>
    </row>
    <row r="4647" spans="1:12" ht="15" customHeight="1" x14ac:dyDescent="0.25">
      <c r="A4647" s="10" t="s">
        <v>54</v>
      </c>
      <c r="B4647" s="11"/>
      <c r="C4647" s="12"/>
      <c r="D4647" s="8" t="s">
        <v>21</v>
      </c>
      <c r="E4647" s="8" t="s">
        <v>22</v>
      </c>
      <c r="F4647" s="9" t="s">
        <v>55</v>
      </c>
      <c r="G4647" s="8" t="s">
        <v>56</v>
      </c>
      <c r="H4647" s="8" t="s">
        <v>57</v>
      </c>
      <c r="I4647" s="8" t="s">
        <v>58</v>
      </c>
      <c r="J4647" s="9" t="s">
        <v>59</v>
      </c>
      <c r="K4647" s="9" t="s">
        <v>34</v>
      </c>
      <c r="L4647" s="9" t="s">
        <v>50</v>
      </c>
    </row>
    <row r="4648" spans="1:12" ht="15" customHeight="1" x14ac:dyDescent="0.25">
      <c r="A4648" s="15" t="s">
        <v>60</v>
      </c>
      <c r="B4648" s="16"/>
      <c r="C4648" s="16"/>
      <c r="D4648" s="16"/>
      <c r="E4648" s="16"/>
      <c r="F4648" s="16"/>
      <c r="G4648" s="16"/>
      <c r="H4648" s="16"/>
      <c r="I4648" s="16"/>
      <c r="J4648" s="17"/>
      <c r="K4648" s="15">
        <v>0</v>
      </c>
      <c r="L4648" s="17"/>
    </row>
    <row r="4649" spans="1:12" x14ac:dyDescent="0.25">
      <c r="A4649" s="18"/>
      <c r="B4649" s="18"/>
      <c r="C4649" s="18"/>
      <c r="D4649" s="18"/>
      <c r="E4649" s="18"/>
      <c r="F4649" s="18"/>
      <c r="G4649" s="18"/>
      <c r="H4649" s="18"/>
      <c r="I4649" s="18"/>
      <c r="J4649" s="18"/>
      <c r="K4649" s="18"/>
      <c r="L4649" s="18"/>
    </row>
    <row r="4650" spans="1:12" ht="15" customHeight="1" x14ac:dyDescent="0.25">
      <c r="A4650" s="27" t="s">
        <v>61</v>
      </c>
      <c r="B4650" s="27"/>
      <c r="C4650" s="27"/>
      <c r="D4650" s="27"/>
      <c r="E4650" s="27"/>
      <c r="F4650" s="27"/>
      <c r="G4650" s="27"/>
      <c r="H4650" s="27"/>
      <c r="I4650" s="27"/>
      <c r="J4650" s="27"/>
      <c r="K4650" s="27">
        <v>11.36</v>
      </c>
      <c r="L4650" s="27"/>
    </row>
    <row r="4651" spans="1:12" ht="15" customHeight="1" x14ac:dyDescent="0.25">
      <c r="A4651" s="27" t="s">
        <v>62</v>
      </c>
      <c r="B4651" s="27"/>
      <c r="C4651" s="27"/>
      <c r="D4651" s="27"/>
      <c r="E4651" s="27"/>
      <c r="F4651" s="27"/>
      <c r="G4651" s="27"/>
      <c r="H4651" s="27"/>
      <c r="I4651" s="27"/>
      <c r="J4651" s="27"/>
      <c r="K4651" s="27">
        <v>3.78</v>
      </c>
      <c r="L4651" s="27"/>
    </row>
    <row r="4652" spans="1:12" ht="15" customHeight="1" x14ac:dyDescent="0.25">
      <c r="A4652" s="27" t="s">
        <v>63</v>
      </c>
      <c r="B4652" s="27"/>
      <c r="C4652" s="27"/>
      <c r="D4652" s="27"/>
      <c r="E4652" s="27"/>
      <c r="F4652" s="27"/>
      <c r="G4652" s="27"/>
      <c r="H4652" s="27"/>
      <c r="I4652" s="27"/>
      <c r="J4652" s="27"/>
      <c r="K4652" s="27">
        <v>15.14</v>
      </c>
      <c r="L4652" s="27"/>
    </row>
    <row r="4653" spans="1:12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</row>
    <row r="4654" spans="1:12" ht="15" customHeight="1" x14ac:dyDescent="0.25">
      <c r="A4654" s="3" t="s">
        <v>8</v>
      </c>
      <c r="B4654" s="6" t="s">
        <v>9</v>
      </c>
      <c r="C4654" s="6"/>
      <c r="D4654" s="6"/>
      <c r="E4654" s="6"/>
      <c r="F4654" s="6"/>
      <c r="G4654" s="6"/>
      <c r="H4654" s="6"/>
      <c r="I4654" s="6"/>
      <c r="J4654" s="6"/>
      <c r="K4654" s="6"/>
      <c r="L4654" s="6"/>
    </row>
    <row r="4655" spans="1:12" ht="15" customHeight="1" x14ac:dyDescent="0.25">
      <c r="A4655" s="3" t="s">
        <v>10</v>
      </c>
      <c r="B4655" s="6" t="s">
        <v>568</v>
      </c>
      <c r="C4655" s="6"/>
      <c r="D4655" s="6"/>
      <c r="E4655" s="6"/>
      <c r="F4655" s="6"/>
      <c r="G4655" s="6"/>
      <c r="H4655" s="6"/>
      <c r="I4655" s="6"/>
      <c r="J4655" s="6"/>
      <c r="K4655" s="3" t="s">
        <v>12</v>
      </c>
      <c r="L4655" s="4" t="s">
        <v>84</v>
      </c>
    </row>
    <row r="4656" spans="1:12" ht="15" customHeight="1" x14ac:dyDescent="0.25">
      <c r="A4656" s="3" t="s">
        <v>14</v>
      </c>
      <c r="B4656" s="6" t="s">
        <v>88</v>
      </c>
      <c r="C4656" s="6"/>
      <c r="D4656" s="7" t="s">
        <v>16</v>
      </c>
      <c r="E4656" s="7"/>
      <c r="F4656" s="6" t="str">
        <f>"2A87.000271"</f>
        <v>2A87.000271</v>
      </c>
      <c r="G4656" s="6"/>
      <c r="H4656" s="3" t="s">
        <v>17</v>
      </c>
      <c r="I4656" s="6" t="s">
        <v>89</v>
      </c>
      <c r="J4656" s="6"/>
      <c r="K4656" s="3" t="s">
        <v>19</v>
      </c>
      <c r="L4656" s="5">
        <v>1</v>
      </c>
    </row>
    <row r="4657" spans="1:12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</row>
    <row r="4658" spans="1:12" ht="15" customHeight="1" x14ac:dyDescent="0.25">
      <c r="A4658" s="10" t="s">
        <v>20</v>
      </c>
      <c r="B4658" s="11"/>
      <c r="C4658" s="12"/>
      <c r="D4658" s="8" t="s">
        <v>21</v>
      </c>
      <c r="E4658" s="8" t="s">
        <v>22</v>
      </c>
      <c r="F4658" s="9" t="s">
        <v>23</v>
      </c>
      <c r="G4658" s="9" t="s">
        <v>24</v>
      </c>
      <c r="H4658" s="9" t="s">
        <v>25</v>
      </c>
      <c r="I4658" s="9" t="s">
        <v>26</v>
      </c>
      <c r="J4658" s="9" t="s">
        <v>27</v>
      </c>
      <c r="K4658" s="13" t="s">
        <v>28</v>
      </c>
      <c r="L4658" s="14"/>
    </row>
    <row r="4659" spans="1:12" ht="15" customHeight="1" x14ac:dyDescent="0.25">
      <c r="A4659" s="15" t="s">
        <v>29</v>
      </c>
      <c r="B4659" s="16"/>
      <c r="C4659" s="16"/>
      <c r="D4659" s="16"/>
      <c r="E4659" s="16"/>
      <c r="F4659" s="16"/>
      <c r="G4659" s="16"/>
      <c r="H4659" s="16"/>
      <c r="I4659" s="16"/>
      <c r="J4659" s="17"/>
      <c r="K4659" s="15">
        <v>0</v>
      </c>
      <c r="L4659" s="17"/>
    </row>
    <row r="4660" spans="1:12" x14ac:dyDescent="0.25">
      <c r="A4660" s="18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</row>
    <row r="4661" spans="1:12" ht="15" customHeight="1" x14ac:dyDescent="0.25">
      <c r="A4661" s="10" t="s">
        <v>30</v>
      </c>
      <c r="B4661" s="11"/>
      <c r="C4661" s="12"/>
      <c r="D4661" s="8" t="s">
        <v>21</v>
      </c>
      <c r="E4661" s="8" t="s">
        <v>22</v>
      </c>
      <c r="F4661" s="9" t="s">
        <v>31</v>
      </c>
      <c r="G4661" s="9" t="s">
        <v>32</v>
      </c>
      <c r="H4661" s="9" t="s">
        <v>33</v>
      </c>
      <c r="I4661" s="13" t="s">
        <v>34</v>
      </c>
      <c r="J4661" s="14"/>
      <c r="K4661" s="13" t="s">
        <v>28</v>
      </c>
      <c r="L4661" s="14"/>
    </row>
    <row r="4662" spans="1:12" ht="15" customHeight="1" x14ac:dyDescent="0.25">
      <c r="A4662" s="15" t="s">
        <v>38</v>
      </c>
      <c r="B4662" s="16"/>
      <c r="C4662" s="16"/>
      <c r="D4662" s="16"/>
      <c r="E4662" s="16"/>
      <c r="F4662" s="16"/>
      <c r="G4662" s="16"/>
      <c r="H4662" s="16"/>
      <c r="I4662" s="16"/>
      <c r="J4662" s="17"/>
      <c r="K4662" s="15">
        <v>0</v>
      </c>
      <c r="L4662" s="17"/>
    </row>
    <row r="4663" spans="1:12" x14ac:dyDescent="0.25">
      <c r="A4663" s="18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</row>
    <row r="4664" spans="1:12" ht="15" customHeight="1" x14ac:dyDescent="0.25">
      <c r="A4664" s="10" t="s">
        <v>39</v>
      </c>
      <c r="B4664" s="11"/>
      <c r="C4664" s="12"/>
      <c r="D4664" s="8" t="s">
        <v>21</v>
      </c>
      <c r="E4664" s="13" t="s">
        <v>40</v>
      </c>
      <c r="F4664" s="14"/>
      <c r="G4664" s="8" t="s">
        <v>41</v>
      </c>
      <c r="H4664" s="8" t="s">
        <v>42</v>
      </c>
      <c r="I4664" s="8" t="s">
        <v>43</v>
      </c>
      <c r="J4664" s="13" t="s">
        <v>44</v>
      </c>
      <c r="K4664" s="26"/>
      <c r="L4664" s="14"/>
    </row>
    <row r="4665" spans="1:12" ht="15" customHeight="1" x14ac:dyDescent="0.25">
      <c r="A4665" s="15" t="s">
        <v>45</v>
      </c>
      <c r="B4665" s="16"/>
      <c r="C4665" s="16"/>
      <c r="D4665" s="16"/>
      <c r="E4665" s="16"/>
      <c r="F4665" s="16"/>
      <c r="G4665" s="16"/>
      <c r="H4665" s="16"/>
      <c r="I4665" s="16"/>
      <c r="J4665" s="17"/>
      <c r="K4665" s="15">
        <v>0</v>
      </c>
      <c r="L4665" s="17"/>
    </row>
    <row r="4666" spans="1:12" x14ac:dyDescent="0.25">
      <c r="A4666" s="18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</row>
    <row r="4667" spans="1:12" ht="15" customHeight="1" x14ac:dyDescent="0.25">
      <c r="A4667" s="27" t="s">
        <v>46</v>
      </c>
      <c r="B4667" s="27"/>
      <c r="C4667" s="27"/>
      <c r="D4667" s="27"/>
      <c r="E4667" s="27"/>
      <c r="F4667" s="27"/>
      <c r="G4667" s="27"/>
      <c r="H4667" s="27"/>
      <c r="I4667" s="27"/>
      <c r="J4667" s="27"/>
      <c r="K4667" s="27">
        <v>0</v>
      </c>
      <c r="L4667" s="27"/>
    </row>
    <row r="4668" spans="1:12" ht="15" customHeight="1" x14ac:dyDescent="0.25">
      <c r="A4668" s="27" t="s">
        <v>47</v>
      </c>
      <c r="B4668" s="27"/>
      <c r="C4668" s="27"/>
      <c r="D4668" s="27"/>
      <c r="E4668" s="27"/>
      <c r="F4668" s="27"/>
      <c r="G4668" s="27"/>
      <c r="H4668" s="27"/>
      <c r="I4668" s="27"/>
      <c r="J4668" s="27"/>
      <c r="K4668" s="27">
        <v>1</v>
      </c>
      <c r="L4668" s="27"/>
    </row>
    <row r="4669" spans="1:12" ht="15" customHeight="1" x14ac:dyDescent="0.25">
      <c r="A4669" s="27" t="s">
        <v>48</v>
      </c>
      <c r="B4669" s="27"/>
      <c r="C4669" s="27"/>
      <c r="D4669" s="27"/>
      <c r="E4669" s="27"/>
      <c r="F4669" s="27"/>
      <c r="G4669" s="27"/>
      <c r="H4669" s="27"/>
      <c r="I4669" s="27"/>
      <c r="J4669" s="27"/>
      <c r="K4669" s="27">
        <v>0</v>
      </c>
      <c r="L4669" s="27"/>
    </row>
    <row r="4670" spans="1:12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</row>
    <row r="4671" spans="1:12" ht="15" customHeight="1" x14ac:dyDescent="0.25">
      <c r="A4671" s="10" t="s">
        <v>49</v>
      </c>
      <c r="B4671" s="11"/>
      <c r="C4671" s="11"/>
      <c r="D4671" s="11"/>
      <c r="E4671" s="12"/>
      <c r="F4671" s="8" t="s">
        <v>21</v>
      </c>
      <c r="G4671" s="8" t="s">
        <v>22</v>
      </c>
      <c r="H4671" s="9" t="s">
        <v>44</v>
      </c>
      <c r="I4671" s="13" t="s">
        <v>34</v>
      </c>
      <c r="J4671" s="14"/>
      <c r="K4671" s="13" t="s">
        <v>50</v>
      </c>
      <c r="L4671" s="14"/>
    </row>
    <row r="4672" spans="1:12" ht="30" customHeight="1" x14ac:dyDescent="0.25">
      <c r="A4672" s="21" t="s">
        <v>569</v>
      </c>
      <c r="B4672" s="22"/>
      <c r="C4672" s="22"/>
      <c r="D4672" s="22"/>
      <c r="E4672" s="23"/>
      <c r="F4672" s="19" t="str">
        <f>"00001570"</f>
        <v>00001570</v>
      </c>
      <c r="G4672" s="19" t="s">
        <v>81</v>
      </c>
      <c r="H4672" s="20">
        <v>1.1399999999999999</v>
      </c>
      <c r="I4672" s="24">
        <v>1</v>
      </c>
      <c r="J4672" s="25"/>
      <c r="K4672" s="24">
        <v>1.1399999999999999</v>
      </c>
      <c r="L4672" s="25"/>
    </row>
    <row r="4673" spans="1:12" ht="15" customHeight="1" x14ac:dyDescent="0.25">
      <c r="A4673" s="15" t="s">
        <v>51</v>
      </c>
      <c r="B4673" s="16"/>
      <c r="C4673" s="16"/>
      <c r="D4673" s="16"/>
      <c r="E4673" s="16"/>
      <c r="F4673" s="16"/>
      <c r="G4673" s="16"/>
      <c r="H4673" s="16"/>
      <c r="I4673" s="16"/>
      <c r="J4673" s="17"/>
      <c r="K4673" s="15">
        <v>1.1399999999999999</v>
      </c>
      <c r="L4673" s="17"/>
    </row>
    <row r="4674" spans="1:12" x14ac:dyDescent="0.25">
      <c r="A4674" s="18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</row>
    <row r="4675" spans="1:12" ht="15" customHeight="1" x14ac:dyDescent="0.25">
      <c r="A4675" s="10" t="s">
        <v>52</v>
      </c>
      <c r="B4675" s="11"/>
      <c r="C4675" s="11"/>
      <c r="D4675" s="11"/>
      <c r="E4675" s="12"/>
      <c r="F4675" s="8" t="s">
        <v>21</v>
      </c>
      <c r="G4675" s="8" t="s">
        <v>22</v>
      </c>
      <c r="H4675" s="9" t="s">
        <v>44</v>
      </c>
      <c r="I4675" s="13" t="s">
        <v>34</v>
      </c>
      <c r="J4675" s="14"/>
      <c r="K4675" s="13" t="s">
        <v>50</v>
      </c>
      <c r="L4675" s="14"/>
    </row>
    <row r="4676" spans="1:12" ht="15" customHeight="1" x14ac:dyDescent="0.25">
      <c r="A4676" s="21" t="s">
        <v>559</v>
      </c>
      <c r="B4676" s="22"/>
      <c r="C4676" s="22"/>
      <c r="D4676" s="22"/>
      <c r="E4676" s="23"/>
      <c r="F4676" s="19" t="s">
        <v>570</v>
      </c>
      <c r="G4676" s="19" t="s">
        <v>84</v>
      </c>
      <c r="H4676" s="20">
        <v>1</v>
      </c>
      <c r="I4676" s="24" t="s">
        <v>164</v>
      </c>
      <c r="J4676" s="25"/>
      <c r="K4676" s="24" t="s">
        <v>164</v>
      </c>
      <c r="L4676" s="25"/>
    </row>
    <row r="4677" spans="1:12" ht="15" customHeight="1" x14ac:dyDescent="0.25">
      <c r="A4677" s="15" t="s">
        <v>53</v>
      </c>
      <c r="B4677" s="16"/>
      <c r="C4677" s="16"/>
      <c r="D4677" s="16"/>
      <c r="E4677" s="16"/>
      <c r="F4677" s="16"/>
      <c r="G4677" s="16"/>
      <c r="H4677" s="16"/>
      <c r="I4677" s="16"/>
      <c r="J4677" s="17"/>
      <c r="K4677" s="15">
        <v>9.58</v>
      </c>
      <c r="L4677" s="17"/>
    </row>
    <row r="4678" spans="1:12" x14ac:dyDescent="0.25">
      <c r="A4678" s="18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</row>
    <row r="4679" spans="1:12" ht="15" customHeight="1" x14ac:dyDescent="0.25">
      <c r="A4679" s="10" t="s">
        <v>54</v>
      </c>
      <c r="B4679" s="11"/>
      <c r="C4679" s="12"/>
      <c r="D4679" s="8" t="s">
        <v>21</v>
      </c>
      <c r="E4679" s="8" t="s">
        <v>22</v>
      </c>
      <c r="F4679" s="9" t="s">
        <v>55</v>
      </c>
      <c r="G4679" s="8" t="s">
        <v>56</v>
      </c>
      <c r="H4679" s="8" t="s">
        <v>57</v>
      </c>
      <c r="I4679" s="8" t="s">
        <v>58</v>
      </c>
      <c r="J4679" s="9" t="s">
        <v>59</v>
      </c>
      <c r="K4679" s="9" t="s">
        <v>34</v>
      </c>
      <c r="L4679" s="9" t="s">
        <v>50</v>
      </c>
    </row>
    <row r="4680" spans="1:12" ht="15" customHeight="1" x14ac:dyDescent="0.25">
      <c r="A4680" s="15" t="s">
        <v>60</v>
      </c>
      <c r="B4680" s="16"/>
      <c r="C4680" s="16"/>
      <c r="D4680" s="16"/>
      <c r="E4680" s="16"/>
      <c r="F4680" s="16"/>
      <c r="G4680" s="16"/>
      <c r="H4680" s="16"/>
      <c r="I4680" s="16"/>
      <c r="J4680" s="17"/>
      <c r="K4680" s="15">
        <v>0</v>
      </c>
      <c r="L4680" s="17"/>
    </row>
    <row r="4681" spans="1:12" x14ac:dyDescent="0.25">
      <c r="A4681" s="18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</row>
    <row r="4682" spans="1:12" ht="15" customHeight="1" x14ac:dyDescent="0.25">
      <c r="A4682" s="27" t="s">
        <v>61</v>
      </c>
      <c r="B4682" s="27"/>
      <c r="C4682" s="27"/>
      <c r="D4682" s="27"/>
      <c r="E4682" s="27"/>
      <c r="F4682" s="27"/>
      <c r="G4682" s="27"/>
      <c r="H4682" s="27"/>
      <c r="I4682" s="27"/>
      <c r="J4682" s="27"/>
      <c r="K4682" s="27">
        <v>10.72</v>
      </c>
      <c r="L4682" s="27"/>
    </row>
    <row r="4683" spans="1:12" ht="15" customHeight="1" x14ac:dyDescent="0.25">
      <c r="A4683" s="27" t="s">
        <v>62</v>
      </c>
      <c r="B4683" s="27"/>
      <c r="C4683" s="27"/>
      <c r="D4683" s="27"/>
      <c r="E4683" s="27"/>
      <c r="F4683" s="27"/>
      <c r="G4683" s="27"/>
      <c r="H4683" s="27"/>
      <c r="I4683" s="27"/>
      <c r="J4683" s="27"/>
      <c r="K4683" s="27">
        <v>3.56</v>
      </c>
      <c r="L4683" s="27"/>
    </row>
    <row r="4684" spans="1:12" ht="15" customHeight="1" x14ac:dyDescent="0.25">
      <c r="A4684" s="27" t="s">
        <v>63</v>
      </c>
      <c r="B4684" s="27"/>
      <c r="C4684" s="27"/>
      <c r="D4684" s="27"/>
      <c r="E4684" s="27"/>
      <c r="F4684" s="27"/>
      <c r="G4684" s="27"/>
      <c r="H4684" s="27"/>
      <c r="I4684" s="27"/>
      <c r="J4684" s="27"/>
      <c r="K4684" s="27">
        <v>14.28</v>
      </c>
      <c r="L4684" s="27"/>
    </row>
    <row r="4685" spans="1:12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</row>
    <row r="4686" spans="1:12" ht="15" customHeight="1" x14ac:dyDescent="0.25">
      <c r="A4686" s="3" t="s">
        <v>8</v>
      </c>
      <c r="B4686" s="6" t="s">
        <v>9</v>
      </c>
      <c r="C4686" s="6"/>
      <c r="D4686" s="6"/>
      <c r="E4686" s="6"/>
      <c r="F4686" s="6"/>
      <c r="G4686" s="6"/>
      <c r="H4686" s="6"/>
      <c r="I4686" s="6"/>
      <c r="J4686" s="6"/>
      <c r="K4686" s="6"/>
      <c r="L4686" s="6"/>
    </row>
    <row r="4687" spans="1:12" ht="15" customHeight="1" x14ac:dyDescent="0.25">
      <c r="A4687" s="3" t="s">
        <v>10</v>
      </c>
      <c r="B4687" s="6" t="s">
        <v>571</v>
      </c>
      <c r="C4687" s="6"/>
      <c r="D4687" s="6"/>
      <c r="E4687" s="6"/>
      <c r="F4687" s="6"/>
      <c r="G4687" s="6"/>
      <c r="H4687" s="6"/>
      <c r="I4687" s="6"/>
      <c r="J4687" s="6"/>
      <c r="K4687" s="3" t="s">
        <v>12</v>
      </c>
      <c r="L4687" s="4" t="s">
        <v>84</v>
      </c>
    </row>
    <row r="4688" spans="1:12" ht="15" customHeight="1" x14ac:dyDescent="0.25">
      <c r="A4688" s="3" t="s">
        <v>14</v>
      </c>
      <c r="B4688" s="6" t="s">
        <v>88</v>
      </c>
      <c r="C4688" s="6"/>
      <c r="D4688" s="7" t="s">
        <v>16</v>
      </c>
      <c r="E4688" s="7"/>
      <c r="F4688" s="6" t="str">
        <f>"2A87.000272"</f>
        <v>2A87.000272</v>
      </c>
      <c r="G4688" s="6"/>
      <c r="H4688" s="3" t="s">
        <v>17</v>
      </c>
      <c r="I4688" s="6" t="s">
        <v>89</v>
      </c>
      <c r="J4688" s="6"/>
      <c r="K4688" s="3" t="s">
        <v>19</v>
      </c>
      <c r="L4688" s="5">
        <v>1</v>
      </c>
    </row>
    <row r="4689" spans="1:12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</row>
    <row r="4690" spans="1:12" ht="15" customHeight="1" x14ac:dyDescent="0.25">
      <c r="A4690" s="10" t="s">
        <v>20</v>
      </c>
      <c r="B4690" s="11"/>
      <c r="C4690" s="12"/>
      <c r="D4690" s="8" t="s">
        <v>21</v>
      </c>
      <c r="E4690" s="8" t="s">
        <v>22</v>
      </c>
      <c r="F4690" s="9" t="s">
        <v>23</v>
      </c>
      <c r="G4690" s="9" t="s">
        <v>24</v>
      </c>
      <c r="H4690" s="9" t="s">
        <v>25</v>
      </c>
      <c r="I4690" s="9" t="s">
        <v>26</v>
      </c>
      <c r="J4690" s="9" t="s">
        <v>27</v>
      </c>
      <c r="K4690" s="13" t="s">
        <v>28</v>
      </c>
      <c r="L4690" s="14"/>
    </row>
    <row r="4691" spans="1:12" ht="15" customHeight="1" x14ac:dyDescent="0.25">
      <c r="A4691" s="15" t="s">
        <v>29</v>
      </c>
      <c r="B4691" s="16"/>
      <c r="C4691" s="16"/>
      <c r="D4691" s="16"/>
      <c r="E4691" s="16"/>
      <c r="F4691" s="16"/>
      <c r="G4691" s="16"/>
      <c r="H4691" s="16"/>
      <c r="I4691" s="16"/>
      <c r="J4691" s="17"/>
      <c r="K4691" s="15">
        <v>0</v>
      </c>
      <c r="L4691" s="17"/>
    </row>
    <row r="4692" spans="1:12" x14ac:dyDescent="0.25">
      <c r="A4692" s="18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</row>
    <row r="4693" spans="1:12" ht="15" customHeight="1" x14ac:dyDescent="0.25">
      <c r="A4693" s="10" t="s">
        <v>30</v>
      </c>
      <c r="B4693" s="11"/>
      <c r="C4693" s="12"/>
      <c r="D4693" s="8" t="s">
        <v>21</v>
      </c>
      <c r="E4693" s="8" t="s">
        <v>22</v>
      </c>
      <c r="F4693" s="9" t="s">
        <v>31</v>
      </c>
      <c r="G4693" s="9" t="s">
        <v>32</v>
      </c>
      <c r="H4693" s="9" t="s">
        <v>33</v>
      </c>
      <c r="I4693" s="13" t="s">
        <v>34</v>
      </c>
      <c r="J4693" s="14"/>
      <c r="K4693" s="13" t="s">
        <v>28</v>
      </c>
      <c r="L4693" s="14"/>
    </row>
    <row r="4694" spans="1:12" ht="15" customHeight="1" x14ac:dyDescent="0.25">
      <c r="A4694" s="15" t="s">
        <v>38</v>
      </c>
      <c r="B4694" s="16"/>
      <c r="C4694" s="16"/>
      <c r="D4694" s="16"/>
      <c r="E4694" s="16"/>
      <c r="F4694" s="16"/>
      <c r="G4694" s="16"/>
      <c r="H4694" s="16"/>
      <c r="I4694" s="16"/>
      <c r="J4694" s="17"/>
      <c r="K4694" s="15">
        <v>0</v>
      </c>
      <c r="L4694" s="17"/>
    </row>
    <row r="4695" spans="1:12" x14ac:dyDescent="0.25">
      <c r="A4695" s="18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</row>
    <row r="4696" spans="1:12" ht="15" customHeight="1" x14ac:dyDescent="0.25">
      <c r="A4696" s="10" t="s">
        <v>39</v>
      </c>
      <c r="B4696" s="11"/>
      <c r="C4696" s="12"/>
      <c r="D4696" s="8" t="s">
        <v>21</v>
      </c>
      <c r="E4696" s="13" t="s">
        <v>40</v>
      </c>
      <c r="F4696" s="14"/>
      <c r="G4696" s="8" t="s">
        <v>41</v>
      </c>
      <c r="H4696" s="8" t="s">
        <v>42</v>
      </c>
      <c r="I4696" s="8" t="s">
        <v>43</v>
      </c>
      <c r="J4696" s="13" t="s">
        <v>44</v>
      </c>
      <c r="K4696" s="26"/>
      <c r="L4696" s="14"/>
    </row>
    <row r="4697" spans="1:12" ht="15" customHeight="1" x14ac:dyDescent="0.25">
      <c r="A4697" s="15" t="s">
        <v>45</v>
      </c>
      <c r="B4697" s="16"/>
      <c r="C4697" s="16"/>
      <c r="D4697" s="16"/>
      <c r="E4697" s="16"/>
      <c r="F4697" s="16"/>
      <c r="G4697" s="16"/>
      <c r="H4697" s="16"/>
      <c r="I4697" s="16"/>
      <c r="J4697" s="17"/>
      <c r="K4697" s="15">
        <v>0</v>
      </c>
      <c r="L4697" s="17"/>
    </row>
    <row r="4698" spans="1:12" x14ac:dyDescent="0.25">
      <c r="A4698" s="18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</row>
    <row r="4699" spans="1:12" ht="15" customHeight="1" x14ac:dyDescent="0.25">
      <c r="A4699" s="27" t="s">
        <v>46</v>
      </c>
      <c r="B4699" s="27"/>
      <c r="C4699" s="27"/>
      <c r="D4699" s="27"/>
      <c r="E4699" s="27"/>
      <c r="F4699" s="27"/>
      <c r="G4699" s="27"/>
      <c r="H4699" s="27"/>
      <c r="I4699" s="27"/>
      <c r="J4699" s="27"/>
      <c r="K4699" s="27">
        <v>0</v>
      </c>
      <c r="L4699" s="27"/>
    </row>
    <row r="4700" spans="1:12" ht="15" customHeight="1" x14ac:dyDescent="0.25">
      <c r="A4700" s="27" t="s">
        <v>47</v>
      </c>
      <c r="B4700" s="27"/>
      <c r="C4700" s="27"/>
      <c r="D4700" s="27"/>
      <c r="E4700" s="27"/>
      <c r="F4700" s="27"/>
      <c r="G4700" s="27"/>
      <c r="H4700" s="27"/>
      <c r="I4700" s="27"/>
      <c r="J4700" s="27"/>
      <c r="K4700" s="27">
        <v>1</v>
      </c>
      <c r="L4700" s="27"/>
    </row>
    <row r="4701" spans="1:12" ht="15" customHeight="1" x14ac:dyDescent="0.25">
      <c r="A4701" s="27" t="s">
        <v>48</v>
      </c>
      <c r="B4701" s="27"/>
      <c r="C4701" s="27"/>
      <c r="D4701" s="27"/>
      <c r="E4701" s="27"/>
      <c r="F4701" s="27"/>
      <c r="G4701" s="27"/>
      <c r="H4701" s="27"/>
      <c r="I4701" s="27"/>
      <c r="J4701" s="27"/>
      <c r="K4701" s="27">
        <v>0</v>
      </c>
      <c r="L4701" s="27"/>
    </row>
    <row r="4702" spans="1:12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</row>
    <row r="4703" spans="1:12" ht="15" customHeight="1" x14ac:dyDescent="0.25">
      <c r="A4703" s="10" t="s">
        <v>49</v>
      </c>
      <c r="B4703" s="11"/>
      <c r="C4703" s="11"/>
      <c r="D4703" s="11"/>
      <c r="E4703" s="12"/>
      <c r="F4703" s="8" t="s">
        <v>21</v>
      </c>
      <c r="G4703" s="8" t="s">
        <v>22</v>
      </c>
      <c r="H4703" s="9" t="s">
        <v>44</v>
      </c>
      <c r="I4703" s="13" t="s">
        <v>34</v>
      </c>
      <c r="J4703" s="14"/>
      <c r="K4703" s="13" t="s">
        <v>50</v>
      </c>
      <c r="L4703" s="14"/>
    </row>
    <row r="4704" spans="1:12" ht="30" customHeight="1" x14ac:dyDescent="0.25">
      <c r="A4704" s="21" t="s">
        <v>572</v>
      </c>
      <c r="B4704" s="22"/>
      <c r="C4704" s="22"/>
      <c r="D4704" s="22"/>
      <c r="E4704" s="23"/>
      <c r="F4704" s="19" t="str">
        <f>"00001571"</f>
        <v>00001571</v>
      </c>
      <c r="G4704" s="19" t="s">
        <v>81</v>
      </c>
      <c r="H4704" s="20">
        <v>1.48</v>
      </c>
      <c r="I4704" s="24">
        <v>1</v>
      </c>
      <c r="J4704" s="25"/>
      <c r="K4704" s="24">
        <v>1.48</v>
      </c>
      <c r="L4704" s="25"/>
    </row>
    <row r="4705" spans="1:12" ht="15" customHeight="1" x14ac:dyDescent="0.25">
      <c r="A4705" s="15" t="s">
        <v>51</v>
      </c>
      <c r="B4705" s="16"/>
      <c r="C4705" s="16"/>
      <c r="D4705" s="16"/>
      <c r="E4705" s="16"/>
      <c r="F4705" s="16"/>
      <c r="G4705" s="16"/>
      <c r="H4705" s="16"/>
      <c r="I4705" s="16"/>
      <c r="J4705" s="17"/>
      <c r="K4705" s="15">
        <v>1.48</v>
      </c>
      <c r="L4705" s="17"/>
    </row>
    <row r="4706" spans="1:12" x14ac:dyDescent="0.25">
      <c r="A4706" s="18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</row>
    <row r="4707" spans="1:12" ht="15" customHeight="1" x14ac:dyDescent="0.25">
      <c r="A4707" s="10" t="s">
        <v>52</v>
      </c>
      <c r="B4707" s="11"/>
      <c r="C4707" s="11"/>
      <c r="D4707" s="11"/>
      <c r="E4707" s="12"/>
      <c r="F4707" s="8" t="s">
        <v>21</v>
      </c>
      <c r="G4707" s="8" t="s">
        <v>22</v>
      </c>
      <c r="H4707" s="9" t="s">
        <v>44</v>
      </c>
      <c r="I4707" s="13" t="s">
        <v>34</v>
      </c>
      <c r="J4707" s="14"/>
      <c r="K4707" s="13" t="s">
        <v>50</v>
      </c>
      <c r="L4707" s="14"/>
    </row>
    <row r="4708" spans="1:12" ht="15" customHeight="1" x14ac:dyDescent="0.25">
      <c r="A4708" s="21" t="s">
        <v>559</v>
      </c>
      <c r="B4708" s="22"/>
      <c r="C4708" s="22"/>
      <c r="D4708" s="22"/>
      <c r="E4708" s="23"/>
      <c r="F4708" s="19" t="s">
        <v>573</v>
      </c>
      <c r="G4708" s="19" t="s">
        <v>84</v>
      </c>
      <c r="H4708" s="20">
        <v>1</v>
      </c>
      <c r="I4708" s="24" t="s">
        <v>164</v>
      </c>
      <c r="J4708" s="25"/>
      <c r="K4708" s="24" t="s">
        <v>164</v>
      </c>
      <c r="L4708" s="25"/>
    </row>
    <row r="4709" spans="1:12" ht="15" customHeight="1" x14ac:dyDescent="0.25">
      <c r="A4709" s="15" t="s">
        <v>53</v>
      </c>
      <c r="B4709" s="16"/>
      <c r="C4709" s="16"/>
      <c r="D4709" s="16"/>
      <c r="E4709" s="16"/>
      <c r="F4709" s="16"/>
      <c r="G4709" s="16"/>
      <c r="H4709" s="16"/>
      <c r="I4709" s="16"/>
      <c r="J4709" s="17"/>
      <c r="K4709" s="15">
        <v>9.58</v>
      </c>
      <c r="L4709" s="17"/>
    </row>
    <row r="4710" spans="1:12" x14ac:dyDescent="0.25">
      <c r="A4710" s="18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</row>
    <row r="4711" spans="1:12" ht="15" customHeight="1" x14ac:dyDescent="0.25">
      <c r="A4711" s="10" t="s">
        <v>54</v>
      </c>
      <c r="B4711" s="11"/>
      <c r="C4711" s="12"/>
      <c r="D4711" s="8" t="s">
        <v>21</v>
      </c>
      <c r="E4711" s="8" t="s">
        <v>22</v>
      </c>
      <c r="F4711" s="9" t="s">
        <v>55</v>
      </c>
      <c r="G4711" s="8" t="s">
        <v>56</v>
      </c>
      <c r="H4711" s="8" t="s">
        <v>57</v>
      </c>
      <c r="I4711" s="8" t="s">
        <v>58</v>
      </c>
      <c r="J4711" s="9" t="s">
        <v>59</v>
      </c>
      <c r="K4711" s="9" t="s">
        <v>34</v>
      </c>
      <c r="L4711" s="9" t="s">
        <v>50</v>
      </c>
    </row>
    <row r="4712" spans="1:12" ht="15" customHeight="1" x14ac:dyDescent="0.25">
      <c r="A4712" s="15" t="s">
        <v>60</v>
      </c>
      <c r="B4712" s="16"/>
      <c r="C4712" s="16"/>
      <c r="D4712" s="16"/>
      <c r="E4712" s="16"/>
      <c r="F4712" s="16"/>
      <c r="G4712" s="16"/>
      <c r="H4712" s="16"/>
      <c r="I4712" s="16"/>
      <c r="J4712" s="17"/>
      <c r="K4712" s="15">
        <v>0</v>
      </c>
      <c r="L4712" s="17"/>
    </row>
    <row r="4713" spans="1:12" x14ac:dyDescent="0.25">
      <c r="A4713" s="18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</row>
    <row r="4714" spans="1:12" ht="15" customHeight="1" x14ac:dyDescent="0.25">
      <c r="A4714" s="27" t="s">
        <v>61</v>
      </c>
      <c r="B4714" s="27"/>
      <c r="C4714" s="27"/>
      <c r="D4714" s="27"/>
      <c r="E4714" s="27"/>
      <c r="F4714" s="27"/>
      <c r="G4714" s="27"/>
      <c r="H4714" s="27"/>
      <c r="I4714" s="27"/>
      <c r="J4714" s="27"/>
      <c r="K4714" s="27">
        <v>11.06</v>
      </c>
      <c r="L4714" s="27"/>
    </row>
    <row r="4715" spans="1:12" ht="15" customHeight="1" x14ac:dyDescent="0.25">
      <c r="A4715" s="27" t="s">
        <v>62</v>
      </c>
      <c r="B4715" s="27"/>
      <c r="C4715" s="27"/>
      <c r="D4715" s="27"/>
      <c r="E4715" s="27"/>
      <c r="F4715" s="27"/>
      <c r="G4715" s="27"/>
      <c r="H4715" s="27"/>
      <c r="I4715" s="27"/>
      <c r="J4715" s="27"/>
      <c r="K4715" s="27">
        <v>3.68</v>
      </c>
      <c r="L4715" s="27"/>
    </row>
    <row r="4716" spans="1:12" ht="15" customHeight="1" x14ac:dyDescent="0.25">
      <c r="A4716" s="27" t="s">
        <v>63</v>
      </c>
      <c r="B4716" s="27"/>
      <c r="C4716" s="27"/>
      <c r="D4716" s="27"/>
      <c r="E4716" s="27"/>
      <c r="F4716" s="27"/>
      <c r="G4716" s="27"/>
      <c r="H4716" s="27"/>
      <c r="I4716" s="27"/>
      <c r="J4716" s="27"/>
      <c r="K4716" s="27">
        <v>14.74</v>
      </c>
      <c r="L4716" s="27"/>
    </row>
    <row r="4717" spans="1:12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</row>
    <row r="4718" spans="1:12" ht="15" customHeight="1" x14ac:dyDescent="0.25">
      <c r="A4718" s="3" t="s">
        <v>8</v>
      </c>
      <c r="B4718" s="6" t="s">
        <v>9</v>
      </c>
      <c r="C4718" s="6"/>
      <c r="D4718" s="6"/>
      <c r="E4718" s="6"/>
      <c r="F4718" s="6"/>
      <c r="G4718" s="6"/>
      <c r="H4718" s="6"/>
      <c r="I4718" s="6"/>
      <c r="J4718" s="6"/>
      <c r="K4718" s="6"/>
      <c r="L4718" s="6"/>
    </row>
    <row r="4719" spans="1:12" ht="15" customHeight="1" x14ac:dyDescent="0.25">
      <c r="A4719" s="3" t="s">
        <v>10</v>
      </c>
      <c r="B4719" s="6" t="s">
        <v>574</v>
      </c>
      <c r="C4719" s="6"/>
      <c r="D4719" s="6"/>
      <c r="E4719" s="6"/>
      <c r="F4719" s="6"/>
      <c r="G4719" s="6"/>
      <c r="H4719" s="6"/>
      <c r="I4719" s="6"/>
      <c r="J4719" s="6"/>
      <c r="K4719" s="3" t="s">
        <v>12</v>
      </c>
      <c r="L4719" s="4" t="s">
        <v>84</v>
      </c>
    </row>
    <row r="4720" spans="1:12" ht="15" customHeight="1" x14ac:dyDescent="0.25">
      <c r="A4720" s="3" t="s">
        <v>14</v>
      </c>
      <c r="B4720" s="6" t="s">
        <v>88</v>
      </c>
      <c r="C4720" s="6"/>
      <c r="D4720" s="7" t="s">
        <v>16</v>
      </c>
      <c r="E4720" s="7"/>
      <c r="F4720" s="6" t="str">
        <f>"2A87.000273"</f>
        <v>2A87.000273</v>
      </c>
      <c r="G4720" s="6"/>
      <c r="H4720" s="3" t="s">
        <v>17</v>
      </c>
      <c r="I4720" s="6" t="s">
        <v>89</v>
      </c>
      <c r="J4720" s="6"/>
      <c r="K4720" s="3" t="s">
        <v>19</v>
      </c>
      <c r="L4720" s="5">
        <v>1</v>
      </c>
    </row>
    <row r="4721" spans="1:12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</row>
    <row r="4722" spans="1:12" ht="15" customHeight="1" x14ac:dyDescent="0.25">
      <c r="A4722" s="10" t="s">
        <v>20</v>
      </c>
      <c r="B4722" s="11"/>
      <c r="C4722" s="12"/>
      <c r="D4722" s="8" t="s">
        <v>21</v>
      </c>
      <c r="E4722" s="8" t="s">
        <v>22</v>
      </c>
      <c r="F4722" s="9" t="s">
        <v>23</v>
      </c>
      <c r="G4722" s="9" t="s">
        <v>24</v>
      </c>
      <c r="H4722" s="9" t="s">
        <v>25</v>
      </c>
      <c r="I4722" s="9" t="s">
        <v>26</v>
      </c>
      <c r="J4722" s="9" t="s">
        <v>27</v>
      </c>
      <c r="K4722" s="13" t="s">
        <v>28</v>
      </c>
      <c r="L4722" s="14"/>
    </row>
    <row r="4723" spans="1:12" ht="15" customHeight="1" x14ac:dyDescent="0.25">
      <c r="A4723" s="15" t="s">
        <v>29</v>
      </c>
      <c r="B4723" s="16"/>
      <c r="C4723" s="16"/>
      <c r="D4723" s="16"/>
      <c r="E4723" s="16"/>
      <c r="F4723" s="16"/>
      <c r="G4723" s="16"/>
      <c r="H4723" s="16"/>
      <c r="I4723" s="16"/>
      <c r="J4723" s="17"/>
      <c r="K4723" s="15">
        <v>0</v>
      </c>
      <c r="L4723" s="17"/>
    </row>
    <row r="4724" spans="1:12" x14ac:dyDescent="0.25">
      <c r="A4724" s="18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</row>
    <row r="4725" spans="1:12" ht="15" customHeight="1" x14ac:dyDescent="0.25">
      <c r="A4725" s="10" t="s">
        <v>30</v>
      </c>
      <c r="B4725" s="11"/>
      <c r="C4725" s="12"/>
      <c r="D4725" s="8" t="s">
        <v>21</v>
      </c>
      <c r="E4725" s="8" t="s">
        <v>22</v>
      </c>
      <c r="F4725" s="9" t="s">
        <v>31</v>
      </c>
      <c r="G4725" s="9" t="s">
        <v>32</v>
      </c>
      <c r="H4725" s="9" t="s">
        <v>33</v>
      </c>
      <c r="I4725" s="13" t="s">
        <v>34</v>
      </c>
      <c r="J4725" s="14"/>
      <c r="K4725" s="13" t="s">
        <v>28</v>
      </c>
      <c r="L4725" s="14"/>
    </row>
    <row r="4726" spans="1:12" ht="15" customHeight="1" x14ac:dyDescent="0.25">
      <c r="A4726" s="15" t="s">
        <v>38</v>
      </c>
      <c r="B4726" s="16"/>
      <c r="C4726" s="16"/>
      <c r="D4726" s="16"/>
      <c r="E4726" s="16"/>
      <c r="F4726" s="16"/>
      <c r="G4726" s="16"/>
      <c r="H4726" s="16"/>
      <c r="I4726" s="16"/>
      <c r="J4726" s="17"/>
      <c r="K4726" s="15">
        <v>0</v>
      </c>
      <c r="L4726" s="17"/>
    </row>
    <row r="4727" spans="1:12" x14ac:dyDescent="0.25">
      <c r="A4727" s="18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</row>
    <row r="4728" spans="1:12" ht="15" customHeight="1" x14ac:dyDescent="0.25">
      <c r="A4728" s="10" t="s">
        <v>39</v>
      </c>
      <c r="B4728" s="11"/>
      <c r="C4728" s="12"/>
      <c r="D4728" s="8" t="s">
        <v>21</v>
      </c>
      <c r="E4728" s="13" t="s">
        <v>40</v>
      </c>
      <c r="F4728" s="14"/>
      <c r="G4728" s="8" t="s">
        <v>41</v>
      </c>
      <c r="H4728" s="8" t="s">
        <v>42</v>
      </c>
      <c r="I4728" s="8" t="s">
        <v>43</v>
      </c>
      <c r="J4728" s="13" t="s">
        <v>44</v>
      </c>
      <c r="K4728" s="26"/>
      <c r="L4728" s="14"/>
    </row>
    <row r="4729" spans="1:12" ht="15" customHeight="1" x14ac:dyDescent="0.25">
      <c r="A4729" s="15" t="s">
        <v>45</v>
      </c>
      <c r="B4729" s="16"/>
      <c r="C4729" s="16"/>
      <c r="D4729" s="16"/>
      <c r="E4729" s="16"/>
      <c r="F4729" s="16"/>
      <c r="G4729" s="16"/>
      <c r="H4729" s="16"/>
      <c r="I4729" s="16"/>
      <c r="J4729" s="17"/>
      <c r="K4729" s="15">
        <v>0</v>
      </c>
      <c r="L4729" s="17"/>
    </row>
    <row r="4730" spans="1:12" x14ac:dyDescent="0.25">
      <c r="A4730" s="18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</row>
    <row r="4731" spans="1:12" ht="15" customHeight="1" x14ac:dyDescent="0.25">
      <c r="A4731" s="27" t="s">
        <v>46</v>
      </c>
      <c r="B4731" s="27"/>
      <c r="C4731" s="27"/>
      <c r="D4731" s="27"/>
      <c r="E4731" s="27"/>
      <c r="F4731" s="27"/>
      <c r="G4731" s="27"/>
      <c r="H4731" s="27"/>
      <c r="I4731" s="27"/>
      <c r="J4731" s="27"/>
      <c r="K4731" s="27">
        <v>0</v>
      </c>
      <c r="L4731" s="27"/>
    </row>
    <row r="4732" spans="1:12" ht="15" customHeight="1" x14ac:dyDescent="0.25">
      <c r="A4732" s="27" t="s">
        <v>47</v>
      </c>
      <c r="B4732" s="27"/>
      <c r="C4732" s="27"/>
      <c r="D4732" s="27"/>
      <c r="E4732" s="27"/>
      <c r="F4732" s="27"/>
      <c r="G4732" s="27"/>
      <c r="H4732" s="27"/>
      <c r="I4732" s="27"/>
      <c r="J4732" s="27"/>
      <c r="K4732" s="27">
        <v>1</v>
      </c>
      <c r="L4732" s="27"/>
    </row>
    <row r="4733" spans="1:12" ht="15" customHeight="1" x14ac:dyDescent="0.25">
      <c r="A4733" s="27" t="s">
        <v>48</v>
      </c>
      <c r="B4733" s="27"/>
      <c r="C4733" s="27"/>
      <c r="D4733" s="27"/>
      <c r="E4733" s="27"/>
      <c r="F4733" s="27"/>
      <c r="G4733" s="27"/>
      <c r="H4733" s="27"/>
      <c r="I4733" s="27"/>
      <c r="J4733" s="27"/>
      <c r="K4733" s="27">
        <v>0</v>
      </c>
      <c r="L4733" s="27"/>
    </row>
    <row r="4734" spans="1:12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</row>
    <row r="4735" spans="1:12" ht="15" customHeight="1" x14ac:dyDescent="0.25">
      <c r="A4735" s="10" t="s">
        <v>49</v>
      </c>
      <c r="B4735" s="11"/>
      <c r="C4735" s="11"/>
      <c r="D4735" s="11"/>
      <c r="E4735" s="12"/>
      <c r="F4735" s="8" t="s">
        <v>21</v>
      </c>
      <c r="G4735" s="8" t="s">
        <v>22</v>
      </c>
      <c r="H4735" s="9" t="s">
        <v>44</v>
      </c>
      <c r="I4735" s="13" t="s">
        <v>34</v>
      </c>
      <c r="J4735" s="14"/>
      <c r="K4735" s="13" t="s">
        <v>50</v>
      </c>
      <c r="L4735" s="14"/>
    </row>
    <row r="4736" spans="1:12" ht="30" customHeight="1" x14ac:dyDescent="0.25">
      <c r="A4736" s="21" t="s">
        <v>575</v>
      </c>
      <c r="B4736" s="22"/>
      <c r="C4736" s="22"/>
      <c r="D4736" s="22"/>
      <c r="E4736" s="23"/>
      <c r="F4736" s="19" t="str">
        <f>"00001573"</f>
        <v>00001573</v>
      </c>
      <c r="G4736" s="19" t="s">
        <v>81</v>
      </c>
      <c r="H4736" s="20">
        <v>1.77</v>
      </c>
      <c r="I4736" s="24">
        <v>1</v>
      </c>
      <c r="J4736" s="25"/>
      <c r="K4736" s="24">
        <v>1.77</v>
      </c>
      <c r="L4736" s="25"/>
    </row>
    <row r="4737" spans="1:12" ht="15" customHeight="1" x14ac:dyDescent="0.25">
      <c r="A4737" s="15" t="s">
        <v>51</v>
      </c>
      <c r="B4737" s="16"/>
      <c r="C4737" s="16"/>
      <c r="D4737" s="16"/>
      <c r="E4737" s="16"/>
      <c r="F4737" s="16"/>
      <c r="G4737" s="16"/>
      <c r="H4737" s="16"/>
      <c r="I4737" s="16"/>
      <c r="J4737" s="17"/>
      <c r="K4737" s="15">
        <v>1.77</v>
      </c>
      <c r="L4737" s="17"/>
    </row>
    <row r="4738" spans="1:12" x14ac:dyDescent="0.25">
      <c r="A4738" s="18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</row>
    <row r="4739" spans="1:12" ht="15" customHeight="1" x14ac:dyDescent="0.25">
      <c r="A4739" s="10" t="s">
        <v>52</v>
      </c>
      <c r="B4739" s="11"/>
      <c r="C4739" s="11"/>
      <c r="D4739" s="11"/>
      <c r="E4739" s="12"/>
      <c r="F4739" s="8" t="s">
        <v>21</v>
      </c>
      <c r="G4739" s="8" t="s">
        <v>22</v>
      </c>
      <c r="H4739" s="9" t="s">
        <v>44</v>
      </c>
      <c r="I4739" s="13" t="s">
        <v>34</v>
      </c>
      <c r="J4739" s="14"/>
      <c r="K4739" s="13" t="s">
        <v>50</v>
      </c>
      <c r="L4739" s="14"/>
    </row>
    <row r="4740" spans="1:12" ht="15" customHeight="1" x14ac:dyDescent="0.25">
      <c r="A4740" s="21" t="s">
        <v>566</v>
      </c>
      <c r="B4740" s="22"/>
      <c r="C4740" s="22"/>
      <c r="D4740" s="22"/>
      <c r="E4740" s="23"/>
      <c r="F4740" s="19" t="s">
        <v>576</v>
      </c>
      <c r="G4740" s="19" t="s">
        <v>84</v>
      </c>
      <c r="H4740" s="20">
        <v>1</v>
      </c>
      <c r="I4740" s="24" t="s">
        <v>164</v>
      </c>
      <c r="J4740" s="25"/>
      <c r="K4740" s="24" t="s">
        <v>164</v>
      </c>
      <c r="L4740" s="25"/>
    </row>
    <row r="4741" spans="1:12" ht="15" customHeight="1" x14ac:dyDescent="0.25">
      <c r="A4741" s="15" t="s">
        <v>53</v>
      </c>
      <c r="B4741" s="16"/>
      <c r="C4741" s="16"/>
      <c r="D4741" s="16"/>
      <c r="E4741" s="16"/>
      <c r="F4741" s="16"/>
      <c r="G4741" s="16"/>
      <c r="H4741" s="16"/>
      <c r="I4741" s="16"/>
      <c r="J4741" s="17"/>
      <c r="K4741" s="15">
        <v>9.58</v>
      </c>
      <c r="L4741" s="17"/>
    </row>
    <row r="4742" spans="1:12" x14ac:dyDescent="0.25">
      <c r="A4742" s="18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</row>
    <row r="4743" spans="1:12" ht="15" customHeight="1" x14ac:dyDescent="0.25">
      <c r="A4743" s="10" t="s">
        <v>54</v>
      </c>
      <c r="B4743" s="11"/>
      <c r="C4743" s="12"/>
      <c r="D4743" s="8" t="s">
        <v>21</v>
      </c>
      <c r="E4743" s="8" t="s">
        <v>22</v>
      </c>
      <c r="F4743" s="9" t="s">
        <v>55</v>
      </c>
      <c r="G4743" s="8" t="s">
        <v>56</v>
      </c>
      <c r="H4743" s="8" t="s">
        <v>57</v>
      </c>
      <c r="I4743" s="8" t="s">
        <v>58</v>
      </c>
      <c r="J4743" s="9" t="s">
        <v>59</v>
      </c>
      <c r="K4743" s="9" t="s">
        <v>34</v>
      </c>
      <c r="L4743" s="9" t="s">
        <v>50</v>
      </c>
    </row>
    <row r="4744" spans="1:12" ht="15" customHeight="1" x14ac:dyDescent="0.25">
      <c r="A4744" s="15" t="s">
        <v>60</v>
      </c>
      <c r="B4744" s="16"/>
      <c r="C4744" s="16"/>
      <c r="D4744" s="16"/>
      <c r="E4744" s="16"/>
      <c r="F4744" s="16"/>
      <c r="G4744" s="16"/>
      <c r="H4744" s="16"/>
      <c r="I4744" s="16"/>
      <c r="J4744" s="17"/>
      <c r="K4744" s="15">
        <v>0</v>
      </c>
      <c r="L4744" s="17"/>
    </row>
    <row r="4745" spans="1:12" x14ac:dyDescent="0.25">
      <c r="A4745" s="18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</row>
    <row r="4746" spans="1:12" ht="15" customHeight="1" x14ac:dyDescent="0.25">
      <c r="A4746" s="27" t="s">
        <v>61</v>
      </c>
      <c r="B4746" s="27"/>
      <c r="C4746" s="27"/>
      <c r="D4746" s="27"/>
      <c r="E4746" s="27"/>
      <c r="F4746" s="27"/>
      <c r="G4746" s="27"/>
      <c r="H4746" s="27"/>
      <c r="I4746" s="27"/>
      <c r="J4746" s="27"/>
      <c r="K4746" s="27">
        <v>11.35</v>
      </c>
      <c r="L4746" s="27"/>
    </row>
    <row r="4747" spans="1:12" ht="15" customHeight="1" x14ac:dyDescent="0.25">
      <c r="A4747" s="27" t="s">
        <v>62</v>
      </c>
      <c r="B4747" s="27"/>
      <c r="C4747" s="27"/>
      <c r="D4747" s="27"/>
      <c r="E4747" s="27"/>
      <c r="F4747" s="27"/>
      <c r="G4747" s="27"/>
      <c r="H4747" s="27"/>
      <c r="I4747" s="27"/>
      <c r="J4747" s="27"/>
      <c r="K4747" s="27">
        <v>3.77</v>
      </c>
      <c r="L4747" s="27"/>
    </row>
    <row r="4748" spans="1:12" ht="15" customHeight="1" x14ac:dyDescent="0.25">
      <c r="A4748" s="27" t="s">
        <v>63</v>
      </c>
      <c r="B4748" s="27"/>
      <c r="C4748" s="27"/>
      <c r="D4748" s="27"/>
      <c r="E4748" s="27"/>
      <c r="F4748" s="27"/>
      <c r="G4748" s="27"/>
      <c r="H4748" s="27"/>
      <c r="I4748" s="27"/>
      <c r="J4748" s="27"/>
      <c r="K4748" s="27">
        <v>15.12</v>
      </c>
      <c r="L4748" s="27"/>
    </row>
    <row r="4749" spans="1:12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</row>
    <row r="4750" spans="1:12" ht="15" customHeight="1" x14ac:dyDescent="0.25">
      <c r="A4750" s="3" t="s">
        <v>8</v>
      </c>
      <c r="B4750" s="6" t="s">
        <v>9</v>
      </c>
      <c r="C4750" s="6"/>
      <c r="D4750" s="6"/>
      <c r="E4750" s="6"/>
      <c r="F4750" s="6"/>
      <c r="G4750" s="6"/>
      <c r="H4750" s="6"/>
      <c r="I4750" s="6"/>
      <c r="J4750" s="6"/>
      <c r="K4750" s="6"/>
      <c r="L4750" s="6"/>
    </row>
    <row r="4751" spans="1:12" ht="15" customHeight="1" x14ac:dyDescent="0.25">
      <c r="A4751" s="3" t="s">
        <v>10</v>
      </c>
      <c r="B4751" s="6" t="s">
        <v>577</v>
      </c>
      <c r="C4751" s="6"/>
      <c r="D4751" s="6"/>
      <c r="E4751" s="6"/>
      <c r="F4751" s="6"/>
      <c r="G4751" s="6"/>
      <c r="H4751" s="6"/>
      <c r="I4751" s="6"/>
      <c r="J4751" s="6"/>
      <c r="K4751" s="3" t="s">
        <v>12</v>
      </c>
      <c r="L4751" s="4" t="s">
        <v>84</v>
      </c>
    </row>
    <row r="4752" spans="1:12" ht="15" customHeight="1" x14ac:dyDescent="0.25">
      <c r="A4752" s="3" t="s">
        <v>14</v>
      </c>
      <c r="B4752" s="6" t="s">
        <v>88</v>
      </c>
      <c r="C4752" s="6"/>
      <c r="D4752" s="7" t="s">
        <v>16</v>
      </c>
      <c r="E4752" s="7"/>
      <c r="F4752" s="6" t="str">
        <f>"2A87.000274"</f>
        <v>2A87.000274</v>
      </c>
      <c r="G4752" s="6"/>
      <c r="H4752" s="3" t="s">
        <v>17</v>
      </c>
      <c r="I4752" s="6" t="s">
        <v>89</v>
      </c>
      <c r="J4752" s="6"/>
      <c r="K4752" s="3" t="s">
        <v>19</v>
      </c>
      <c r="L4752" s="5">
        <v>1</v>
      </c>
    </row>
    <row r="4753" spans="1:12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</row>
    <row r="4754" spans="1:12" ht="15" customHeight="1" x14ac:dyDescent="0.25">
      <c r="A4754" s="10" t="s">
        <v>20</v>
      </c>
      <c r="B4754" s="11"/>
      <c r="C4754" s="12"/>
      <c r="D4754" s="8" t="s">
        <v>21</v>
      </c>
      <c r="E4754" s="8" t="s">
        <v>22</v>
      </c>
      <c r="F4754" s="9" t="s">
        <v>23</v>
      </c>
      <c r="G4754" s="9" t="s">
        <v>24</v>
      </c>
      <c r="H4754" s="9" t="s">
        <v>25</v>
      </c>
      <c r="I4754" s="9" t="s">
        <v>26</v>
      </c>
      <c r="J4754" s="9" t="s">
        <v>27</v>
      </c>
      <c r="K4754" s="13" t="s">
        <v>28</v>
      </c>
      <c r="L4754" s="14"/>
    </row>
    <row r="4755" spans="1:12" ht="15" customHeight="1" x14ac:dyDescent="0.25">
      <c r="A4755" s="15" t="s">
        <v>29</v>
      </c>
      <c r="B4755" s="16"/>
      <c r="C4755" s="16"/>
      <c r="D4755" s="16"/>
      <c r="E4755" s="16"/>
      <c r="F4755" s="16"/>
      <c r="G4755" s="16"/>
      <c r="H4755" s="16"/>
      <c r="I4755" s="16"/>
      <c r="J4755" s="17"/>
      <c r="K4755" s="15">
        <v>0</v>
      </c>
      <c r="L4755" s="17"/>
    </row>
    <row r="4756" spans="1:12" x14ac:dyDescent="0.25">
      <c r="A4756" s="18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</row>
    <row r="4757" spans="1:12" ht="15" customHeight="1" x14ac:dyDescent="0.25">
      <c r="A4757" s="10" t="s">
        <v>30</v>
      </c>
      <c r="B4757" s="11"/>
      <c r="C4757" s="12"/>
      <c r="D4757" s="8" t="s">
        <v>21</v>
      </c>
      <c r="E4757" s="8" t="s">
        <v>22</v>
      </c>
      <c r="F4757" s="9" t="s">
        <v>31</v>
      </c>
      <c r="G4757" s="9" t="s">
        <v>32</v>
      </c>
      <c r="H4757" s="9" t="s">
        <v>33</v>
      </c>
      <c r="I4757" s="13" t="s">
        <v>34</v>
      </c>
      <c r="J4757" s="14"/>
      <c r="K4757" s="13" t="s">
        <v>28</v>
      </c>
      <c r="L4757" s="14"/>
    </row>
    <row r="4758" spans="1:12" ht="15" customHeight="1" x14ac:dyDescent="0.25">
      <c r="A4758" s="15" t="s">
        <v>38</v>
      </c>
      <c r="B4758" s="16"/>
      <c r="C4758" s="16"/>
      <c r="D4758" s="16"/>
      <c r="E4758" s="16"/>
      <c r="F4758" s="16"/>
      <c r="G4758" s="16"/>
      <c r="H4758" s="16"/>
      <c r="I4758" s="16"/>
      <c r="J4758" s="17"/>
      <c r="K4758" s="15">
        <v>0</v>
      </c>
      <c r="L4758" s="17"/>
    </row>
    <row r="4759" spans="1:12" x14ac:dyDescent="0.25">
      <c r="A4759" s="18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</row>
    <row r="4760" spans="1:12" ht="15" customHeight="1" x14ac:dyDescent="0.25">
      <c r="A4760" s="10" t="s">
        <v>39</v>
      </c>
      <c r="B4760" s="11"/>
      <c r="C4760" s="12"/>
      <c r="D4760" s="8" t="s">
        <v>21</v>
      </c>
      <c r="E4760" s="13" t="s">
        <v>40</v>
      </c>
      <c r="F4760" s="14"/>
      <c r="G4760" s="8" t="s">
        <v>41</v>
      </c>
      <c r="H4760" s="8" t="s">
        <v>42</v>
      </c>
      <c r="I4760" s="8" t="s">
        <v>43</v>
      </c>
      <c r="J4760" s="13" t="s">
        <v>44</v>
      </c>
      <c r="K4760" s="26"/>
      <c r="L4760" s="14"/>
    </row>
    <row r="4761" spans="1:12" ht="15" customHeight="1" x14ac:dyDescent="0.25">
      <c r="A4761" s="15" t="s">
        <v>45</v>
      </c>
      <c r="B4761" s="16"/>
      <c r="C4761" s="16"/>
      <c r="D4761" s="16"/>
      <c r="E4761" s="16"/>
      <c r="F4761" s="16"/>
      <c r="G4761" s="16"/>
      <c r="H4761" s="16"/>
      <c r="I4761" s="16"/>
      <c r="J4761" s="17"/>
      <c r="K4761" s="15">
        <v>0</v>
      </c>
      <c r="L4761" s="17"/>
    </row>
    <row r="4762" spans="1:12" x14ac:dyDescent="0.25">
      <c r="A4762" s="18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</row>
    <row r="4763" spans="1:12" ht="15" customHeight="1" x14ac:dyDescent="0.25">
      <c r="A4763" s="27" t="s">
        <v>46</v>
      </c>
      <c r="B4763" s="27"/>
      <c r="C4763" s="27"/>
      <c r="D4763" s="27"/>
      <c r="E4763" s="27"/>
      <c r="F4763" s="27"/>
      <c r="G4763" s="27"/>
      <c r="H4763" s="27"/>
      <c r="I4763" s="27"/>
      <c r="J4763" s="27"/>
      <c r="K4763" s="27">
        <v>0</v>
      </c>
      <c r="L4763" s="27"/>
    </row>
    <row r="4764" spans="1:12" ht="15" customHeight="1" x14ac:dyDescent="0.25">
      <c r="A4764" s="27" t="s">
        <v>47</v>
      </c>
      <c r="B4764" s="27"/>
      <c r="C4764" s="27"/>
      <c r="D4764" s="27"/>
      <c r="E4764" s="27"/>
      <c r="F4764" s="27"/>
      <c r="G4764" s="27"/>
      <c r="H4764" s="27"/>
      <c r="I4764" s="27"/>
      <c r="J4764" s="27"/>
      <c r="K4764" s="27">
        <v>1</v>
      </c>
      <c r="L4764" s="27"/>
    </row>
    <row r="4765" spans="1:12" ht="15" customHeight="1" x14ac:dyDescent="0.25">
      <c r="A4765" s="27" t="s">
        <v>48</v>
      </c>
      <c r="B4765" s="27"/>
      <c r="C4765" s="27"/>
      <c r="D4765" s="27"/>
      <c r="E4765" s="27"/>
      <c r="F4765" s="27"/>
      <c r="G4765" s="27"/>
      <c r="H4765" s="27"/>
      <c r="I4765" s="27"/>
      <c r="J4765" s="27"/>
      <c r="K4765" s="27">
        <v>0</v>
      </c>
      <c r="L4765" s="27"/>
    </row>
    <row r="4766" spans="1:12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</row>
    <row r="4767" spans="1:12" ht="15" customHeight="1" x14ac:dyDescent="0.25">
      <c r="A4767" s="10" t="s">
        <v>49</v>
      </c>
      <c r="B4767" s="11"/>
      <c r="C4767" s="11"/>
      <c r="D4767" s="11"/>
      <c r="E4767" s="12"/>
      <c r="F4767" s="8" t="s">
        <v>21</v>
      </c>
      <c r="G4767" s="8" t="s">
        <v>22</v>
      </c>
      <c r="H4767" s="9" t="s">
        <v>44</v>
      </c>
      <c r="I4767" s="13" t="s">
        <v>34</v>
      </c>
      <c r="J4767" s="14"/>
      <c r="K4767" s="13" t="s">
        <v>50</v>
      </c>
      <c r="L4767" s="14"/>
    </row>
    <row r="4768" spans="1:12" ht="30" customHeight="1" x14ac:dyDescent="0.25">
      <c r="A4768" s="21" t="s">
        <v>578</v>
      </c>
      <c r="B4768" s="22"/>
      <c r="C4768" s="22"/>
      <c r="D4768" s="22"/>
      <c r="E4768" s="23"/>
      <c r="F4768" s="19" t="str">
        <f>"00001575"</f>
        <v>00001575</v>
      </c>
      <c r="G4768" s="19" t="s">
        <v>81</v>
      </c>
      <c r="H4768" s="20">
        <v>2.27</v>
      </c>
      <c r="I4768" s="24">
        <v>1</v>
      </c>
      <c r="J4768" s="25"/>
      <c r="K4768" s="24">
        <v>2.27</v>
      </c>
      <c r="L4768" s="25"/>
    </row>
    <row r="4769" spans="1:12" ht="15" customHeight="1" x14ac:dyDescent="0.25">
      <c r="A4769" s="15" t="s">
        <v>51</v>
      </c>
      <c r="B4769" s="16"/>
      <c r="C4769" s="16"/>
      <c r="D4769" s="16"/>
      <c r="E4769" s="16"/>
      <c r="F4769" s="16"/>
      <c r="G4769" s="16"/>
      <c r="H4769" s="16"/>
      <c r="I4769" s="16"/>
      <c r="J4769" s="17"/>
      <c r="K4769" s="15">
        <v>2.27</v>
      </c>
      <c r="L4769" s="17"/>
    </row>
    <row r="4770" spans="1:12" x14ac:dyDescent="0.25">
      <c r="A4770" s="18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</row>
    <row r="4771" spans="1:12" ht="15" customHeight="1" x14ac:dyDescent="0.25">
      <c r="A4771" s="10" t="s">
        <v>52</v>
      </c>
      <c r="B4771" s="11"/>
      <c r="C4771" s="11"/>
      <c r="D4771" s="11"/>
      <c r="E4771" s="12"/>
      <c r="F4771" s="8" t="s">
        <v>21</v>
      </c>
      <c r="G4771" s="8" t="s">
        <v>22</v>
      </c>
      <c r="H4771" s="9" t="s">
        <v>44</v>
      </c>
      <c r="I4771" s="13" t="s">
        <v>34</v>
      </c>
      <c r="J4771" s="14"/>
      <c r="K4771" s="13" t="s">
        <v>50</v>
      </c>
      <c r="L4771" s="14"/>
    </row>
    <row r="4772" spans="1:12" ht="15" customHeight="1" x14ac:dyDescent="0.25">
      <c r="A4772" s="21" t="s">
        <v>579</v>
      </c>
      <c r="B4772" s="22"/>
      <c r="C4772" s="22"/>
      <c r="D4772" s="22"/>
      <c r="E4772" s="23"/>
      <c r="F4772" s="19" t="s">
        <v>580</v>
      </c>
      <c r="G4772" s="19" t="s">
        <v>84</v>
      </c>
      <c r="H4772" s="20">
        <v>1</v>
      </c>
      <c r="I4772" s="24" t="s">
        <v>164</v>
      </c>
      <c r="J4772" s="25"/>
      <c r="K4772" s="24" t="s">
        <v>164</v>
      </c>
      <c r="L4772" s="25"/>
    </row>
    <row r="4773" spans="1:12" ht="15" customHeight="1" x14ac:dyDescent="0.25">
      <c r="A4773" s="15" t="s">
        <v>53</v>
      </c>
      <c r="B4773" s="16"/>
      <c r="C4773" s="16"/>
      <c r="D4773" s="16"/>
      <c r="E4773" s="16"/>
      <c r="F4773" s="16"/>
      <c r="G4773" s="16"/>
      <c r="H4773" s="16"/>
      <c r="I4773" s="16"/>
      <c r="J4773" s="17"/>
      <c r="K4773" s="15">
        <v>11.98</v>
      </c>
      <c r="L4773" s="17"/>
    </row>
    <row r="4774" spans="1:12" x14ac:dyDescent="0.25">
      <c r="A4774" s="18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</row>
    <row r="4775" spans="1:12" ht="15" customHeight="1" x14ac:dyDescent="0.25">
      <c r="A4775" s="10" t="s">
        <v>54</v>
      </c>
      <c r="B4775" s="11"/>
      <c r="C4775" s="12"/>
      <c r="D4775" s="8" t="s">
        <v>21</v>
      </c>
      <c r="E4775" s="8" t="s">
        <v>22</v>
      </c>
      <c r="F4775" s="9" t="s">
        <v>55</v>
      </c>
      <c r="G4775" s="8" t="s">
        <v>56</v>
      </c>
      <c r="H4775" s="8" t="s">
        <v>57</v>
      </c>
      <c r="I4775" s="8" t="s">
        <v>58</v>
      </c>
      <c r="J4775" s="9" t="s">
        <v>59</v>
      </c>
      <c r="K4775" s="9" t="s">
        <v>34</v>
      </c>
      <c r="L4775" s="9" t="s">
        <v>50</v>
      </c>
    </row>
    <row r="4776" spans="1:12" ht="15" customHeight="1" x14ac:dyDescent="0.25">
      <c r="A4776" s="15" t="s">
        <v>60</v>
      </c>
      <c r="B4776" s="16"/>
      <c r="C4776" s="16"/>
      <c r="D4776" s="16"/>
      <c r="E4776" s="16"/>
      <c r="F4776" s="16"/>
      <c r="G4776" s="16"/>
      <c r="H4776" s="16"/>
      <c r="I4776" s="16"/>
      <c r="J4776" s="17"/>
      <c r="K4776" s="15">
        <v>0</v>
      </c>
      <c r="L4776" s="17"/>
    </row>
    <row r="4777" spans="1:12" x14ac:dyDescent="0.25">
      <c r="A4777" s="18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</row>
    <row r="4778" spans="1:12" ht="15" customHeight="1" x14ac:dyDescent="0.25">
      <c r="A4778" s="27" t="s">
        <v>61</v>
      </c>
      <c r="B4778" s="27"/>
      <c r="C4778" s="27"/>
      <c r="D4778" s="27"/>
      <c r="E4778" s="27"/>
      <c r="F4778" s="27"/>
      <c r="G4778" s="27"/>
      <c r="H4778" s="27"/>
      <c r="I4778" s="27"/>
      <c r="J4778" s="27"/>
      <c r="K4778" s="27">
        <v>14.25</v>
      </c>
      <c r="L4778" s="27"/>
    </row>
    <row r="4779" spans="1:12" ht="15" customHeight="1" x14ac:dyDescent="0.25">
      <c r="A4779" s="27" t="s">
        <v>62</v>
      </c>
      <c r="B4779" s="27"/>
      <c r="C4779" s="27"/>
      <c r="D4779" s="27"/>
      <c r="E4779" s="27"/>
      <c r="F4779" s="27"/>
      <c r="G4779" s="27"/>
      <c r="H4779" s="27"/>
      <c r="I4779" s="27"/>
      <c r="J4779" s="27"/>
      <c r="K4779" s="27">
        <v>4.74</v>
      </c>
      <c r="L4779" s="27"/>
    </row>
    <row r="4780" spans="1:12" ht="15" customHeight="1" x14ac:dyDescent="0.25">
      <c r="A4780" s="27" t="s">
        <v>63</v>
      </c>
      <c r="B4780" s="27"/>
      <c r="C4780" s="27"/>
      <c r="D4780" s="27"/>
      <c r="E4780" s="27"/>
      <c r="F4780" s="27"/>
      <c r="G4780" s="27"/>
      <c r="H4780" s="27"/>
      <c r="I4780" s="27"/>
      <c r="J4780" s="27"/>
      <c r="K4780" s="27">
        <v>18.989999999999998</v>
      </c>
      <c r="L4780" s="27"/>
    </row>
    <row r="4781" spans="1:12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</row>
    <row r="4782" spans="1:12" ht="15" customHeight="1" x14ac:dyDescent="0.25">
      <c r="A4782" s="3" t="s">
        <v>8</v>
      </c>
      <c r="B4782" s="6" t="s">
        <v>9</v>
      </c>
      <c r="C4782" s="6"/>
      <c r="D4782" s="6"/>
      <c r="E4782" s="6"/>
      <c r="F4782" s="6"/>
      <c r="G4782" s="6"/>
      <c r="H4782" s="6"/>
      <c r="I4782" s="6"/>
      <c r="J4782" s="6"/>
      <c r="K4782" s="6"/>
      <c r="L4782" s="6"/>
    </row>
    <row r="4783" spans="1:12" ht="15" customHeight="1" x14ac:dyDescent="0.25">
      <c r="A4783" s="3" t="s">
        <v>10</v>
      </c>
      <c r="B4783" s="6" t="s">
        <v>581</v>
      </c>
      <c r="C4783" s="6"/>
      <c r="D4783" s="6"/>
      <c r="E4783" s="6"/>
      <c r="F4783" s="6"/>
      <c r="G4783" s="6"/>
      <c r="H4783" s="6"/>
      <c r="I4783" s="6"/>
      <c r="J4783" s="6"/>
      <c r="K4783" s="3" t="s">
        <v>12</v>
      </c>
      <c r="L4783" s="4" t="s">
        <v>84</v>
      </c>
    </row>
    <row r="4784" spans="1:12" ht="15" customHeight="1" x14ac:dyDescent="0.25">
      <c r="A4784" s="3" t="s">
        <v>14</v>
      </c>
      <c r="B4784" s="6" t="s">
        <v>88</v>
      </c>
      <c r="C4784" s="6"/>
      <c r="D4784" s="7" t="s">
        <v>16</v>
      </c>
      <c r="E4784" s="7"/>
      <c r="F4784" s="6" t="str">
        <f>"2A87.000277"</f>
        <v>2A87.000277</v>
      </c>
      <c r="G4784" s="6"/>
      <c r="H4784" s="3" t="s">
        <v>17</v>
      </c>
      <c r="I4784" s="6" t="s">
        <v>89</v>
      </c>
      <c r="J4784" s="6"/>
      <c r="K4784" s="3" t="s">
        <v>19</v>
      </c>
      <c r="L4784" s="5">
        <v>1</v>
      </c>
    </row>
    <row r="4785" spans="1:12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</row>
    <row r="4786" spans="1:12" ht="15" customHeight="1" x14ac:dyDescent="0.25">
      <c r="A4786" s="10" t="s">
        <v>20</v>
      </c>
      <c r="B4786" s="11"/>
      <c r="C4786" s="12"/>
      <c r="D4786" s="8" t="s">
        <v>21</v>
      </c>
      <c r="E4786" s="8" t="s">
        <v>22</v>
      </c>
      <c r="F4786" s="9" t="s">
        <v>23</v>
      </c>
      <c r="G4786" s="9" t="s">
        <v>24</v>
      </c>
      <c r="H4786" s="9" t="s">
        <v>25</v>
      </c>
      <c r="I4786" s="9" t="s">
        <v>26</v>
      </c>
      <c r="J4786" s="9" t="s">
        <v>27</v>
      </c>
      <c r="K4786" s="13" t="s">
        <v>28</v>
      </c>
      <c r="L4786" s="14"/>
    </row>
    <row r="4787" spans="1:12" ht="15" customHeight="1" x14ac:dyDescent="0.25">
      <c r="A4787" s="15" t="s">
        <v>29</v>
      </c>
      <c r="B4787" s="16"/>
      <c r="C4787" s="16"/>
      <c r="D4787" s="16"/>
      <c r="E4787" s="16"/>
      <c r="F4787" s="16"/>
      <c r="G4787" s="16"/>
      <c r="H4787" s="16"/>
      <c r="I4787" s="16"/>
      <c r="J4787" s="17"/>
      <c r="K4787" s="15">
        <v>0</v>
      </c>
      <c r="L4787" s="17"/>
    </row>
    <row r="4788" spans="1:12" x14ac:dyDescent="0.25">
      <c r="A4788" s="18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</row>
    <row r="4789" spans="1:12" ht="15" customHeight="1" x14ac:dyDescent="0.25">
      <c r="A4789" s="10" t="s">
        <v>30</v>
      </c>
      <c r="B4789" s="11"/>
      <c r="C4789" s="12"/>
      <c r="D4789" s="8" t="s">
        <v>21</v>
      </c>
      <c r="E4789" s="8" t="s">
        <v>22</v>
      </c>
      <c r="F4789" s="9" t="s">
        <v>31</v>
      </c>
      <c r="G4789" s="9" t="s">
        <v>32</v>
      </c>
      <c r="H4789" s="9" t="s">
        <v>33</v>
      </c>
      <c r="I4789" s="13" t="s">
        <v>34</v>
      </c>
      <c r="J4789" s="14"/>
      <c r="K4789" s="13" t="s">
        <v>28</v>
      </c>
      <c r="L4789" s="14"/>
    </row>
    <row r="4790" spans="1:12" ht="15" customHeight="1" x14ac:dyDescent="0.25">
      <c r="A4790" s="21" t="s">
        <v>281</v>
      </c>
      <c r="B4790" s="22"/>
      <c r="C4790" s="23"/>
      <c r="D4790" s="19" t="str">
        <f>"010101"</f>
        <v>010101</v>
      </c>
      <c r="E4790" s="19" t="s">
        <v>36</v>
      </c>
      <c r="F4790" s="20">
        <v>8.5299999999999994</v>
      </c>
      <c r="G4790" s="20">
        <v>157.27000000000001</v>
      </c>
      <c r="H4790" s="20">
        <v>21.94</v>
      </c>
      <c r="I4790" s="24">
        <v>0.02</v>
      </c>
      <c r="J4790" s="25"/>
      <c r="K4790" s="24">
        <v>0.43</v>
      </c>
      <c r="L4790" s="25"/>
    </row>
    <row r="4791" spans="1:12" ht="15" customHeight="1" x14ac:dyDescent="0.25">
      <c r="A4791" s="21" t="s">
        <v>336</v>
      </c>
      <c r="B4791" s="22"/>
      <c r="C4791" s="23"/>
      <c r="D4791" s="19" t="str">
        <f>"010115"</f>
        <v>010115</v>
      </c>
      <c r="E4791" s="19" t="s">
        <v>36</v>
      </c>
      <c r="F4791" s="20">
        <v>10.119999999999999</v>
      </c>
      <c r="G4791" s="20">
        <v>157.27000000000001</v>
      </c>
      <c r="H4791" s="20">
        <v>26.03</v>
      </c>
      <c r="I4791" s="24">
        <v>0.02</v>
      </c>
      <c r="J4791" s="25"/>
      <c r="K4791" s="24">
        <v>0.52</v>
      </c>
      <c r="L4791" s="25"/>
    </row>
    <row r="4792" spans="1:12" ht="15" customHeight="1" x14ac:dyDescent="0.25">
      <c r="A4792" s="15" t="s">
        <v>38</v>
      </c>
      <c r="B4792" s="16"/>
      <c r="C4792" s="16"/>
      <c r="D4792" s="16"/>
      <c r="E4792" s="16"/>
      <c r="F4792" s="16"/>
      <c r="G4792" s="16"/>
      <c r="H4792" s="16"/>
      <c r="I4792" s="16"/>
      <c r="J4792" s="17"/>
      <c r="K4792" s="15">
        <v>0.95</v>
      </c>
      <c r="L4792" s="17"/>
    </row>
    <row r="4793" spans="1:12" x14ac:dyDescent="0.25">
      <c r="A4793" s="18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</row>
    <row r="4794" spans="1:12" ht="15" customHeight="1" x14ac:dyDescent="0.25">
      <c r="A4794" s="10" t="s">
        <v>39</v>
      </c>
      <c r="B4794" s="11"/>
      <c r="C4794" s="12"/>
      <c r="D4794" s="8" t="s">
        <v>21</v>
      </c>
      <c r="E4794" s="13" t="s">
        <v>40</v>
      </c>
      <c r="F4794" s="14"/>
      <c r="G4794" s="8" t="s">
        <v>41</v>
      </c>
      <c r="H4794" s="8" t="s">
        <v>42</v>
      </c>
      <c r="I4794" s="8" t="s">
        <v>43</v>
      </c>
      <c r="J4794" s="13" t="s">
        <v>44</v>
      </c>
      <c r="K4794" s="26"/>
      <c r="L4794" s="14"/>
    </row>
    <row r="4795" spans="1:12" ht="15" customHeight="1" x14ac:dyDescent="0.25">
      <c r="A4795" s="15" t="s">
        <v>45</v>
      </c>
      <c r="B4795" s="16"/>
      <c r="C4795" s="16"/>
      <c r="D4795" s="16"/>
      <c r="E4795" s="16"/>
      <c r="F4795" s="16"/>
      <c r="G4795" s="16"/>
      <c r="H4795" s="16"/>
      <c r="I4795" s="16"/>
      <c r="J4795" s="17"/>
      <c r="K4795" s="15">
        <v>0</v>
      </c>
      <c r="L4795" s="17"/>
    </row>
    <row r="4796" spans="1:12" x14ac:dyDescent="0.25">
      <c r="A4796" s="18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</row>
    <row r="4797" spans="1:12" ht="15" customHeight="1" x14ac:dyDescent="0.25">
      <c r="A4797" s="27" t="s">
        <v>46</v>
      </c>
      <c r="B4797" s="27"/>
      <c r="C4797" s="27"/>
      <c r="D4797" s="27"/>
      <c r="E4797" s="27"/>
      <c r="F4797" s="27"/>
      <c r="G4797" s="27"/>
      <c r="H4797" s="27"/>
      <c r="I4797" s="27"/>
      <c r="J4797" s="27"/>
      <c r="K4797" s="27">
        <v>0.95</v>
      </c>
      <c r="L4797" s="27"/>
    </row>
    <row r="4798" spans="1:12" ht="15" customHeight="1" x14ac:dyDescent="0.25">
      <c r="A4798" s="27" t="s">
        <v>47</v>
      </c>
      <c r="B4798" s="27"/>
      <c r="C4798" s="27"/>
      <c r="D4798" s="27"/>
      <c r="E4798" s="27"/>
      <c r="F4798" s="27"/>
      <c r="G4798" s="27"/>
      <c r="H4798" s="27"/>
      <c r="I4798" s="27"/>
      <c r="J4798" s="27"/>
      <c r="K4798" s="27">
        <v>1</v>
      </c>
      <c r="L4798" s="27"/>
    </row>
    <row r="4799" spans="1:12" ht="15" customHeight="1" x14ac:dyDescent="0.25">
      <c r="A4799" s="27" t="s">
        <v>48</v>
      </c>
      <c r="B4799" s="27"/>
      <c r="C4799" s="27"/>
      <c r="D4799" s="27"/>
      <c r="E4799" s="27"/>
      <c r="F4799" s="27"/>
      <c r="G4799" s="27"/>
      <c r="H4799" s="27"/>
      <c r="I4799" s="27"/>
      <c r="J4799" s="27"/>
      <c r="K4799" s="27">
        <v>0.95</v>
      </c>
      <c r="L4799" s="27"/>
    </row>
    <row r="4800" spans="1:12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</row>
    <row r="4801" spans="1:12" ht="15" customHeight="1" x14ac:dyDescent="0.25">
      <c r="A4801" s="10" t="s">
        <v>49</v>
      </c>
      <c r="B4801" s="11"/>
      <c r="C4801" s="11"/>
      <c r="D4801" s="11"/>
      <c r="E4801" s="12"/>
      <c r="F4801" s="8" t="s">
        <v>21</v>
      </c>
      <c r="G4801" s="8" t="s">
        <v>22</v>
      </c>
      <c r="H4801" s="9" t="s">
        <v>44</v>
      </c>
      <c r="I4801" s="13" t="s">
        <v>34</v>
      </c>
      <c r="J4801" s="14"/>
      <c r="K4801" s="13" t="s">
        <v>50</v>
      </c>
      <c r="L4801" s="14"/>
    </row>
    <row r="4802" spans="1:12" ht="30" customHeight="1" x14ac:dyDescent="0.25">
      <c r="A4802" s="21" t="s">
        <v>582</v>
      </c>
      <c r="B4802" s="22"/>
      <c r="C4802" s="22"/>
      <c r="D4802" s="22"/>
      <c r="E4802" s="23"/>
      <c r="F4802" s="19" t="str">
        <f>"049404"</f>
        <v>049404</v>
      </c>
      <c r="G4802" s="19" t="s">
        <v>81</v>
      </c>
      <c r="H4802" s="20">
        <v>1.25</v>
      </c>
      <c r="I4802" s="24">
        <v>1</v>
      </c>
      <c r="J4802" s="25"/>
      <c r="K4802" s="24">
        <v>1.25</v>
      </c>
      <c r="L4802" s="25"/>
    </row>
    <row r="4803" spans="1:12" ht="15" customHeight="1" x14ac:dyDescent="0.25">
      <c r="A4803" s="15" t="s">
        <v>51</v>
      </c>
      <c r="B4803" s="16"/>
      <c r="C4803" s="16"/>
      <c r="D4803" s="16"/>
      <c r="E4803" s="16"/>
      <c r="F4803" s="16"/>
      <c r="G4803" s="16"/>
      <c r="H4803" s="16"/>
      <c r="I4803" s="16"/>
      <c r="J4803" s="17"/>
      <c r="K4803" s="15">
        <v>1.25</v>
      </c>
      <c r="L4803" s="17"/>
    </row>
    <row r="4804" spans="1:12" x14ac:dyDescent="0.25">
      <c r="A4804" s="18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</row>
    <row r="4805" spans="1:12" ht="15" customHeight="1" x14ac:dyDescent="0.25">
      <c r="A4805" s="10" t="s">
        <v>52</v>
      </c>
      <c r="B4805" s="11"/>
      <c r="C4805" s="11"/>
      <c r="D4805" s="11"/>
      <c r="E4805" s="12"/>
      <c r="F4805" s="8" t="s">
        <v>21</v>
      </c>
      <c r="G4805" s="8" t="s">
        <v>22</v>
      </c>
      <c r="H4805" s="9" t="s">
        <v>44</v>
      </c>
      <c r="I4805" s="13" t="s">
        <v>34</v>
      </c>
      <c r="J4805" s="14"/>
      <c r="K4805" s="13" t="s">
        <v>50</v>
      </c>
      <c r="L4805" s="14"/>
    </row>
    <row r="4806" spans="1:12" ht="15" customHeight="1" x14ac:dyDescent="0.25">
      <c r="A4806" s="15" t="s">
        <v>53</v>
      </c>
      <c r="B4806" s="16"/>
      <c r="C4806" s="16"/>
      <c r="D4806" s="16"/>
      <c r="E4806" s="16"/>
      <c r="F4806" s="16"/>
      <c r="G4806" s="16"/>
      <c r="H4806" s="16"/>
      <c r="I4806" s="16"/>
      <c r="J4806" s="17"/>
      <c r="K4806" s="15">
        <v>0</v>
      </c>
      <c r="L4806" s="17"/>
    </row>
    <row r="4807" spans="1:12" x14ac:dyDescent="0.25">
      <c r="A4807" s="18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</row>
    <row r="4808" spans="1:12" ht="15" customHeight="1" x14ac:dyDescent="0.25">
      <c r="A4808" s="10" t="s">
        <v>54</v>
      </c>
      <c r="B4808" s="11"/>
      <c r="C4808" s="12"/>
      <c r="D4808" s="8" t="s">
        <v>21</v>
      </c>
      <c r="E4808" s="8" t="s">
        <v>22</v>
      </c>
      <c r="F4808" s="9" t="s">
        <v>55</v>
      </c>
      <c r="G4808" s="8" t="s">
        <v>56</v>
      </c>
      <c r="H4808" s="8" t="s">
        <v>57</v>
      </c>
      <c r="I4808" s="8" t="s">
        <v>58</v>
      </c>
      <c r="J4808" s="9" t="s">
        <v>59</v>
      </c>
      <c r="K4808" s="9" t="s">
        <v>34</v>
      </c>
      <c r="L4808" s="9" t="s">
        <v>50</v>
      </c>
    </row>
    <row r="4809" spans="1:12" ht="15" customHeight="1" x14ac:dyDescent="0.25">
      <c r="A4809" s="15" t="s">
        <v>60</v>
      </c>
      <c r="B4809" s="16"/>
      <c r="C4809" s="16"/>
      <c r="D4809" s="16"/>
      <c r="E4809" s="16"/>
      <c r="F4809" s="16"/>
      <c r="G4809" s="16"/>
      <c r="H4809" s="16"/>
      <c r="I4809" s="16"/>
      <c r="J4809" s="17"/>
      <c r="K4809" s="15">
        <v>0</v>
      </c>
      <c r="L4809" s="17"/>
    </row>
    <row r="4810" spans="1:12" x14ac:dyDescent="0.25">
      <c r="A4810" s="18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</row>
    <row r="4811" spans="1:12" ht="15" customHeight="1" x14ac:dyDescent="0.25">
      <c r="A4811" s="27" t="s">
        <v>61</v>
      </c>
      <c r="B4811" s="27"/>
      <c r="C4811" s="27"/>
      <c r="D4811" s="27"/>
      <c r="E4811" s="27"/>
      <c r="F4811" s="27"/>
      <c r="G4811" s="27"/>
      <c r="H4811" s="27"/>
      <c r="I4811" s="27"/>
      <c r="J4811" s="27"/>
      <c r="K4811" s="27">
        <v>2.2000000000000002</v>
      </c>
      <c r="L4811" s="27"/>
    </row>
    <row r="4812" spans="1:12" ht="15" customHeight="1" x14ac:dyDescent="0.25">
      <c r="A4812" s="27" t="s">
        <v>62</v>
      </c>
      <c r="B4812" s="27"/>
      <c r="C4812" s="27"/>
      <c r="D4812" s="27"/>
      <c r="E4812" s="27"/>
      <c r="F4812" s="27"/>
      <c r="G4812" s="27"/>
      <c r="H4812" s="27"/>
      <c r="I4812" s="27"/>
      <c r="J4812" s="27"/>
      <c r="K4812" s="27">
        <v>0.73</v>
      </c>
      <c r="L4812" s="27"/>
    </row>
    <row r="4813" spans="1:12" ht="15" customHeight="1" x14ac:dyDescent="0.25">
      <c r="A4813" s="27" t="s">
        <v>63</v>
      </c>
      <c r="B4813" s="27"/>
      <c r="C4813" s="27"/>
      <c r="D4813" s="27"/>
      <c r="E4813" s="27"/>
      <c r="F4813" s="27"/>
      <c r="G4813" s="27"/>
      <c r="H4813" s="27"/>
      <c r="I4813" s="27"/>
      <c r="J4813" s="27"/>
      <c r="K4813" s="27">
        <v>2.93</v>
      </c>
      <c r="L4813" s="27"/>
    </row>
    <row r="4814" spans="1:12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</row>
    <row r="4815" spans="1:12" ht="15" customHeight="1" x14ac:dyDescent="0.25">
      <c r="A4815" s="3" t="s">
        <v>8</v>
      </c>
      <c r="B4815" s="6" t="s">
        <v>9</v>
      </c>
      <c r="C4815" s="6"/>
      <c r="D4815" s="6"/>
      <c r="E4815" s="6"/>
      <c r="F4815" s="6"/>
      <c r="G4815" s="6"/>
      <c r="H4815" s="6"/>
      <c r="I4815" s="6"/>
      <c r="J4815" s="6"/>
      <c r="K4815" s="6"/>
      <c r="L4815" s="6"/>
    </row>
    <row r="4816" spans="1:12" ht="30" customHeight="1" x14ac:dyDescent="0.25">
      <c r="A4816" s="3" t="s">
        <v>10</v>
      </c>
      <c r="B4816" s="6" t="s">
        <v>583</v>
      </c>
      <c r="C4816" s="6"/>
      <c r="D4816" s="6"/>
      <c r="E4816" s="6"/>
      <c r="F4816" s="6"/>
      <c r="G4816" s="6"/>
      <c r="H4816" s="6"/>
      <c r="I4816" s="6"/>
      <c r="J4816" s="6"/>
      <c r="K4816" s="3" t="s">
        <v>12</v>
      </c>
      <c r="L4816" s="4" t="s">
        <v>84</v>
      </c>
    </row>
    <row r="4817" spans="1:12" ht="15" customHeight="1" x14ac:dyDescent="0.25">
      <c r="A4817" s="3" t="s">
        <v>14</v>
      </c>
      <c r="B4817" s="6" t="s">
        <v>88</v>
      </c>
      <c r="C4817" s="6"/>
      <c r="D4817" s="7" t="s">
        <v>16</v>
      </c>
      <c r="E4817" s="7"/>
      <c r="F4817" s="6" t="str">
        <f>"2A87.000279"</f>
        <v>2A87.000279</v>
      </c>
      <c r="G4817" s="6"/>
      <c r="H4817" s="3" t="s">
        <v>17</v>
      </c>
      <c r="I4817" s="6" t="s">
        <v>89</v>
      </c>
      <c r="J4817" s="6"/>
      <c r="K4817" s="3" t="s">
        <v>19</v>
      </c>
      <c r="L4817" s="5">
        <v>1</v>
      </c>
    </row>
    <row r="4818" spans="1:12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</row>
    <row r="4819" spans="1:12" ht="15" customHeight="1" x14ac:dyDescent="0.25">
      <c r="A4819" s="10" t="s">
        <v>20</v>
      </c>
      <c r="B4819" s="11"/>
      <c r="C4819" s="12"/>
      <c r="D4819" s="8" t="s">
        <v>21</v>
      </c>
      <c r="E4819" s="8" t="s">
        <v>22</v>
      </c>
      <c r="F4819" s="9" t="s">
        <v>23</v>
      </c>
      <c r="G4819" s="9" t="s">
        <v>24</v>
      </c>
      <c r="H4819" s="9" t="s">
        <v>25</v>
      </c>
      <c r="I4819" s="9" t="s">
        <v>26</v>
      </c>
      <c r="J4819" s="9" t="s">
        <v>27</v>
      </c>
      <c r="K4819" s="13" t="s">
        <v>28</v>
      </c>
      <c r="L4819" s="14"/>
    </row>
    <row r="4820" spans="1:12" ht="15" customHeight="1" x14ac:dyDescent="0.25">
      <c r="A4820" s="15" t="s">
        <v>29</v>
      </c>
      <c r="B4820" s="16"/>
      <c r="C4820" s="16"/>
      <c r="D4820" s="16"/>
      <c r="E4820" s="16"/>
      <c r="F4820" s="16"/>
      <c r="G4820" s="16"/>
      <c r="H4820" s="16"/>
      <c r="I4820" s="16"/>
      <c r="J4820" s="17"/>
      <c r="K4820" s="15">
        <v>0</v>
      </c>
      <c r="L4820" s="17"/>
    </row>
    <row r="4821" spans="1:12" x14ac:dyDescent="0.25">
      <c r="A4821" s="18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</row>
    <row r="4822" spans="1:12" ht="15" customHeight="1" x14ac:dyDescent="0.25">
      <c r="A4822" s="10" t="s">
        <v>30</v>
      </c>
      <c r="B4822" s="11"/>
      <c r="C4822" s="12"/>
      <c r="D4822" s="8" t="s">
        <v>21</v>
      </c>
      <c r="E4822" s="8" t="s">
        <v>22</v>
      </c>
      <c r="F4822" s="9" t="s">
        <v>31</v>
      </c>
      <c r="G4822" s="9" t="s">
        <v>32</v>
      </c>
      <c r="H4822" s="9" t="s">
        <v>33</v>
      </c>
      <c r="I4822" s="13" t="s">
        <v>34</v>
      </c>
      <c r="J4822" s="14"/>
      <c r="K4822" s="13" t="s">
        <v>28</v>
      </c>
      <c r="L4822" s="14"/>
    </row>
    <row r="4823" spans="1:12" ht="15" customHeight="1" x14ac:dyDescent="0.25">
      <c r="A4823" s="15" t="s">
        <v>38</v>
      </c>
      <c r="B4823" s="16"/>
      <c r="C4823" s="16"/>
      <c r="D4823" s="16"/>
      <c r="E4823" s="16"/>
      <c r="F4823" s="16"/>
      <c r="G4823" s="16"/>
      <c r="H4823" s="16"/>
      <c r="I4823" s="16"/>
      <c r="J4823" s="17"/>
      <c r="K4823" s="15">
        <v>0</v>
      </c>
      <c r="L4823" s="17"/>
    </row>
    <row r="4824" spans="1:12" x14ac:dyDescent="0.25">
      <c r="A4824" s="18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</row>
    <row r="4825" spans="1:12" ht="15" customHeight="1" x14ac:dyDescent="0.25">
      <c r="A4825" s="10" t="s">
        <v>39</v>
      </c>
      <c r="B4825" s="11"/>
      <c r="C4825" s="12"/>
      <c r="D4825" s="8" t="s">
        <v>21</v>
      </c>
      <c r="E4825" s="13" t="s">
        <v>40</v>
      </c>
      <c r="F4825" s="14"/>
      <c r="G4825" s="8" t="s">
        <v>41</v>
      </c>
      <c r="H4825" s="8" t="s">
        <v>42</v>
      </c>
      <c r="I4825" s="8" t="s">
        <v>43</v>
      </c>
      <c r="J4825" s="13" t="s">
        <v>44</v>
      </c>
      <c r="K4825" s="26"/>
      <c r="L4825" s="14"/>
    </row>
    <row r="4826" spans="1:12" ht="15" customHeight="1" x14ac:dyDescent="0.25">
      <c r="A4826" s="15" t="s">
        <v>45</v>
      </c>
      <c r="B4826" s="16"/>
      <c r="C4826" s="16"/>
      <c r="D4826" s="16"/>
      <c r="E4826" s="16"/>
      <c r="F4826" s="16"/>
      <c r="G4826" s="16"/>
      <c r="H4826" s="16"/>
      <c r="I4826" s="16"/>
      <c r="J4826" s="17"/>
      <c r="K4826" s="15">
        <v>0</v>
      </c>
      <c r="L4826" s="17"/>
    </row>
    <row r="4827" spans="1:12" x14ac:dyDescent="0.25">
      <c r="A4827" s="18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</row>
    <row r="4828" spans="1:12" ht="15" customHeight="1" x14ac:dyDescent="0.25">
      <c r="A4828" s="27" t="s">
        <v>46</v>
      </c>
      <c r="B4828" s="27"/>
      <c r="C4828" s="27"/>
      <c r="D4828" s="27"/>
      <c r="E4828" s="27"/>
      <c r="F4828" s="27"/>
      <c r="G4828" s="27"/>
      <c r="H4828" s="27"/>
      <c r="I4828" s="27"/>
      <c r="J4828" s="27"/>
      <c r="K4828" s="27">
        <v>0</v>
      </c>
      <c r="L4828" s="27"/>
    </row>
    <row r="4829" spans="1:12" ht="15" customHeight="1" x14ac:dyDescent="0.25">
      <c r="A4829" s="27" t="s">
        <v>47</v>
      </c>
      <c r="B4829" s="27"/>
      <c r="C4829" s="27"/>
      <c r="D4829" s="27"/>
      <c r="E4829" s="27"/>
      <c r="F4829" s="27"/>
      <c r="G4829" s="27"/>
      <c r="H4829" s="27"/>
      <c r="I4829" s="27"/>
      <c r="J4829" s="27"/>
      <c r="K4829" s="27">
        <v>1</v>
      </c>
      <c r="L4829" s="27"/>
    </row>
    <row r="4830" spans="1:12" ht="15" customHeight="1" x14ac:dyDescent="0.25">
      <c r="A4830" s="27" t="s">
        <v>48</v>
      </c>
      <c r="B4830" s="27"/>
      <c r="C4830" s="27"/>
      <c r="D4830" s="27"/>
      <c r="E4830" s="27"/>
      <c r="F4830" s="27"/>
      <c r="G4830" s="27"/>
      <c r="H4830" s="27"/>
      <c r="I4830" s="27"/>
      <c r="J4830" s="27"/>
      <c r="K4830" s="27">
        <v>0</v>
      </c>
      <c r="L4830" s="27"/>
    </row>
    <row r="4831" spans="1:12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</row>
    <row r="4832" spans="1:12" ht="15" customHeight="1" x14ac:dyDescent="0.25">
      <c r="A4832" s="10" t="s">
        <v>49</v>
      </c>
      <c r="B4832" s="11"/>
      <c r="C4832" s="11"/>
      <c r="D4832" s="11"/>
      <c r="E4832" s="12"/>
      <c r="F4832" s="8" t="s">
        <v>21</v>
      </c>
      <c r="G4832" s="8" t="s">
        <v>22</v>
      </c>
      <c r="H4832" s="9" t="s">
        <v>44</v>
      </c>
      <c r="I4832" s="13" t="s">
        <v>34</v>
      </c>
      <c r="J4832" s="14"/>
      <c r="K4832" s="13" t="s">
        <v>50</v>
      </c>
      <c r="L4832" s="14"/>
    </row>
    <row r="4833" spans="1:12" ht="15" customHeight="1" x14ac:dyDescent="0.25">
      <c r="A4833" s="21" t="s">
        <v>584</v>
      </c>
      <c r="B4833" s="22"/>
      <c r="C4833" s="22"/>
      <c r="D4833" s="22"/>
      <c r="E4833" s="23"/>
      <c r="F4833" s="19" t="str">
        <f>"049161"</f>
        <v>049161</v>
      </c>
      <c r="G4833" s="19" t="s">
        <v>81</v>
      </c>
      <c r="H4833" s="20">
        <v>2.33</v>
      </c>
      <c r="I4833" s="24">
        <v>2</v>
      </c>
      <c r="J4833" s="25"/>
      <c r="K4833" s="24">
        <v>4.66</v>
      </c>
      <c r="L4833" s="25"/>
    </row>
    <row r="4834" spans="1:12" ht="15" customHeight="1" x14ac:dyDescent="0.25">
      <c r="A4834" s="21" t="s">
        <v>585</v>
      </c>
      <c r="B4834" s="22"/>
      <c r="C4834" s="22"/>
      <c r="D4834" s="22"/>
      <c r="E4834" s="23"/>
      <c r="F4834" s="19" t="str">
        <f>"049626"</f>
        <v>049626</v>
      </c>
      <c r="G4834" s="19" t="s">
        <v>81</v>
      </c>
      <c r="H4834" s="20">
        <v>3.59</v>
      </c>
      <c r="I4834" s="24">
        <v>4</v>
      </c>
      <c r="J4834" s="25"/>
      <c r="K4834" s="24">
        <v>14.36</v>
      </c>
      <c r="L4834" s="25"/>
    </row>
    <row r="4835" spans="1:12" ht="15" customHeight="1" x14ac:dyDescent="0.25">
      <c r="A4835" s="15" t="s">
        <v>51</v>
      </c>
      <c r="B4835" s="16"/>
      <c r="C4835" s="16"/>
      <c r="D4835" s="16"/>
      <c r="E4835" s="16"/>
      <c r="F4835" s="16"/>
      <c r="G4835" s="16"/>
      <c r="H4835" s="16"/>
      <c r="I4835" s="16"/>
      <c r="J4835" s="17"/>
      <c r="K4835" s="15">
        <v>19.02</v>
      </c>
      <c r="L4835" s="17"/>
    </row>
    <row r="4836" spans="1:12" x14ac:dyDescent="0.25">
      <c r="A4836" s="18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</row>
    <row r="4837" spans="1:12" ht="15" customHeight="1" x14ac:dyDescent="0.25">
      <c r="A4837" s="10" t="s">
        <v>52</v>
      </c>
      <c r="B4837" s="11"/>
      <c r="C4837" s="11"/>
      <c r="D4837" s="11"/>
      <c r="E4837" s="12"/>
      <c r="F4837" s="8" t="s">
        <v>21</v>
      </c>
      <c r="G4837" s="8" t="s">
        <v>22</v>
      </c>
      <c r="H4837" s="9" t="s">
        <v>44</v>
      </c>
      <c r="I4837" s="13" t="s">
        <v>34</v>
      </c>
      <c r="J4837" s="14"/>
      <c r="K4837" s="13" t="s">
        <v>50</v>
      </c>
      <c r="L4837" s="14"/>
    </row>
    <row r="4838" spans="1:12" ht="45" customHeight="1" x14ac:dyDescent="0.25">
      <c r="A4838" s="21" t="s">
        <v>586</v>
      </c>
      <c r="B4838" s="22"/>
      <c r="C4838" s="22"/>
      <c r="D4838" s="22"/>
      <c r="E4838" s="23"/>
      <c r="F4838" s="19" t="s">
        <v>587</v>
      </c>
      <c r="G4838" s="19" t="s">
        <v>84</v>
      </c>
      <c r="H4838" s="20">
        <v>1</v>
      </c>
      <c r="I4838" s="24">
        <v>130.82</v>
      </c>
      <c r="J4838" s="25"/>
      <c r="K4838" s="24">
        <v>130.82</v>
      </c>
      <c r="L4838" s="25"/>
    </row>
    <row r="4839" spans="1:12" ht="15" customHeight="1" x14ac:dyDescent="0.25">
      <c r="A4839" s="15" t="s">
        <v>53</v>
      </c>
      <c r="B4839" s="16"/>
      <c r="C4839" s="16"/>
      <c r="D4839" s="16"/>
      <c r="E4839" s="16"/>
      <c r="F4839" s="16"/>
      <c r="G4839" s="16"/>
      <c r="H4839" s="16"/>
      <c r="I4839" s="16"/>
      <c r="J4839" s="17"/>
      <c r="K4839" s="15">
        <v>130.82</v>
      </c>
      <c r="L4839" s="17"/>
    </row>
    <row r="4840" spans="1:12" x14ac:dyDescent="0.25">
      <c r="A4840" s="18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</row>
    <row r="4841" spans="1:12" ht="15" customHeight="1" x14ac:dyDescent="0.25">
      <c r="A4841" s="10" t="s">
        <v>54</v>
      </c>
      <c r="B4841" s="11"/>
      <c r="C4841" s="12"/>
      <c r="D4841" s="8" t="s">
        <v>21</v>
      </c>
      <c r="E4841" s="8" t="s">
        <v>22</v>
      </c>
      <c r="F4841" s="9" t="s">
        <v>55</v>
      </c>
      <c r="G4841" s="8" t="s">
        <v>56</v>
      </c>
      <c r="H4841" s="8" t="s">
        <v>57</v>
      </c>
      <c r="I4841" s="8" t="s">
        <v>58</v>
      </c>
      <c r="J4841" s="9" t="s">
        <v>59</v>
      </c>
      <c r="K4841" s="9" t="s">
        <v>34</v>
      </c>
      <c r="L4841" s="9" t="s">
        <v>50</v>
      </c>
    </row>
    <row r="4842" spans="1:12" ht="15" customHeight="1" x14ac:dyDescent="0.25">
      <c r="A4842" s="15" t="s">
        <v>60</v>
      </c>
      <c r="B4842" s="16"/>
      <c r="C4842" s="16"/>
      <c r="D4842" s="16"/>
      <c r="E4842" s="16"/>
      <c r="F4842" s="16"/>
      <c r="G4842" s="16"/>
      <c r="H4842" s="16"/>
      <c r="I4842" s="16"/>
      <c r="J4842" s="17"/>
      <c r="K4842" s="15">
        <v>0</v>
      </c>
      <c r="L4842" s="17"/>
    </row>
    <row r="4843" spans="1:12" x14ac:dyDescent="0.25">
      <c r="A4843" s="18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</row>
    <row r="4844" spans="1:12" ht="15" customHeight="1" x14ac:dyDescent="0.25">
      <c r="A4844" s="27" t="s">
        <v>61</v>
      </c>
      <c r="B4844" s="27"/>
      <c r="C4844" s="27"/>
      <c r="D4844" s="27"/>
      <c r="E4844" s="27"/>
      <c r="F4844" s="27"/>
      <c r="G4844" s="27"/>
      <c r="H4844" s="27"/>
      <c r="I4844" s="27"/>
      <c r="J4844" s="27"/>
      <c r="K4844" s="27">
        <v>149.84</v>
      </c>
      <c r="L4844" s="27"/>
    </row>
    <row r="4845" spans="1:12" ht="15" customHeight="1" x14ac:dyDescent="0.25">
      <c r="A4845" s="27" t="s">
        <v>62</v>
      </c>
      <c r="B4845" s="27"/>
      <c r="C4845" s="27"/>
      <c r="D4845" s="27"/>
      <c r="E4845" s="27"/>
      <c r="F4845" s="27"/>
      <c r="G4845" s="27"/>
      <c r="H4845" s="27"/>
      <c r="I4845" s="27"/>
      <c r="J4845" s="27"/>
      <c r="K4845" s="27">
        <v>49.82</v>
      </c>
      <c r="L4845" s="27"/>
    </row>
    <row r="4846" spans="1:12" ht="15" customHeight="1" x14ac:dyDescent="0.25">
      <c r="A4846" s="27" t="s">
        <v>63</v>
      </c>
      <c r="B4846" s="27"/>
      <c r="C4846" s="27"/>
      <c r="D4846" s="27"/>
      <c r="E4846" s="27"/>
      <c r="F4846" s="27"/>
      <c r="G4846" s="27"/>
      <c r="H4846" s="27"/>
      <c r="I4846" s="27"/>
      <c r="J4846" s="27"/>
      <c r="K4846" s="27">
        <v>199.66</v>
      </c>
      <c r="L4846" s="27"/>
    </row>
    <row r="4847" spans="1:12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</row>
    <row r="4848" spans="1:12" ht="15" customHeight="1" x14ac:dyDescent="0.25">
      <c r="A4848" s="3" t="s">
        <v>8</v>
      </c>
      <c r="B4848" s="6" t="s">
        <v>9</v>
      </c>
      <c r="C4848" s="6"/>
      <c r="D4848" s="6"/>
      <c r="E4848" s="6"/>
      <c r="F4848" s="6"/>
      <c r="G4848" s="6"/>
      <c r="H4848" s="6"/>
      <c r="I4848" s="6"/>
      <c r="J4848" s="6"/>
      <c r="K4848" s="6"/>
      <c r="L4848" s="6"/>
    </row>
    <row r="4849" spans="1:12" ht="30" customHeight="1" x14ac:dyDescent="0.25">
      <c r="A4849" s="3" t="s">
        <v>10</v>
      </c>
      <c r="B4849" s="6" t="s">
        <v>588</v>
      </c>
      <c r="C4849" s="6"/>
      <c r="D4849" s="6"/>
      <c r="E4849" s="6"/>
      <c r="F4849" s="6"/>
      <c r="G4849" s="6"/>
      <c r="H4849" s="6"/>
      <c r="I4849" s="6"/>
      <c r="J4849" s="6"/>
      <c r="K4849" s="3" t="s">
        <v>12</v>
      </c>
      <c r="L4849" s="4" t="s">
        <v>84</v>
      </c>
    </row>
    <row r="4850" spans="1:12" ht="15" customHeight="1" x14ac:dyDescent="0.25">
      <c r="A4850" s="3" t="s">
        <v>14</v>
      </c>
      <c r="B4850" s="6" t="s">
        <v>88</v>
      </c>
      <c r="C4850" s="6"/>
      <c r="D4850" s="7" t="s">
        <v>16</v>
      </c>
      <c r="E4850" s="7"/>
      <c r="F4850" s="6" t="str">
        <f>"3AA8.000148"</f>
        <v>3AA8.000148</v>
      </c>
      <c r="G4850" s="6"/>
      <c r="H4850" s="3" t="s">
        <v>17</v>
      </c>
      <c r="I4850" s="6" t="s">
        <v>89</v>
      </c>
      <c r="J4850" s="6"/>
      <c r="K4850" s="3" t="s">
        <v>19</v>
      </c>
      <c r="L4850" s="5">
        <v>1</v>
      </c>
    </row>
    <row r="4851" spans="1:12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</row>
    <row r="4852" spans="1:12" ht="15" customHeight="1" x14ac:dyDescent="0.25">
      <c r="A4852" s="10" t="s">
        <v>20</v>
      </c>
      <c r="B4852" s="11"/>
      <c r="C4852" s="12"/>
      <c r="D4852" s="8" t="s">
        <v>21</v>
      </c>
      <c r="E4852" s="8" t="s">
        <v>22</v>
      </c>
      <c r="F4852" s="9" t="s">
        <v>23</v>
      </c>
      <c r="G4852" s="9" t="s">
        <v>24</v>
      </c>
      <c r="H4852" s="9" t="s">
        <v>25</v>
      </c>
      <c r="I4852" s="9" t="s">
        <v>26</v>
      </c>
      <c r="J4852" s="9" t="s">
        <v>27</v>
      </c>
      <c r="K4852" s="13" t="s">
        <v>28</v>
      </c>
      <c r="L4852" s="14"/>
    </row>
    <row r="4853" spans="1:12" ht="15" customHeight="1" x14ac:dyDescent="0.25">
      <c r="A4853" s="15" t="s">
        <v>29</v>
      </c>
      <c r="B4853" s="16"/>
      <c r="C4853" s="16"/>
      <c r="D4853" s="16"/>
      <c r="E4853" s="16"/>
      <c r="F4853" s="16"/>
      <c r="G4853" s="16"/>
      <c r="H4853" s="16"/>
      <c r="I4853" s="16"/>
      <c r="J4853" s="17"/>
      <c r="K4853" s="15">
        <v>0</v>
      </c>
      <c r="L4853" s="17"/>
    </row>
    <row r="4854" spans="1:12" x14ac:dyDescent="0.25">
      <c r="A4854" s="18"/>
      <c r="B4854" s="18"/>
      <c r="C4854" s="18"/>
      <c r="D4854" s="18"/>
      <c r="E4854" s="18"/>
      <c r="F4854" s="18"/>
      <c r="G4854" s="18"/>
      <c r="H4854" s="18"/>
      <c r="I4854" s="18"/>
      <c r="J4854" s="18"/>
      <c r="K4854" s="18"/>
      <c r="L4854" s="18"/>
    </row>
    <row r="4855" spans="1:12" ht="15" customHeight="1" x14ac:dyDescent="0.25">
      <c r="A4855" s="10" t="s">
        <v>30</v>
      </c>
      <c r="B4855" s="11"/>
      <c r="C4855" s="12"/>
      <c r="D4855" s="8" t="s">
        <v>21</v>
      </c>
      <c r="E4855" s="8" t="s">
        <v>22</v>
      </c>
      <c r="F4855" s="9" t="s">
        <v>31</v>
      </c>
      <c r="G4855" s="9" t="s">
        <v>32</v>
      </c>
      <c r="H4855" s="9" t="s">
        <v>33</v>
      </c>
      <c r="I4855" s="13" t="s">
        <v>34</v>
      </c>
      <c r="J4855" s="14"/>
      <c r="K4855" s="13" t="s">
        <v>28</v>
      </c>
      <c r="L4855" s="14"/>
    </row>
    <row r="4856" spans="1:12" ht="15" customHeight="1" x14ac:dyDescent="0.25">
      <c r="A4856" s="15" t="s">
        <v>38</v>
      </c>
      <c r="B4856" s="16"/>
      <c r="C4856" s="16"/>
      <c r="D4856" s="16"/>
      <c r="E4856" s="16"/>
      <c r="F4856" s="16"/>
      <c r="G4856" s="16"/>
      <c r="H4856" s="16"/>
      <c r="I4856" s="16"/>
      <c r="J4856" s="17"/>
      <c r="K4856" s="15">
        <v>0</v>
      </c>
      <c r="L4856" s="17"/>
    </row>
    <row r="4857" spans="1:12" x14ac:dyDescent="0.25">
      <c r="A4857" s="18"/>
      <c r="B4857" s="18"/>
      <c r="C4857" s="18"/>
      <c r="D4857" s="18"/>
      <c r="E4857" s="18"/>
      <c r="F4857" s="18"/>
      <c r="G4857" s="18"/>
      <c r="H4857" s="18"/>
      <c r="I4857" s="18"/>
      <c r="J4857" s="18"/>
      <c r="K4857" s="18"/>
      <c r="L4857" s="18"/>
    </row>
    <row r="4858" spans="1:12" ht="15" customHeight="1" x14ac:dyDescent="0.25">
      <c r="A4858" s="10" t="s">
        <v>39</v>
      </c>
      <c r="B4858" s="11"/>
      <c r="C4858" s="12"/>
      <c r="D4858" s="8" t="s">
        <v>21</v>
      </c>
      <c r="E4858" s="13" t="s">
        <v>40</v>
      </c>
      <c r="F4858" s="14"/>
      <c r="G4858" s="8" t="s">
        <v>41</v>
      </c>
      <c r="H4858" s="8" t="s">
        <v>42</v>
      </c>
      <c r="I4858" s="8" t="s">
        <v>43</v>
      </c>
      <c r="J4858" s="13" t="s">
        <v>44</v>
      </c>
      <c r="K4858" s="26"/>
      <c r="L4858" s="14"/>
    </row>
    <row r="4859" spans="1:12" ht="15" customHeight="1" x14ac:dyDescent="0.25">
      <c r="A4859" s="15" t="s">
        <v>45</v>
      </c>
      <c r="B4859" s="16"/>
      <c r="C4859" s="16"/>
      <c r="D4859" s="16"/>
      <c r="E4859" s="16"/>
      <c r="F4859" s="16"/>
      <c r="G4859" s="16"/>
      <c r="H4859" s="16"/>
      <c r="I4859" s="16"/>
      <c r="J4859" s="17"/>
      <c r="K4859" s="15">
        <v>0</v>
      </c>
      <c r="L4859" s="17"/>
    </row>
    <row r="4860" spans="1:12" x14ac:dyDescent="0.25">
      <c r="A4860" s="18"/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8"/>
    </row>
    <row r="4861" spans="1:12" ht="15" customHeight="1" x14ac:dyDescent="0.25">
      <c r="A4861" s="27" t="s">
        <v>46</v>
      </c>
      <c r="B4861" s="27"/>
      <c r="C4861" s="27"/>
      <c r="D4861" s="27"/>
      <c r="E4861" s="27"/>
      <c r="F4861" s="27"/>
      <c r="G4861" s="27"/>
      <c r="H4861" s="27"/>
      <c r="I4861" s="27"/>
      <c r="J4861" s="27"/>
      <c r="K4861" s="27">
        <v>0</v>
      </c>
      <c r="L4861" s="27"/>
    </row>
    <row r="4862" spans="1:12" ht="15" customHeight="1" x14ac:dyDescent="0.25">
      <c r="A4862" s="27" t="s">
        <v>47</v>
      </c>
      <c r="B4862" s="27"/>
      <c r="C4862" s="27"/>
      <c r="D4862" s="27"/>
      <c r="E4862" s="27"/>
      <c r="F4862" s="27"/>
      <c r="G4862" s="27"/>
      <c r="H4862" s="27"/>
      <c r="I4862" s="27"/>
      <c r="J4862" s="27"/>
      <c r="K4862" s="27">
        <v>1</v>
      </c>
      <c r="L4862" s="27"/>
    </row>
    <row r="4863" spans="1:12" ht="15" customHeight="1" x14ac:dyDescent="0.25">
      <c r="A4863" s="27" t="s">
        <v>48</v>
      </c>
      <c r="B4863" s="27"/>
      <c r="C4863" s="27"/>
      <c r="D4863" s="27"/>
      <c r="E4863" s="27"/>
      <c r="F4863" s="27"/>
      <c r="G4863" s="27"/>
      <c r="H4863" s="27"/>
      <c r="I4863" s="27"/>
      <c r="J4863" s="27"/>
      <c r="K4863" s="27">
        <v>0</v>
      </c>
      <c r="L4863" s="27"/>
    </row>
    <row r="4864" spans="1:12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</row>
    <row r="4865" spans="1:12" ht="15" customHeight="1" x14ac:dyDescent="0.25">
      <c r="A4865" s="10" t="s">
        <v>49</v>
      </c>
      <c r="B4865" s="11"/>
      <c r="C4865" s="11"/>
      <c r="D4865" s="11"/>
      <c r="E4865" s="12"/>
      <c r="F4865" s="8" t="s">
        <v>21</v>
      </c>
      <c r="G4865" s="8" t="s">
        <v>22</v>
      </c>
      <c r="H4865" s="9" t="s">
        <v>44</v>
      </c>
      <c r="I4865" s="13" t="s">
        <v>34</v>
      </c>
      <c r="J4865" s="14"/>
      <c r="K4865" s="13" t="s">
        <v>50</v>
      </c>
      <c r="L4865" s="14"/>
    </row>
    <row r="4866" spans="1:12" ht="15" customHeight="1" x14ac:dyDescent="0.25">
      <c r="A4866" s="21" t="s">
        <v>584</v>
      </c>
      <c r="B4866" s="22"/>
      <c r="C4866" s="22"/>
      <c r="D4866" s="22"/>
      <c r="E4866" s="23"/>
      <c r="F4866" s="19" t="str">
        <f>"049161"</f>
        <v>049161</v>
      </c>
      <c r="G4866" s="19" t="s">
        <v>81</v>
      </c>
      <c r="H4866" s="20">
        <v>2.33</v>
      </c>
      <c r="I4866" s="24">
        <v>2</v>
      </c>
      <c r="J4866" s="25"/>
      <c r="K4866" s="24">
        <v>4.66</v>
      </c>
      <c r="L4866" s="25"/>
    </row>
    <row r="4867" spans="1:12" ht="15" customHeight="1" x14ac:dyDescent="0.25">
      <c r="A4867" s="21" t="s">
        <v>585</v>
      </c>
      <c r="B4867" s="22"/>
      <c r="C4867" s="22"/>
      <c r="D4867" s="22"/>
      <c r="E4867" s="23"/>
      <c r="F4867" s="19" t="str">
        <f>"049626"</f>
        <v>049626</v>
      </c>
      <c r="G4867" s="19" t="s">
        <v>81</v>
      </c>
      <c r="H4867" s="20">
        <v>3.59</v>
      </c>
      <c r="I4867" s="24">
        <v>4</v>
      </c>
      <c r="J4867" s="25"/>
      <c r="K4867" s="24">
        <v>14.36</v>
      </c>
      <c r="L4867" s="25"/>
    </row>
    <row r="4868" spans="1:12" ht="45" customHeight="1" x14ac:dyDescent="0.25">
      <c r="A4868" s="21" t="s">
        <v>589</v>
      </c>
      <c r="B4868" s="22"/>
      <c r="C4868" s="22"/>
      <c r="D4868" s="22"/>
      <c r="E4868" s="23"/>
      <c r="F4868" s="19" t="str">
        <f>"130597"</f>
        <v>130597</v>
      </c>
      <c r="G4868" s="19" t="s">
        <v>81</v>
      </c>
      <c r="H4868" s="20">
        <v>103.01</v>
      </c>
      <c r="I4868" s="24">
        <v>1</v>
      </c>
      <c r="J4868" s="25"/>
      <c r="K4868" s="24">
        <v>103.01</v>
      </c>
      <c r="L4868" s="25"/>
    </row>
    <row r="4869" spans="1:12" ht="15" customHeight="1" x14ac:dyDescent="0.25">
      <c r="A4869" s="15" t="s">
        <v>51</v>
      </c>
      <c r="B4869" s="16"/>
      <c r="C4869" s="16"/>
      <c r="D4869" s="16"/>
      <c r="E4869" s="16"/>
      <c r="F4869" s="16"/>
      <c r="G4869" s="16"/>
      <c r="H4869" s="16"/>
      <c r="I4869" s="16"/>
      <c r="J4869" s="17"/>
      <c r="K4869" s="15">
        <v>122.03</v>
      </c>
      <c r="L4869" s="17"/>
    </row>
    <row r="4870" spans="1:12" x14ac:dyDescent="0.25">
      <c r="A4870" s="18"/>
      <c r="B4870" s="18"/>
      <c r="C4870" s="18"/>
      <c r="D4870" s="18"/>
      <c r="E4870" s="18"/>
      <c r="F4870" s="18"/>
      <c r="G4870" s="18"/>
      <c r="H4870" s="18"/>
      <c r="I4870" s="18"/>
      <c r="J4870" s="18"/>
      <c r="K4870" s="18"/>
      <c r="L4870" s="18"/>
    </row>
    <row r="4871" spans="1:12" ht="15" customHeight="1" x14ac:dyDescent="0.25">
      <c r="A4871" s="10" t="s">
        <v>52</v>
      </c>
      <c r="B4871" s="11"/>
      <c r="C4871" s="11"/>
      <c r="D4871" s="11"/>
      <c r="E4871" s="12"/>
      <c r="F4871" s="8" t="s">
        <v>21</v>
      </c>
      <c r="G4871" s="8" t="s">
        <v>22</v>
      </c>
      <c r="H4871" s="9" t="s">
        <v>44</v>
      </c>
      <c r="I4871" s="13" t="s">
        <v>34</v>
      </c>
      <c r="J4871" s="14"/>
      <c r="K4871" s="13" t="s">
        <v>50</v>
      </c>
      <c r="L4871" s="14"/>
    </row>
    <row r="4872" spans="1:12" ht="45" customHeight="1" x14ac:dyDescent="0.25">
      <c r="A4872" s="21" t="s">
        <v>590</v>
      </c>
      <c r="B4872" s="22"/>
      <c r="C4872" s="22"/>
      <c r="D4872" s="22"/>
      <c r="E4872" s="23"/>
      <c r="F4872" s="19" t="s">
        <v>591</v>
      </c>
      <c r="G4872" s="19" t="s">
        <v>84</v>
      </c>
      <c r="H4872" s="20">
        <v>1</v>
      </c>
      <c r="I4872" s="24" t="s">
        <v>164</v>
      </c>
      <c r="J4872" s="25"/>
      <c r="K4872" s="24" t="s">
        <v>164</v>
      </c>
      <c r="L4872" s="25"/>
    </row>
    <row r="4873" spans="1:12" ht="15" customHeight="1" x14ac:dyDescent="0.25">
      <c r="A4873" s="15" t="s">
        <v>53</v>
      </c>
      <c r="B4873" s="16"/>
      <c r="C4873" s="16"/>
      <c r="D4873" s="16"/>
      <c r="E4873" s="16"/>
      <c r="F4873" s="16"/>
      <c r="G4873" s="16"/>
      <c r="H4873" s="16"/>
      <c r="I4873" s="16"/>
      <c r="J4873" s="17"/>
      <c r="K4873" s="15">
        <v>74.61</v>
      </c>
      <c r="L4873" s="17"/>
    </row>
    <row r="4874" spans="1:12" x14ac:dyDescent="0.25">
      <c r="A4874" s="18"/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8"/>
    </row>
    <row r="4875" spans="1:12" ht="15" customHeight="1" x14ac:dyDescent="0.25">
      <c r="A4875" s="10" t="s">
        <v>54</v>
      </c>
      <c r="B4875" s="11"/>
      <c r="C4875" s="12"/>
      <c r="D4875" s="8" t="s">
        <v>21</v>
      </c>
      <c r="E4875" s="8" t="s">
        <v>22</v>
      </c>
      <c r="F4875" s="9" t="s">
        <v>55</v>
      </c>
      <c r="G4875" s="8" t="s">
        <v>56</v>
      </c>
      <c r="H4875" s="8" t="s">
        <v>57</v>
      </c>
      <c r="I4875" s="8" t="s">
        <v>58</v>
      </c>
      <c r="J4875" s="9" t="s">
        <v>59</v>
      </c>
      <c r="K4875" s="9" t="s">
        <v>34</v>
      </c>
      <c r="L4875" s="9" t="s">
        <v>50</v>
      </c>
    </row>
    <row r="4876" spans="1:12" ht="15" customHeight="1" x14ac:dyDescent="0.25">
      <c r="A4876" s="15" t="s">
        <v>60</v>
      </c>
      <c r="B4876" s="16"/>
      <c r="C4876" s="16"/>
      <c r="D4876" s="16"/>
      <c r="E4876" s="16"/>
      <c r="F4876" s="16"/>
      <c r="G4876" s="16"/>
      <c r="H4876" s="16"/>
      <c r="I4876" s="16"/>
      <c r="J4876" s="17"/>
      <c r="K4876" s="15">
        <v>0</v>
      </c>
      <c r="L4876" s="17"/>
    </row>
    <row r="4877" spans="1:12" x14ac:dyDescent="0.25">
      <c r="A4877" s="18"/>
      <c r="B4877" s="18"/>
      <c r="C4877" s="18"/>
      <c r="D4877" s="18"/>
      <c r="E4877" s="18"/>
      <c r="F4877" s="18"/>
      <c r="G4877" s="18"/>
      <c r="H4877" s="18"/>
      <c r="I4877" s="18"/>
      <c r="J4877" s="18"/>
      <c r="K4877" s="18"/>
      <c r="L4877" s="18"/>
    </row>
    <row r="4878" spans="1:12" ht="15" customHeight="1" x14ac:dyDescent="0.25">
      <c r="A4878" s="27" t="s">
        <v>61</v>
      </c>
      <c r="B4878" s="27"/>
      <c r="C4878" s="27"/>
      <c r="D4878" s="27"/>
      <c r="E4878" s="27"/>
      <c r="F4878" s="27"/>
      <c r="G4878" s="27"/>
      <c r="H4878" s="27"/>
      <c r="I4878" s="27"/>
      <c r="J4878" s="27"/>
      <c r="K4878" s="27">
        <v>196.64</v>
      </c>
      <c r="L4878" s="27"/>
    </row>
    <row r="4879" spans="1:12" ht="15" customHeight="1" x14ac:dyDescent="0.25">
      <c r="A4879" s="27" t="s">
        <v>62</v>
      </c>
      <c r="B4879" s="27"/>
      <c r="C4879" s="27"/>
      <c r="D4879" s="27"/>
      <c r="E4879" s="27"/>
      <c r="F4879" s="27"/>
      <c r="G4879" s="27"/>
      <c r="H4879" s="27"/>
      <c r="I4879" s="27"/>
      <c r="J4879" s="27"/>
      <c r="K4879" s="27">
        <v>65.38</v>
      </c>
      <c r="L4879" s="27"/>
    </row>
    <row r="4880" spans="1:12" ht="15" customHeight="1" x14ac:dyDescent="0.25">
      <c r="A4880" s="27" t="s">
        <v>63</v>
      </c>
      <c r="B4880" s="27"/>
      <c r="C4880" s="27"/>
      <c r="D4880" s="27"/>
      <c r="E4880" s="27"/>
      <c r="F4880" s="27"/>
      <c r="G4880" s="27"/>
      <c r="H4880" s="27"/>
      <c r="I4880" s="27"/>
      <c r="J4880" s="27"/>
      <c r="K4880" s="27">
        <v>262.02</v>
      </c>
      <c r="L4880" s="27"/>
    </row>
    <row r="4881" spans="1:12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</row>
    <row r="4882" spans="1:12" ht="15" customHeight="1" x14ac:dyDescent="0.25">
      <c r="A4882" s="3" t="s">
        <v>8</v>
      </c>
      <c r="B4882" s="6" t="s">
        <v>9</v>
      </c>
      <c r="C4882" s="6"/>
      <c r="D4882" s="6"/>
      <c r="E4882" s="6"/>
      <c r="F4882" s="6"/>
      <c r="G4882" s="6"/>
      <c r="H4882" s="6"/>
      <c r="I4882" s="6"/>
      <c r="J4882" s="6"/>
      <c r="K4882" s="6"/>
      <c r="L4882" s="6"/>
    </row>
    <row r="4883" spans="1:12" ht="30" customHeight="1" x14ac:dyDescent="0.25">
      <c r="A4883" s="3" t="s">
        <v>10</v>
      </c>
      <c r="B4883" s="6" t="s">
        <v>592</v>
      </c>
      <c r="C4883" s="6"/>
      <c r="D4883" s="6"/>
      <c r="E4883" s="6"/>
      <c r="F4883" s="6"/>
      <c r="G4883" s="6"/>
      <c r="H4883" s="6"/>
      <c r="I4883" s="6"/>
      <c r="J4883" s="6"/>
      <c r="K4883" s="3" t="s">
        <v>12</v>
      </c>
      <c r="L4883" s="4" t="s">
        <v>84</v>
      </c>
    </row>
    <row r="4884" spans="1:12" ht="15" customHeight="1" x14ac:dyDescent="0.25">
      <c r="A4884" s="3" t="s">
        <v>14</v>
      </c>
      <c r="B4884" s="6" t="s">
        <v>88</v>
      </c>
      <c r="C4884" s="6"/>
      <c r="D4884" s="7" t="s">
        <v>16</v>
      </c>
      <c r="E4884" s="7"/>
      <c r="F4884" s="6" t="str">
        <f>"2A87.000281"</f>
        <v>2A87.000281</v>
      </c>
      <c r="G4884" s="6"/>
      <c r="H4884" s="3" t="s">
        <v>17</v>
      </c>
      <c r="I4884" s="6" t="s">
        <v>89</v>
      </c>
      <c r="J4884" s="6"/>
      <c r="K4884" s="3" t="s">
        <v>19</v>
      </c>
      <c r="L4884" s="5">
        <v>1</v>
      </c>
    </row>
    <row r="4885" spans="1:12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</row>
    <row r="4886" spans="1:12" ht="15" customHeight="1" x14ac:dyDescent="0.25">
      <c r="A4886" s="10" t="s">
        <v>20</v>
      </c>
      <c r="B4886" s="11"/>
      <c r="C4886" s="12"/>
      <c r="D4886" s="8" t="s">
        <v>21</v>
      </c>
      <c r="E4886" s="8" t="s">
        <v>22</v>
      </c>
      <c r="F4886" s="9" t="s">
        <v>23</v>
      </c>
      <c r="G4886" s="9" t="s">
        <v>24</v>
      </c>
      <c r="H4886" s="9" t="s">
        <v>25</v>
      </c>
      <c r="I4886" s="9" t="s">
        <v>26</v>
      </c>
      <c r="J4886" s="9" t="s">
        <v>27</v>
      </c>
      <c r="K4886" s="13" t="s">
        <v>28</v>
      </c>
      <c r="L4886" s="14"/>
    </row>
    <row r="4887" spans="1:12" ht="15" customHeight="1" x14ac:dyDescent="0.25">
      <c r="A4887" s="15" t="s">
        <v>29</v>
      </c>
      <c r="B4887" s="16"/>
      <c r="C4887" s="16"/>
      <c r="D4887" s="16"/>
      <c r="E4887" s="16"/>
      <c r="F4887" s="16"/>
      <c r="G4887" s="16"/>
      <c r="H4887" s="16"/>
      <c r="I4887" s="16"/>
      <c r="J4887" s="17"/>
      <c r="K4887" s="15">
        <v>0</v>
      </c>
      <c r="L4887" s="17"/>
    </row>
    <row r="4888" spans="1:12" x14ac:dyDescent="0.25">
      <c r="A4888" s="18"/>
      <c r="B4888" s="18"/>
      <c r="C4888" s="18"/>
      <c r="D4888" s="18"/>
      <c r="E4888" s="18"/>
      <c r="F4888" s="18"/>
      <c r="G4888" s="18"/>
      <c r="H4888" s="18"/>
      <c r="I4888" s="18"/>
      <c r="J4888" s="18"/>
      <c r="K4888" s="18"/>
      <c r="L4888" s="18"/>
    </row>
    <row r="4889" spans="1:12" ht="15" customHeight="1" x14ac:dyDescent="0.25">
      <c r="A4889" s="10" t="s">
        <v>30</v>
      </c>
      <c r="B4889" s="11"/>
      <c r="C4889" s="12"/>
      <c r="D4889" s="8" t="s">
        <v>21</v>
      </c>
      <c r="E4889" s="8" t="s">
        <v>22</v>
      </c>
      <c r="F4889" s="9" t="s">
        <v>31</v>
      </c>
      <c r="G4889" s="9" t="s">
        <v>32</v>
      </c>
      <c r="H4889" s="9" t="s">
        <v>33</v>
      </c>
      <c r="I4889" s="13" t="s">
        <v>34</v>
      </c>
      <c r="J4889" s="14"/>
      <c r="K4889" s="13" t="s">
        <v>28</v>
      </c>
      <c r="L4889" s="14"/>
    </row>
    <row r="4890" spans="1:12" ht="15" customHeight="1" x14ac:dyDescent="0.25">
      <c r="A4890" s="15" t="s">
        <v>38</v>
      </c>
      <c r="B4890" s="16"/>
      <c r="C4890" s="16"/>
      <c r="D4890" s="16"/>
      <c r="E4890" s="16"/>
      <c r="F4890" s="16"/>
      <c r="G4890" s="16"/>
      <c r="H4890" s="16"/>
      <c r="I4890" s="16"/>
      <c r="J4890" s="17"/>
      <c r="K4890" s="15">
        <v>0</v>
      </c>
      <c r="L4890" s="17"/>
    </row>
    <row r="4891" spans="1:12" x14ac:dyDescent="0.25">
      <c r="A4891" s="18"/>
      <c r="B4891" s="18"/>
      <c r="C4891" s="18"/>
      <c r="D4891" s="18"/>
      <c r="E4891" s="18"/>
      <c r="F4891" s="18"/>
      <c r="G4891" s="18"/>
      <c r="H4891" s="18"/>
      <c r="I4891" s="18"/>
      <c r="J4891" s="18"/>
      <c r="K4891" s="18"/>
      <c r="L4891" s="18"/>
    </row>
    <row r="4892" spans="1:12" ht="15" customHeight="1" x14ac:dyDescent="0.25">
      <c r="A4892" s="10" t="s">
        <v>39</v>
      </c>
      <c r="B4892" s="11"/>
      <c r="C4892" s="12"/>
      <c r="D4892" s="8" t="s">
        <v>21</v>
      </c>
      <c r="E4892" s="13" t="s">
        <v>40</v>
      </c>
      <c r="F4892" s="14"/>
      <c r="G4892" s="8" t="s">
        <v>41</v>
      </c>
      <c r="H4892" s="8" t="s">
        <v>42</v>
      </c>
      <c r="I4892" s="8" t="s">
        <v>43</v>
      </c>
      <c r="J4892" s="13" t="s">
        <v>44</v>
      </c>
      <c r="K4892" s="26"/>
      <c r="L4892" s="14"/>
    </row>
    <row r="4893" spans="1:12" ht="15" customHeight="1" x14ac:dyDescent="0.25">
      <c r="A4893" s="15" t="s">
        <v>45</v>
      </c>
      <c r="B4893" s="16"/>
      <c r="C4893" s="16"/>
      <c r="D4893" s="16"/>
      <c r="E4893" s="16"/>
      <c r="F4893" s="16"/>
      <c r="G4893" s="16"/>
      <c r="H4893" s="16"/>
      <c r="I4893" s="16"/>
      <c r="J4893" s="17"/>
      <c r="K4893" s="15">
        <v>0</v>
      </c>
      <c r="L4893" s="17"/>
    </row>
    <row r="4894" spans="1:12" x14ac:dyDescent="0.25">
      <c r="A4894" s="18"/>
      <c r="B4894" s="18"/>
      <c r="C4894" s="18"/>
      <c r="D4894" s="18"/>
      <c r="E4894" s="18"/>
      <c r="F4894" s="18"/>
      <c r="G4894" s="18"/>
      <c r="H4894" s="18"/>
      <c r="I4894" s="18"/>
      <c r="J4894" s="18"/>
      <c r="K4894" s="18"/>
      <c r="L4894" s="18"/>
    </row>
    <row r="4895" spans="1:12" ht="15" customHeight="1" x14ac:dyDescent="0.25">
      <c r="A4895" s="27" t="s">
        <v>46</v>
      </c>
      <c r="B4895" s="27"/>
      <c r="C4895" s="27"/>
      <c r="D4895" s="27"/>
      <c r="E4895" s="27"/>
      <c r="F4895" s="27"/>
      <c r="G4895" s="27"/>
      <c r="H4895" s="27"/>
      <c r="I4895" s="27"/>
      <c r="J4895" s="27"/>
      <c r="K4895" s="27">
        <v>0</v>
      </c>
      <c r="L4895" s="27"/>
    </row>
    <row r="4896" spans="1:12" ht="15" customHeight="1" x14ac:dyDescent="0.25">
      <c r="A4896" s="27" t="s">
        <v>47</v>
      </c>
      <c r="B4896" s="27"/>
      <c r="C4896" s="27"/>
      <c r="D4896" s="27"/>
      <c r="E4896" s="27"/>
      <c r="F4896" s="27"/>
      <c r="G4896" s="27"/>
      <c r="H4896" s="27"/>
      <c r="I4896" s="27"/>
      <c r="J4896" s="27"/>
      <c r="K4896" s="27">
        <v>1</v>
      </c>
      <c r="L4896" s="27"/>
    </row>
    <row r="4897" spans="1:12" ht="15" customHeight="1" x14ac:dyDescent="0.25">
      <c r="A4897" s="27" t="s">
        <v>48</v>
      </c>
      <c r="B4897" s="27"/>
      <c r="C4897" s="27"/>
      <c r="D4897" s="27"/>
      <c r="E4897" s="27"/>
      <c r="F4897" s="27"/>
      <c r="G4897" s="27"/>
      <c r="H4897" s="27"/>
      <c r="I4897" s="27"/>
      <c r="J4897" s="27"/>
      <c r="K4897" s="27">
        <v>0</v>
      </c>
      <c r="L4897" s="27"/>
    </row>
    <row r="4898" spans="1:12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</row>
    <row r="4899" spans="1:12" ht="15" customHeight="1" x14ac:dyDescent="0.25">
      <c r="A4899" s="10" t="s">
        <v>49</v>
      </c>
      <c r="B4899" s="11"/>
      <c r="C4899" s="11"/>
      <c r="D4899" s="11"/>
      <c r="E4899" s="12"/>
      <c r="F4899" s="8" t="s">
        <v>21</v>
      </c>
      <c r="G4899" s="8" t="s">
        <v>22</v>
      </c>
      <c r="H4899" s="9" t="s">
        <v>44</v>
      </c>
      <c r="I4899" s="13" t="s">
        <v>34</v>
      </c>
      <c r="J4899" s="14"/>
      <c r="K4899" s="13" t="s">
        <v>50</v>
      </c>
      <c r="L4899" s="14"/>
    </row>
    <row r="4900" spans="1:12" ht="30" customHeight="1" x14ac:dyDescent="0.25">
      <c r="A4900" s="21" t="s">
        <v>593</v>
      </c>
      <c r="B4900" s="22"/>
      <c r="C4900" s="22"/>
      <c r="D4900" s="22"/>
      <c r="E4900" s="23"/>
      <c r="F4900" s="19" t="str">
        <f>"130541"</f>
        <v>130541</v>
      </c>
      <c r="G4900" s="19" t="s">
        <v>81</v>
      </c>
      <c r="H4900" s="20">
        <v>95.37</v>
      </c>
      <c r="I4900" s="24">
        <v>1</v>
      </c>
      <c r="J4900" s="25"/>
      <c r="K4900" s="24">
        <v>95.37</v>
      </c>
      <c r="L4900" s="25"/>
    </row>
    <row r="4901" spans="1:12" ht="15" customHeight="1" x14ac:dyDescent="0.25">
      <c r="A4901" s="21" t="s">
        <v>594</v>
      </c>
      <c r="B4901" s="22"/>
      <c r="C4901" s="22"/>
      <c r="D4901" s="22"/>
      <c r="E4901" s="23"/>
      <c r="F4901" s="19" t="str">
        <f>"130701"</f>
        <v>130701</v>
      </c>
      <c r="G4901" s="19" t="s">
        <v>81</v>
      </c>
      <c r="H4901" s="20">
        <v>13.32</v>
      </c>
      <c r="I4901" s="24">
        <v>2</v>
      </c>
      <c r="J4901" s="25"/>
      <c r="K4901" s="24">
        <v>26.64</v>
      </c>
      <c r="L4901" s="25"/>
    </row>
    <row r="4902" spans="1:12" ht="15" customHeight="1" x14ac:dyDescent="0.25">
      <c r="A4902" s="15" t="s">
        <v>51</v>
      </c>
      <c r="B4902" s="16"/>
      <c r="C4902" s="16"/>
      <c r="D4902" s="16"/>
      <c r="E4902" s="16"/>
      <c r="F4902" s="16"/>
      <c r="G4902" s="16"/>
      <c r="H4902" s="16"/>
      <c r="I4902" s="16"/>
      <c r="J4902" s="17"/>
      <c r="K4902" s="15">
        <v>122.01</v>
      </c>
      <c r="L4902" s="17"/>
    </row>
    <row r="4903" spans="1:12" x14ac:dyDescent="0.25">
      <c r="A4903" s="18"/>
      <c r="B4903" s="18"/>
      <c r="C4903" s="18"/>
      <c r="D4903" s="18"/>
      <c r="E4903" s="18"/>
      <c r="F4903" s="18"/>
      <c r="G4903" s="18"/>
      <c r="H4903" s="18"/>
      <c r="I4903" s="18"/>
      <c r="J4903" s="18"/>
      <c r="K4903" s="18"/>
      <c r="L4903" s="18"/>
    </row>
    <row r="4904" spans="1:12" ht="15" customHeight="1" x14ac:dyDescent="0.25">
      <c r="A4904" s="10" t="s">
        <v>52</v>
      </c>
      <c r="B4904" s="11"/>
      <c r="C4904" s="11"/>
      <c r="D4904" s="11"/>
      <c r="E4904" s="12"/>
      <c r="F4904" s="8" t="s">
        <v>21</v>
      </c>
      <c r="G4904" s="8" t="s">
        <v>22</v>
      </c>
      <c r="H4904" s="9" t="s">
        <v>44</v>
      </c>
      <c r="I4904" s="13" t="s">
        <v>34</v>
      </c>
      <c r="J4904" s="14"/>
      <c r="K4904" s="13" t="s">
        <v>50</v>
      </c>
      <c r="L4904" s="14"/>
    </row>
    <row r="4905" spans="1:12" ht="30" customHeight="1" x14ac:dyDescent="0.25">
      <c r="A4905" s="21" t="s">
        <v>595</v>
      </c>
      <c r="B4905" s="22"/>
      <c r="C4905" s="22"/>
      <c r="D4905" s="22"/>
      <c r="E4905" s="23"/>
      <c r="F4905" s="19" t="s">
        <v>596</v>
      </c>
      <c r="G4905" s="19" t="s">
        <v>84</v>
      </c>
      <c r="H4905" s="20">
        <v>1</v>
      </c>
      <c r="I4905" s="24" t="s">
        <v>164</v>
      </c>
      <c r="J4905" s="25"/>
      <c r="K4905" s="24" t="s">
        <v>164</v>
      </c>
      <c r="L4905" s="25"/>
    </row>
    <row r="4906" spans="1:12" ht="15" customHeight="1" x14ac:dyDescent="0.25">
      <c r="A4906" s="15" t="s">
        <v>53</v>
      </c>
      <c r="B4906" s="16"/>
      <c r="C4906" s="16"/>
      <c r="D4906" s="16"/>
      <c r="E4906" s="16"/>
      <c r="F4906" s="16"/>
      <c r="G4906" s="16"/>
      <c r="H4906" s="16"/>
      <c r="I4906" s="16"/>
      <c r="J4906" s="17"/>
      <c r="K4906" s="15">
        <v>52.76</v>
      </c>
      <c r="L4906" s="17"/>
    </row>
    <row r="4907" spans="1:12" x14ac:dyDescent="0.25">
      <c r="A4907" s="18"/>
      <c r="B4907" s="18"/>
      <c r="C4907" s="18"/>
      <c r="D4907" s="18"/>
      <c r="E4907" s="18"/>
      <c r="F4907" s="18"/>
      <c r="G4907" s="18"/>
      <c r="H4907" s="18"/>
      <c r="I4907" s="18"/>
      <c r="J4907" s="18"/>
      <c r="K4907" s="18"/>
      <c r="L4907" s="18"/>
    </row>
    <row r="4908" spans="1:12" ht="15" customHeight="1" x14ac:dyDescent="0.25">
      <c r="A4908" s="10" t="s">
        <v>54</v>
      </c>
      <c r="B4908" s="11"/>
      <c r="C4908" s="12"/>
      <c r="D4908" s="8" t="s">
        <v>21</v>
      </c>
      <c r="E4908" s="8" t="s">
        <v>22</v>
      </c>
      <c r="F4908" s="9" t="s">
        <v>55</v>
      </c>
      <c r="G4908" s="8" t="s">
        <v>56</v>
      </c>
      <c r="H4908" s="8" t="s">
        <v>57</v>
      </c>
      <c r="I4908" s="8" t="s">
        <v>58</v>
      </c>
      <c r="J4908" s="9" t="s">
        <v>59</v>
      </c>
      <c r="K4908" s="9" t="s">
        <v>34</v>
      </c>
      <c r="L4908" s="9" t="s">
        <v>50</v>
      </c>
    </row>
    <row r="4909" spans="1:12" ht="15" customHeight="1" x14ac:dyDescent="0.25">
      <c r="A4909" s="15" t="s">
        <v>60</v>
      </c>
      <c r="B4909" s="16"/>
      <c r="C4909" s="16"/>
      <c r="D4909" s="16"/>
      <c r="E4909" s="16"/>
      <c r="F4909" s="16"/>
      <c r="G4909" s="16"/>
      <c r="H4909" s="16"/>
      <c r="I4909" s="16"/>
      <c r="J4909" s="17"/>
      <c r="K4909" s="15">
        <v>0</v>
      </c>
      <c r="L4909" s="17"/>
    </row>
    <row r="4910" spans="1:12" x14ac:dyDescent="0.25">
      <c r="A4910" s="18"/>
      <c r="B4910" s="18"/>
      <c r="C4910" s="18"/>
      <c r="D4910" s="18"/>
      <c r="E4910" s="18"/>
      <c r="F4910" s="18"/>
      <c r="G4910" s="18"/>
      <c r="H4910" s="18"/>
      <c r="I4910" s="18"/>
      <c r="J4910" s="18"/>
      <c r="K4910" s="18"/>
      <c r="L4910" s="18"/>
    </row>
    <row r="4911" spans="1:12" ht="15" customHeight="1" x14ac:dyDescent="0.25">
      <c r="A4911" s="27" t="s">
        <v>61</v>
      </c>
      <c r="B4911" s="27"/>
      <c r="C4911" s="27"/>
      <c r="D4911" s="27"/>
      <c r="E4911" s="27"/>
      <c r="F4911" s="27"/>
      <c r="G4911" s="27"/>
      <c r="H4911" s="27"/>
      <c r="I4911" s="27"/>
      <c r="J4911" s="27"/>
      <c r="K4911" s="27">
        <v>174.77</v>
      </c>
      <c r="L4911" s="27"/>
    </row>
    <row r="4912" spans="1:12" ht="15" customHeight="1" x14ac:dyDescent="0.25">
      <c r="A4912" s="27" t="s">
        <v>62</v>
      </c>
      <c r="B4912" s="27"/>
      <c r="C4912" s="27"/>
      <c r="D4912" s="27"/>
      <c r="E4912" s="27"/>
      <c r="F4912" s="27"/>
      <c r="G4912" s="27"/>
      <c r="H4912" s="27"/>
      <c r="I4912" s="27"/>
      <c r="J4912" s="27"/>
      <c r="K4912" s="27">
        <v>58.11</v>
      </c>
      <c r="L4912" s="27"/>
    </row>
    <row r="4913" spans="1:12" ht="15" customHeight="1" x14ac:dyDescent="0.25">
      <c r="A4913" s="27" t="s">
        <v>63</v>
      </c>
      <c r="B4913" s="27"/>
      <c r="C4913" s="27"/>
      <c r="D4913" s="27"/>
      <c r="E4913" s="27"/>
      <c r="F4913" s="27"/>
      <c r="G4913" s="27"/>
      <c r="H4913" s="27"/>
      <c r="I4913" s="27"/>
      <c r="J4913" s="27"/>
      <c r="K4913" s="27">
        <v>232.88</v>
      </c>
      <c r="L4913" s="27"/>
    </row>
    <row r="4914" spans="1:12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</row>
    <row r="4915" spans="1:12" ht="15" customHeight="1" x14ac:dyDescent="0.25">
      <c r="A4915" s="3" t="s">
        <v>8</v>
      </c>
      <c r="B4915" s="6" t="s">
        <v>9</v>
      </c>
      <c r="C4915" s="6"/>
      <c r="D4915" s="6"/>
      <c r="E4915" s="6"/>
      <c r="F4915" s="6"/>
      <c r="G4915" s="6"/>
      <c r="H4915" s="6"/>
      <c r="I4915" s="6"/>
      <c r="J4915" s="6"/>
      <c r="K4915" s="6"/>
      <c r="L4915" s="6"/>
    </row>
    <row r="4916" spans="1:12" ht="30" customHeight="1" x14ac:dyDescent="0.25">
      <c r="A4916" s="3" t="s">
        <v>10</v>
      </c>
      <c r="B4916" s="6" t="s">
        <v>597</v>
      </c>
      <c r="C4916" s="6"/>
      <c r="D4916" s="6"/>
      <c r="E4916" s="6"/>
      <c r="F4916" s="6"/>
      <c r="G4916" s="6"/>
      <c r="H4916" s="6"/>
      <c r="I4916" s="6"/>
      <c r="J4916" s="6"/>
      <c r="K4916" s="3" t="s">
        <v>12</v>
      </c>
      <c r="L4916" s="4" t="s">
        <v>84</v>
      </c>
    </row>
    <row r="4917" spans="1:12" ht="15" customHeight="1" x14ac:dyDescent="0.25">
      <c r="A4917" s="3" t="s">
        <v>14</v>
      </c>
      <c r="B4917" s="6" t="s">
        <v>88</v>
      </c>
      <c r="C4917" s="6"/>
      <c r="D4917" s="7" t="s">
        <v>16</v>
      </c>
      <c r="E4917" s="7"/>
      <c r="F4917" s="6" t="str">
        <f>"3DD3.000359"</f>
        <v>3DD3.000359</v>
      </c>
      <c r="G4917" s="6"/>
      <c r="H4917" s="3" t="s">
        <v>17</v>
      </c>
      <c r="I4917" s="6" t="s">
        <v>89</v>
      </c>
      <c r="J4917" s="6"/>
      <c r="K4917" s="3" t="s">
        <v>19</v>
      </c>
      <c r="L4917" s="5">
        <v>1</v>
      </c>
    </row>
    <row r="4918" spans="1:12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</row>
    <row r="4919" spans="1:12" ht="15" customHeight="1" x14ac:dyDescent="0.25">
      <c r="A4919" s="10" t="s">
        <v>20</v>
      </c>
      <c r="B4919" s="11"/>
      <c r="C4919" s="12"/>
      <c r="D4919" s="8" t="s">
        <v>21</v>
      </c>
      <c r="E4919" s="8" t="s">
        <v>22</v>
      </c>
      <c r="F4919" s="9" t="s">
        <v>23</v>
      </c>
      <c r="G4919" s="9" t="s">
        <v>24</v>
      </c>
      <c r="H4919" s="9" t="s">
        <v>25</v>
      </c>
      <c r="I4919" s="9" t="s">
        <v>26</v>
      </c>
      <c r="J4919" s="9" t="s">
        <v>27</v>
      </c>
      <c r="K4919" s="13" t="s">
        <v>28</v>
      </c>
      <c r="L4919" s="14"/>
    </row>
    <row r="4920" spans="1:12" ht="15" customHeight="1" x14ac:dyDescent="0.25">
      <c r="A4920" s="15" t="s">
        <v>29</v>
      </c>
      <c r="B4920" s="16"/>
      <c r="C4920" s="16"/>
      <c r="D4920" s="16"/>
      <c r="E4920" s="16"/>
      <c r="F4920" s="16"/>
      <c r="G4920" s="16"/>
      <c r="H4920" s="16"/>
      <c r="I4920" s="16"/>
      <c r="J4920" s="17"/>
      <c r="K4920" s="15">
        <v>0</v>
      </c>
      <c r="L4920" s="17"/>
    </row>
    <row r="4921" spans="1:12" x14ac:dyDescent="0.25">
      <c r="A4921" s="18"/>
      <c r="B4921" s="18"/>
      <c r="C4921" s="18"/>
      <c r="D4921" s="18"/>
      <c r="E4921" s="18"/>
      <c r="F4921" s="18"/>
      <c r="G4921" s="18"/>
      <c r="H4921" s="18"/>
      <c r="I4921" s="18"/>
      <c r="J4921" s="18"/>
      <c r="K4921" s="18"/>
      <c r="L4921" s="18"/>
    </row>
    <row r="4922" spans="1:12" ht="15" customHeight="1" x14ac:dyDescent="0.25">
      <c r="A4922" s="10" t="s">
        <v>30</v>
      </c>
      <c r="B4922" s="11"/>
      <c r="C4922" s="12"/>
      <c r="D4922" s="8" t="s">
        <v>21</v>
      </c>
      <c r="E4922" s="8" t="s">
        <v>22</v>
      </c>
      <c r="F4922" s="9" t="s">
        <v>31</v>
      </c>
      <c r="G4922" s="9" t="s">
        <v>32</v>
      </c>
      <c r="H4922" s="9" t="s">
        <v>33</v>
      </c>
      <c r="I4922" s="13" t="s">
        <v>34</v>
      </c>
      <c r="J4922" s="14"/>
      <c r="K4922" s="13" t="s">
        <v>28</v>
      </c>
      <c r="L4922" s="14"/>
    </row>
    <row r="4923" spans="1:12" ht="15" customHeight="1" x14ac:dyDescent="0.25">
      <c r="A4923" s="15" t="s">
        <v>38</v>
      </c>
      <c r="B4923" s="16"/>
      <c r="C4923" s="16"/>
      <c r="D4923" s="16"/>
      <c r="E4923" s="16"/>
      <c r="F4923" s="16"/>
      <c r="G4923" s="16"/>
      <c r="H4923" s="16"/>
      <c r="I4923" s="16"/>
      <c r="J4923" s="17"/>
      <c r="K4923" s="15">
        <v>0</v>
      </c>
      <c r="L4923" s="17"/>
    </row>
    <row r="4924" spans="1:12" x14ac:dyDescent="0.25">
      <c r="A4924" s="18"/>
      <c r="B4924" s="18"/>
      <c r="C4924" s="18"/>
      <c r="D4924" s="18"/>
      <c r="E4924" s="18"/>
      <c r="F4924" s="18"/>
      <c r="G4924" s="18"/>
      <c r="H4924" s="18"/>
      <c r="I4924" s="18"/>
      <c r="J4924" s="18"/>
      <c r="K4924" s="18"/>
      <c r="L4924" s="18"/>
    </row>
    <row r="4925" spans="1:12" ht="15" customHeight="1" x14ac:dyDescent="0.25">
      <c r="A4925" s="10" t="s">
        <v>39</v>
      </c>
      <c r="B4925" s="11"/>
      <c r="C4925" s="12"/>
      <c r="D4925" s="8" t="s">
        <v>21</v>
      </c>
      <c r="E4925" s="13" t="s">
        <v>40</v>
      </c>
      <c r="F4925" s="14"/>
      <c r="G4925" s="8" t="s">
        <v>41</v>
      </c>
      <c r="H4925" s="8" t="s">
        <v>42</v>
      </c>
      <c r="I4925" s="8" t="s">
        <v>43</v>
      </c>
      <c r="J4925" s="13" t="s">
        <v>44</v>
      </c>
      <c r="K4925" s="26"/>
      <c r="L4925" s="14"/>
    </row>
    <row r="4926" spans="1:12" ht="15" customHeight="1" x14ac:dyDescent="0.25">
      <c r="A4926" s="15" t="s">
        <v>45</v>
      </c>
      <c r="B4926" s="16"/>
      <c r="C4926" s="16"/>
      <c r="D4926" s="16"/>
      <c r="E4926" s="16"/>
      <c r="F4926" s="16"/>
      <c r="G4926" s="16"/>
      <c r="H4926" s="16"/>
      <c r="I4926" s="16"/>
      <c r="J4926" s="17"/>
      <c r="K4926" s="15">
        <v>0</v>
      </c>
      <c r="L4926" s="17"/>
    </row>
    <row r="4927" spans="1:12" x14ac:dyDescent="0.25">
      <c r="A4927" s="18"/>
      <c r="B4927" s="18"/>
      <c r="C4927" s="18"/>
      <c r="D4927" s="18"/>
      <c r="E4927" s="18"/>
      <c r="F4927" s="18"/>
      <c r="G4927" s="18"/>
      <c r="H4927" s="18"/>
      <c r="I4927" s="18"/>
      <c r="J4927" s="18"/>
      <c r="K4927" s="18"/>
      <c r="L4927" s="18"/>
    </row>
    <row r="4928" spans="1:12" ht="15" customHeight="1" x14ac:dyDescent="0.25">
      <c r="A4928" s="27" t="s">
        <v>46</v>
      </c>
      <c r="B4928" s="27"/>
      <c r="C4928" s="27"/>
      <c r="D4928" s="27"/>
      <c r="E4928" s="27"/>
      <c r="F4928" s="27"/>
      <c r="G4928" s="27"/>
      <c r="H4928" s="27"/>
      <c r="I4928" s="27"/>
      <c r="J4928" s="27"/>
      <c r="K4928" s="27">
        <v>0</v>
      </c>
      <c r="L4928" s="27"/>
    </row>
    <row r="4929" spans="1:12" ht="15" customHeight="1" x14ac:dyDescent="0.25">
      <c r="A4929" s="27" t="s">
        <v>47</v>
      </c>
      <c r="B4929" s="27"/>
      <c r="C4929" s="27"/>
      <c r="D4929" s="27"/>
      <c r="E4929" s="27"/>
      <c r="F4929" s="27"/>
      <c r="G4929" s="27"/>
      <c r="H4929" s="27"/>
      <c r="I4929" s="27"/>
      <c r="J4929" s="27"/>
      <c r="K4929" s="27">
        <v>1</v>
      </c>
      <c r="L4929" s="27"/>
    </row>
    <row r="4930" spans="1:12" ht="15" customHeight="1" x14ac:dyDescent="0.25">
      <c r="A4930" s="27" t="s">
        <v>48</v>
      </c>
      <c r="B4930" s="27"/>
      <c r="C4930" s="27"/>
      <c r="D4930" s="27"/>
      <c r="E4930" s="27"/>
      <c r="F4930" s="27"/>
      <c r="G4930" s="27"/>
      <c r="H4930" s="27"/>
      <c r="I4930" s="27"/>
      <c r="J4930" s="27"/>
      <c r="K4930" s="27">
        <v>0</v>
      </c>
      <c r="L4930" s="27"/>
    </row>
    <row r="4931" spans="1:12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</row>
    <row r="4932" spans="1:12" ht="15" customHeight="1" x14ac:dyDescent="0.25">
      <c r="A4932" s="10" t="s">
        <v>49</v>
      </c>
      <c r="B4932" s="11"/>
      <c r="C4932" s="11"/>
      <c r="D4932" s="11"/>
      <c r="E4932" s="12"/>
      <c r="F4932" s="8" t="s">
        <v>21</v>
      </c>
      <c r="G4932" s="8" t="s">
        <v>22</v>
      </c>
      <c r="H4932" s="9" t="s">
        <v>44</v>
      </c>
      <c r="I4932" s="13" t="s">
        <v>34</v>
      </c>
      <c r="J4932" s="14"/>
      <c r="K4932" s="13" t="s">
        <v>50</v>
      </c>
      <c r="L4932" s="14"/>
    </row>
    <row r="4933" spans="1:12" ht="15" customHeight="1" x14ac:dyDescent="0.25">
      <c r="A4933" s="21" t="s">
        <v>598</v>
      </c>
      <c r="B4933" s="22"/>
      <c r="C4933" s="22"/>
      <c r="D4933" s="22"/>
      <c r="E4933" s="23"/>
      <c r="F4933" s="19" t="str">
        <f>"040612"</f>
        <v>040612</v>
      </c>
      <c r="G4933" s="19" t="s">
        <v>81</v>
      </c>
      <c r="H4933" s="20">
        <v>9.89</v>
      </c>
      <c r="I4933" s="24">
        <v>2</v>
      </c>
      <c r="J4933" s="25"/>
      <c r="K4933" s="24">
        <v>19.78</v>
      </c>
      <c r="L4933" s="25"/>
    </row>
    <row r="4934" spans="1:12" ht="30" customHeight="1" x14ac:dyDescent="0.25">
      <c r="A4934" s="21" t="s">
        <v>599</v>
      </c>
      <c r="B4934" s="22"/>
      <c r="C4934" s="22"/>
      <c r="D4934" s="22"/>
      <c r="E4934" s="23"/>
      <c r="F4934" s="19" t="str">
        <f>"130542"</f>
        <v>130542</v>
      </c>
      <c r="G4934" s="19" t="s">
        <v>81</v>
      </c>
      <c r="H4934" s="20">
        <v>154.13999999999999</v>
      </c>
      <c r="I4934" s="24">
        <v>1</v>
      </c>
      <c r="J4934" s="25"/>
      <c r="K4934" s="24">
        <v>154.13999999999999</v>
      </c>
      <c r="L4934" s="25"/>
    </row>
    <row r="4935" spans="1:12" ht="15" customHeight="1" x14ac:dyDescent="0.25">
      <c r="A4935" s="15" t="s">
        <v>51</v>
      </c>
      <c r="B4935" s="16"/>
      <c r="C4935" s="16"/>
      <c r="D4935" s="16"/>
      <c r="E4935" s="16"/>
      <c r="F4935" s="16"/>
      <c r="G4935" s="16"/>
      <c r="H4935" s="16"/>
      <c r="I4935" s="16"/>
      <c r="J4935" s="17"/>
      <c r="K4935" s="15">
        <v>173.92</v>
      </c>
      <c r="L4935" s="17"/>
    </row>
    <row r="4936" spans="1:12" x14ac:dyDescent="0.25">
      <c r="A4936" s="18"/>
      <c r="B4936" s="18"/>
      <c r="C4936" s="18"/>
      <c r="D4936" s="18"/>
      <c r="E4936" s="18"/>
      <c r="F4936" s="18"/>
      <c r="G4936" s="18"/>
      <c r="H4936" s="18"/>
      <c r="I4936" s="18"/>
      <c r="J4936" s="18"/>
      <c r="K4936" s="18"/>
      <c r="L4936" s="18"/>
    </row>
    <row r="4937" spans="1:12" ht="15" customHeight="1" x14ac:dyDescent="0.25">
      <c r="A4937" s="10" t="s">
        <v>52</v>
      </c>
      <c r="B4937" s="11"/>
      <c r="C4937" s="11"/>
      <c r="D4937" s="11"/>
      <c r="E4937" s="12"/>
      <c r="F4937" s="8" t="s">
        <v>21</v>
      </c>
      <c r="G4937" s="8" t="s">
        <v>22</v>
      </c>
      <c r="H4937" s="9" t="s">
        <v>44</v>
      </c>
      <c r="I4937" s="13" t="s">
        <v>34</v>
      </c>
      <c r="J4937" s="14"/>
      <c r="K4937" s="13" t="s">
        <v>50</v>
      </c>
      <c r="L4937" s="14"/>
    </row>
    <row r="4938" spans="1:12" ht="30" customHeight="1" x14ac:dyDescent="0.25">
      <c r="A4938" s="21" t="s">
        <v>600</v>
      </c>
      <c r="B4938" s="22"/>
      <c r="C4938" s="22"/>
      <c r="D4938" s="22"/>
      <c r="E4938" s="23"/>
      <c r="F4938" s="19" t="s">
        <v>601</v>
      </c>
      <c r="G4938" s="19" t="s">
        <v>84</v>
      </c>
      <c r="H4938" s="20">
        <v>1</v>
      </c>
      <c r="I4938" s="24" t="s">
        <v>164</v>
      </c>
      <c r="J4938" s="25"/>
      <c r="K4938" s="24" t="s">
        <v>164</v>
      </c>
      <c r="L4938" s="25"/>
    </row>
    <row r="4939" spans="1:12" ht="15" customHeight="1" x14ac:dyDescent="0.25">
      <c r="A4939" s="15" t="s">
        <v>53</v>
      </c>
      <c r="B4939" s="16"/>
      <c r="C4939" s="16"/>
      <c r="D4939" s="16"/>
      <c r="E4939" s="16"/>
      <c r="F4939" s="16"/>
      <c r="G4939" s="16"/>
      <c r="H4939" s="16"/>
      <c r="I4939" s="16"/>
      <c r="J4939" s="17"/>
      <c r="K4939" s="15">
        <v>52.76</v>
      </c>
      <c r="L4939" s="17"/>
    </row>
    <row r="4940" spans="1:12" x14ac:dyDescent="0.25">
      <c r="A4940" s="18"/>
      <c r="B4940" s="18"/>
      <c r="C4940" s="18"/>
      <c r="D4940" s="18"/>
      <c r="E4940" s="18"/>
      <c r="F4940" s="18"/>
      <c r="G4940" s="18"/>
      <c r="H4940" s="18"/>
      <c r="I4940" s="18"/>
      <c r="J4940" s="18"/>
      <c r="K4940" s="18"/>
      <c r="L4940" s="18"/>
    </row>
    <row r="4941" spans="1:12" ht="15" customHeight="1" x14ac:dyDescent="0.25">
      <c r="A4941" s="10" t="s">
        <v>54</v>
      </c>
      <c r="B4941" s="11"/>
      <c r="C4941" s="12"/>
      <c r="D4941" s="8" t="s">
        <v>21</v>
      </c>
      <c r="E4941" s="8" t="s">
        <v>22</v>
      </c>
      <c r="F4941" s="9" t="s">
        <v>55</v>
      </c>
      <c r="G4941" s="8" t="s">
        <v>56</v>
      </c>
      <c r="H4941" s="8" t="s">
        <v>57</v>
      </c>
      <c r="I4941" s="8" t="s">
        <v>58</v>
      </c>
      <c r="J4941" s="9" t="s">
        <v>59</v>
      </c>
      <c r="K4941" s="9" t="s">
        <v>34</v>
      </c>
      <c r="L4941" s="9" t="s">
        <v>50</v>
      </c>
    </row>
    <row r="4942" spans="1:12" ht="15" customHeight="1" x14ac:dyDescent="0.25">
      <c r="A4942" s="15" t="s">
        <v>60</v>
      </c>
      <c r="B4942" s="16"/>
      <c r="C4942" s="16"/>
      <c r="D4942" s="16"/>
      <c r="E4942" s="16"/>
      <c r="F4942" s="16"/>
      <c r="G4942" s="16"/>
      <c r="H4942" s="16"/>
      <c r="I4942" s="16"/>
      <c r="J4942" s="17"/>
      <c r="K4942" s="15">
        <v>0</v>
      </c>
      <c r="L4942" s="17"/>
    </row>
    <row r="4943" spans="1:12" x14ac:dyDescent="0.25">
      <c r="A4943" s="18"/>
      <c r="B4943" s="18"/>
      <c r="C4943" s="18"/>
      <c r="D4943" s="18"/>
      <c r="E4943" s="18"/>
      <c r="F4943" s="18"/>
      <c r="G4943" s="18"/>
      <c r="H4943" s="18"/>
      <c r="I4943" s="18"/>
      <c r="J4943" s="18"/>
      <c r="K4943" s="18"/>
      <c r="L4943" s="18"/>
    </row>
    <row r="4944" spans="1:12" ht="15" customHeight="1" x14ac:dyDescent="0.25">
      <c r="A4944" s="27" t="s">
        <v>61</v>
      </c>
      <c r="B4944" s="27"/>
      <c r="C4944" s="27"/>
      <c r="D4944" s="27"/>
      <c r="E4944" s="27"/>
      <c r="F4944" s="27"/>
      <c r="G4944" s="27"/>
      <c r="H4944" s="27"/>
      <c r="I4944" s="27"/>
      <c r="J4944" s="27"/>
      <c r="K4944" s="27">
        <v>226.68</v>
      </c>
      <c r="L4944" s="27"/>
    </row>
    <row r="4945" spans="1:12" ht="15" customHeight="1" x14ac:dyDescent="0.25">
      <c r="A4945" s="27" t="s">
        <v>62</v>
      </c>
      <c r="B4945" s="27"/>
      <c r="C4945" s="27"/>
      <c r="D4945" s="27"/>
      <c r="E4945" s="27"/>
      <c r="F4945" s="27"/>
      <c r="G4945" s="27"/>
      <c r="H4945" s="27"/>
      <c r="I4945" s="27"/>
      <c r="J4945" s="27"/>
      <c r="K4945" s="27">
        <v>75.37</v>
      </c>
      <c r="L4945" s="27"/>
    </row>
    <row r="4946" spans="1:12" ht="15" customHeight="1" x14ac:dyDescent="0.25">
      <c r="A4946" s="27" t="s">
        <v>63</v>
      </c>
      <c r="B4946" s="27"/>
      <c r="C4946" s="27"/>
      <c r="D4946" s="27"/>
      <c r="E4946" s="27"/>
      <c r="F4946" s="27"/>
      <c r="G4946" s="27"/>
      <c r="H4946" s="27"/>
      <c r="I4946" s="27"/>
      <c r="J4946" s="27"/>
      <c r="K4946" s="27">
        <v>302.05</v>
      </c>
      <c r="L4946" s="27"/>
    </row>
    <row r="4947" spans="1:12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</row>
    <row r="4948" spans="1:12" ht="15" customHeight="1" x14ac:dyDescent="0.25">
      <c r="A4948" s="3" t="s">
        <v>8</v>
      </c>
      <c r="B4948" s="6" t="s">
        <v>9</v>
      </c>
      <c r="C4948" s="6"/>
      <c r="D4948" s="6"/>
      <c r="E4948" s="6"/>
      <c r="F4948" s="6"/>
      <c r="G4948" s="6"/>
      <c r="H4948" s="6"/>
      <c r="I4948" s="6"/>
      <c r="J4948" s="6"/>
      <c r="K4948" s="6"/>
      <c r="L4948" s="6"/>
    </row>
    <row r="4949" spans="1:12" ht="15" customHeight="1" x14ac:dyDescent="0.25">
      <c r="A4949" s="3" t="s">
        <v>10</v>
      </c>
      <c r="B4949" s="6" t="s">
        <v>602</v>
      </c>
      <c r="C4949" s="6"/>
      <c r="D4949" s="6"/>
      <c r="E4949" s="6"/>
      <c r="F4949" s="6"/>
      <c r="G4949" s="6"/>
      <c r="H4949" s="6"/>
      <c r="I4949" s="6"/>
      <c r="J4949" s="6"/>
      <c r="K4949" s="3" t="s">
        <v>12</v>
      </c>
      <c r="L4949" s="4" t="s">
        <v>84</v>
      </c>
    </row>
    <row r="4950" spans="1:12" ht="15" customHeight="1" x14ac:dyDescent="0.25">
      <c r="A4950" s="3" t="s">
        <v>14</v>
      </c>
      <c r="B4950" s="6" t="s">
        <v>15</v>
      </c>
      <c r="C4950" s="6"/>
      <c r="D4950" s="7" t="s">
        <v>16</v>
      </c>
      <c r="E4950" s="7"/>
      <c r="F4950" s="6" t="str">
        <f>"180204"</f>
        <v>180204</v>
      </c>
      <c r="G4950" s="6"/>
      <c r="H4950" s="3" t="s">
        <v>17</v>
      </c>
      <c r="I4950" s="6" t="s">
        <v>18</v>
      </c>
      <c r="J4950" s="6"/>
      <c r="K4950" s="3" t="s">
        <v>19</v>
      </c>
      <c r="L4950" s="5">
        <v>1</v>
      </c>
    </row>
    <row r="4951" spans="1:12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</row>
    <row r="4952" spans="1:12" ht="15" customHeight="1" x14ac:dyDescent="0.25">
      <c r="A4952" s="10" t="s">
        <v>20</v>
      </c>
      <c r="B4952" s="11"/>
      <c r="C4952" s="12"/>
      <c r="D4952" s="8" t="s">
        <v>21</v>
      </c>
      <c r="E4952" s="8" t="s">
        <v>22</v>
      </c>
      <c r="F4952" s="9" t="s">
        <v>23</v>
      </c>
      <c r="G4952" s="9" t="s">
        <v>24</v>
      </c>
      <c r="H4952" s="9" t="s">
        <v>25</v>
      </c>
      <c r="I4952" s="9" t="s">
        <v>26</v>
      </c>
      <c r="J4952" s="9" t="s">
        <v>27</v>
      </c>
      <c r="K4952" s="13" t="s">
        <v>28</v>
      </c>
      <c r="L4952" s="14"/>
    </row>
    <row r="4953" spans="1:12" ht="15" customHeight="1" x14ac:dyDescent="0.25">
      <c r="A4953" s="15" t="s">
        <v>29</v>
      </c>
      <c r="B4953" s="16"/>
      <c r="C4953" s="16"/>
      <c r="D4953" s="16"/>
      <c r="E4953" s="16"/>
      <c r="F4953" s="16"/>
      <c r="G4953" s="16"/>
      <c r="H4953" s="16"/>
      <c r="I4953" s="16"/>
      <c r="J4953" s="17"/>
      <c r="K4953" s="15">
        <v>0</v>
      </c>
      <c r="L4953" s="17"/>
    </row>
    <row r="4954" spans="1:12" x14ac:dyDescent="0.25">
      <c r="A4954" s="18"/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8"/>
    </row>
    <row r="4955" spans="1:12" ht="15" customHeight="1" x14ac:dyDescent="0.25">
      <c r="A4955" s="10" t="s">
        <v>30</v>
      </c>
      <c r="B4955" s="11"/>
      <c r="C4955" s="12"/>
      <c r="D4955" s="8" t="s">
        <v>21</v>
      </c>
      <c r="E4955" s="8" t="s">
        <v>22</v>
      </c>
      <c r="F4955" s="9" t="s">
        <v>31</v>
      </c>
      <c r="G4955" s="9" t="s">
        <v>32</v>
      </c>
      <c r="H4955" s="9" t="s">
        <v>33</v>
      </c>
      <c r="I4955" s="13" t="s">
        <v>34</v>
      </c>
      <c r="J4955" s="14"/>
      <c r="K4955" s="13" t="s">
        <v>28</v>
      </c>
      <c r="L4955" s="14"/>
    </row>
    <row r="4956" spans="1:12" ht="15" customHeight="1" x14ac:dyDescent="0.25">
      <c r="A4956" s="21" t="s">
        <v>76</v>
      </c>
      <c r="B4956" s="22"/>
      <c r="C4956" s="23"/>
      <c r="D4956" s="19" t="str">
        <f>"010101"</f>
        <v>010101</v>
      </c>
      <c r="E4956" s="19" t="s">
        <v>36</v>
      </c>
      <c r="F4956" s="20">
        <v>8.5299999999999994</v>
      </c>
      <c r="G4956" s="20">
        <v>157.27000000000001</v>
      </c>
      <c r="H4956" s="20">
        <v>21.94</v>
      </c>
      <c r="I4956" s="24">
        <v>0.26</v>
      </c>
      <c r="J4956" s="25"/>
      <c r="K4956" s="24">
        <v>5.7</v>
      </c>
      <c r="L4956" s="25"/>
    </row>
    <row r="4957" spans="1:12" ht="15" customHeight="1" x14ac:dyDescent="0.25">
      <c r="A4957" s="21" t="s">
        <v>461</v>
      </c>
      <c r="B4957" s="22"/>
      <c r="C4957" s="23"/>
      <c r="D4957" s="19" t="str">
        <f>"010115"</f>
        <v>010115</v>
      </c>
      <c r="E4957" s="19" t="s">
        <v>36</v>
      </c>
      <c r="F4957" s="20">
        <v>10.119999999999999</v>
      </c>
      <c r="G4957" s="20">
        <v>157.27000000000001</v>
      </c>
      <c r="H4957" s="20">
        <v>26.03</v>
      </c>
      <c r="I4957" s="24">
        <v>0.26</v>
      </c>
      <c r="J4957" s="25"/>
      <c r="K4957" s="24">
        <v>6.76</v>
      </c>
      <c r="L4957" s="25"/>
    </row>
    <row r="4958" spans="1:12" ht="15" customHeight="1" x14ac:dyDescent="0.25">
      <c r="A4958" s="15" t="s">
        <v>38</v>
      </c>
      <c r="B4958" s="16"/>
      <c r="C4958" s="16"/>
      <c r="D4958" s="16"/>
      <c r="E4958" s="16"/>
      <c r="F4958" s="16"/>
      <c r="G4958" s="16"/>
      <c r="H4958" s="16"/>
      <c r="I4958" s="16"/>
      <c r="J4958" s="17"/>
      <c r="K4958" s="15">
        <v>12.46</v>
      </c>
      <c r="L4958" s="17"/>
    </row>
    <row r="4959" spans="1:12" x14ac:dyDescent="0.25">
      <c r="A4959" s="18"/>
      <c r="B4959" s="18"/>
      <c r="C4959" s="18"/>
      <c r="D4959" s="18"/>
      <c r="E4959" s="18"/>
      <c r="F4959" s="18"/>
      <c r="G4959" s="18"/>
      <c r="H4959" s="18"/>
      <c r="I4959" s="18"/>
      <c r="J4959" s="18"/>
      <c r="K4959" s="18"/>
      <c r="L4959" s="18"/>
    </row>
    <row r="4960" spans="1:12" ht="15" customHeight="1" x14ac:dyDescent="0.25">
      <c r="A4960" s="10" t="s">
        <v>39</v>
      </c>
      <c r="B4960" s="11"/>
      <c r="C4960" s="12"/>
      <c r="D4960" s="8" t="s">
        <v>21</v>
      </c>
      <c r="E4960" s="13" t="s">
        <v>40</v>
      </c>
      <c r="F4960" s="14"/>
      <c r="G4960" s="8" t="s">
        <v>41</v>
      </c>
      <c r="H4960" s="8" t="s">
        <v>42</v>
      </c>
      <c r="I4960" s="8" t="s">
        <v>43</v>
      </c>
      <c r="J4960" s="13" t="s">
        <v>44</v>
      </c>
      <c r="K4960" s="26"/>
      <c r="L4960" s="14"/>
    </row>
    <row r="4961" spans="1:12" ht="15" customHeight="1" x14ac:dyDescent="0.25">
      <c r="A4961" s="15" t="s">
        <v>45</v>
      </c>
      <c r="B4961" s="16"/>
      <c r="C4961" s="16"/>
      <c r="D4961" s="16"/>
      <c r="E4961" s="16"/>
      <c r="F4961" s="16"/>
      <c r="G4961" s="16"/>
      <c r="H4961" s="16"/>
      <c r="I4961" s="16"/>
      <c r="J4961" s="17"/>
      <c r="K4961" s="15">
        <v>0</v>
      </c>
      <c r="L4961" s="17"/>
    </row>
    <row r="4962" spans="1:12" x14ac:dyDescent="0.25">
      <c r="A4962" s="18"/>
      <c r="B4962" s="18"/>
      <c r="C4962" s="18"/>
      <c r="D4962" s="18"/>
      <c r="E4962" s="18"/>
      <c r="F4962" s="18"/>
      <c r="G4962" s="18"/>
      <c r="H4962" s="18"/>
      <c r="I4962" s="18"/>
      <c r="J4962" s="18"/>
      <c r="K4962" s="18"/>
      <c r="L4962" s="18"/>
    </row>
    <row r="4963" spans="1:12" ht="15" customHeight="1" x14ac:dyDescent="0.25">
      <c r="A4963" s="27" t="s">
        <v>46</v>
      </c>
      <c r="B4963" s="27"/>
      <c r="C4963" s="27"/>
      <c r="D4963" s="27"/>
      <c r="E4963" s="27"/>
      <c r="F4963" s="27"/>
      <c r="G4963" s="27"/>
      <c r="H4963" s="27"/>
      <c r="I4963" s="27"/>
      <c r="J4963" s="27"/>
      <c r="K4963" s="27">
        <v>12.46</v>
      </c>
      <c r="L4963" s="27"/>
    </row>
    <row r="4964" spans="1:12" ht="15" customHeight="1" x14ac:dyDescent="0.25">
      <c r="A4964" s="27" t="s">
        <v>47</v>
      </c>
      <c r="B4964" s="27"/>
      <c r="C4964" s="27"/>
      <c r="D4964" s="27"/>
      <c r="E4964" s="27"/>
      <c r="F4964" s="27"/>
      <c r="G4964" s="27"/>
      <c r="H4964" s="27"/>
      <c r="I4964" s="27"/>
      <c r="J4964" s="27"/>
      <c r="K4964" s="27">
        <v>1</v>
      </c>
      <c r="L4964" s="27"/>
    </row>
    <row r="4965" spans="1:12" ht="15" customHeight="1" x14ac:dyDescent="0.25">
      <c r="A4965" s="27" t="s">
        <v>48</v>
      </c>
      <c r="B4965" s="27"/>
      <c r="C4965" s="27"/>
      <c r="D4965" s="27"/>
      <c r="E4965" s="27"/>
      <c r="F4965" s="27"/>
      <c r="G4965" s="27"/>
      <c r="H4965" s="27"/>
      <c r="I4965" s="27"/>
      <c r="J4965" s="27"/>
      <c r="K4965" s="27">
        <v>12.46</v>
      </c>
      <c r="L4965" s="27"/>
    </row>
    <row r="4966" spans="1:12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</row>
    <row r="4967" spans="1:12" ht="15" customHeight="1" x14ac:dyDescent="0.25">
      <c r="A4967" s="10" t="s">
        <v>49</v>
      </c>
      <c r="B4967" s="11"/>
      <c r="C4967" s="11"/>
      <c r="D4967" s="11"/>
      <c r="E4967" s="12"/>
      <c r="F4967" s="8" t="s">
        <v>21</v>
      </c>
      <c r="G4967" s="8" t="s">
        <v>22</v>
      </c>
      <c r="H4967" s="9" t="s">
        <v>44</v>
      </c>
      <c r="I4967" s="13" t="s">
        <v>34</v>
      </c>
      <c r="J4967" s="14"/>
      <c r="K4967" s="13" t="s">
        <v>50</v>
      </c>
      <c r="L4967" s="14"/>
    </row>
    <row r="4968" spans="1:12" ht="15" customHeight="1" x14ac:dyDescent="0.25">
      <c r="A4968" s="21" t="s">
        <v>603</v>
      </c>
      <c r="B4968" s="22"/>
      <c r="C4968" s="22"/>
      <c r="D4968" s="22"/>
      <c r="E4968" s="23"/>
      <c r="F4968" s="19" t="str">
        <f>"045501"</f>
        <v>045501</v>
      </c>
      <c r="G4968" s="19" t="s">
        <v>81</v>
      </c>
      <c r="H4968" s="20">
        <v>14.24</v>
      </c>
      <c r="I4968" s="24">
        <v>1</v>
      </c>
      <c r="J4968" s="25"/>
      <c r="K4968" s="24">
        <v>14.24</v>
      </c>
      <c r="L4968" s="25"/>
    </row>
    <row r="4969" spans="1:12" ht="15" customHeight="1" x14ac:dyDescent="0.25">
      <c r="A4969" s="21" t="s">
        <v>604</v>
      </c>
      <c r="B4969" s="22"/>
      <c r="C4969" s="22"/>
      <c r="D4969" s="22"/>
      <c r="E4969" s="23"/>
      <c r="F4969" s="19" t="str">
        <f>"045525"</f>
        <v>045525</v>
      </c>
      <c r="G4969" s="19" t="s">
        <v>81</v>
      </c>
      <c r="H4969" s="20">
        <v>4.6100000000000003</v>
      </c>
      <c r="I4969" s="24">
        <v>1</v>
      </c>
      <c r="J4969" s="25"/>
      <c r="K4969" s="24">
        <v>4.6100000000000003</v>
      </c>
      <c r="L4969" s="25"/>
    </row>
    <row r="4970" spans="1:12" ht="15" customHeight="1" x14ac:dyDescent="0.25">
      <c r="A4970" s="15" t="s">
        <v>51</v>
      </c>
      <c r="B4970" s="16"/>
      <c r="C4970" s="16"/>
      <c r="D4970" s="16"/>
      <c r="E4970" s="16"/>
      <c r="F4970" s="16"/>
      <c r="G4970" s="16"/>
      <c r="H4970" s="16"/>
      <c r="I4970" s="16"/>
      <c r="J4970" s="17"/>
      <c r="K4970" s="15">
        <v>18.850000000000001</v>
      </c>
      <c r="L4970" s="17"/>
    </row>
    <row r="4971" spans="1:12" x14ac:dyDescent="0.25">
      <c r="A4971" s="18"/>
      <c r="B4971" s="18"/>
      <c r="C4971" s="18"/>
      <c r="D4971" s="18"/>
      <c r="E4971" s="18"/>
      <c r="F4971" s="18"/>
      <c r="G4971" s="18"/>
      <c r="H4971" s="18"/>
      <c r="I4971" s="18"/>
      <c r="J4971" s="18"/>
      <c r="K4971" s="18"/>
      <c r="L4971" s="18"/>
    </row>
    <row r="4972" spans="1:12" ht="15" customHeight="1" x14ac:dyDescent="0.25">
      <c r="A4972" s="10" t="s">
        <v>52</v>
      </c>
      <c r="B4972" s="11"/>
      <c r="C4972" s="11"/>
      <c r="D4972" s="11"/>
      <c r="E4972" s="12"/>
      <c r="F4972" s="8" t="s">
        <v>21</v>
      </c>
      <c r="G4972" s="8" t="s">
        <v>22</v>
      </c>
      <c r="H4972" s="9" t="s">
        <v>44</v>
      </c>
      <c r="I4972" s="13" t="s">
        <v>34</v>
      </c>
      <c r="J4972" s="14"/>
      <c r="K4972" s="13" t="s">
        <v>50</v>
      </c>
      <c r="L4972" s="14"/>
    </row>
    <row r="4973" spans="1:12" ht="15" customHeight="1" x14ac:dyDescent="0.25">
      <c r="A4973" s="15" t="s">
        <v>53</v>
      </c>
      <c r="B4973" s="16"/>
      <c r="C4973" s="16"/>
      <c r="D4973" s="16"/>
      <c r="E4973" s="16"/>
      <c r="F4973" s="16"/>
      <c r="G4973" s="16"/>
      <c r="H4973" s="16"/>
      <c r="I4973" s="16"/>
      <c r="J4973" s="17"/>
      <c r="K4973" s="15">
        <v>0</v>
      </c>
      <c r="L4973" s="17"/>
    </row>
    <row r="4974" spans="1:12" x14ac:dyDescent="0.25">
      <c r="A4974" s="18"/>
      <c r="B4974" s="18"/>
      <c r="C4974" s="18"/>
      <c r="D4974" s="18"/>
      <c r="E4974" s="18"/>
      <c r="F4974" s="18"/>
      <c r="G4974" s="18"/>
      <c r="H4974" s="18"/>
      <c r="I4974" s="18"/>
      <c r="J4974" s="18"/>
      <c r="K4974" s="18"/>
      <c r="L4974" s="18"/>
    </row>
    <row r="4975" spans="1:12" ht="15" customHeight="1" x14ac:dyDescent="0.25">
      <c r="A4975" s="10" t="s">
        <v>54</v>
      </c>
      <c r="B4975" s="11"/>
      <c r="C4975" s="12"/>
      <c r="D4975" s="8" t="s">
        <v>21</v>
      </c>
      <c r="E4975" s="8" t="s">
        <v>22</v>
      </c>
      <c r="F4975" s="9" t="s">
        <v>55</v>
      </c>
      <c r="G4975" s="8" t="s">
        <v>56</v>
      </c>
      <c r="H4975" s="8" t="s">
        <v>57</v>
      </c>
      <c r="I4975" s="8" t="s">
        <v>58</v>
      </c>
      <c r="J4975" s="9" t="s">
        <v>59</v>
      </c>
      <c r="K4975" s="9" t="s">
        <v>34</v>
      </c>
      <c r="L4975" s="9" t="s">
        <v>50</v>
      </c>
    </row>
    <row r="4976" spans="1:12" ht="15" customHeight="1" x14ac:dyDescent="0.25">
      <c r="A4976" s="15" t="s">
        <v>60</v>
      </c>
      <c r="B4976" s="16"/>
      <c r="C4976" s="16"/>
      <c r="D4976" s="16"/>
      <c r="E4976" s="16"/>
      <c r="F4976" s="16"/>
      <c r="G4976" s="16"/>
      <c r="H4976" s="16"/>
      <c r="I4976" s="16"/>
      <c r="J4976" s="17"/>
      <c r="K4976" s="15">
        <v>0</v>
      </c>
      <c r="L4976" s="17"/>
    </row>
    <row r="4977" spans="1:12" x14ac:dyDescent="0.25">
      <c r="A4977" s="18"/>
      <c r="B4977" s="18"/>
      <c r="C4977" s="18"/>
      <c r="D4977" s="18"/>
      <c r="E4977" s="18"/>
      <c r="F4977" s="18"/>
      <c r="G4977" s="18"/>
      <c r="H4977" s="18"/>
      <c r="I4977" s="18"/>
      <c r="J4977" s="18"/>
      <c r="K4977" s="18"/>
      <c r="L4977" s="18"/>
    </row>
    <row r="4978" spans="1:12" ht="15" customHeight="1" x14ac:dyDescent="0.25">
      <c r="A4978" s="27" t="s">
        <v>61</v>
      </c>
      <c r="B4978" s="27"/>
      <c r="C4978" s="27"/>
      <c r="D4978" s="27"/>
      <c r="E4978" s="27"/>
      <c r="F4978" s="27"/>
      <c r="G4978" s="27"/>
      <c r="H4978" s="27"/>
      <c r="I4978" s="27"/>
      <c r="J4978" s="27"/>
      <c r="K4978" s="27">
        <v>31.31</v>
      </c>
      <c r="L4978" s="27"/>
    </row>
    <row r="4979" spans="1:12" ht="15" customHeight="1" x14ac:dyDescent="0.25">
      <c r="A4979" s="27" t="s">
        <v>62</v>
      </c>
      <c r="B4979" s="27"/>
      <c r="C4979" s="27"/>
      <c r="D4979" s="27"/>
      <c r="E4979" s="27"/>
      <c r="F4979" s="27"/>
      <c r="G4979" s="27"/>
      <c r="H4979" s="27"/>
      <c r="I4979" s="27"/>
      <c r="J4979" s="27"/>
      <c r="K4979" s="27">
        <v>10.41</v>
      </c>
      <c r="L4979" s="27"/>
    </row>
    <row r="4980" spans="1:12" ht="15" customHeight="1" x14ac:dyDescent="0.25">
      <c r="A4980" s="27" t="s">
        <v>63</v>
      </c>
      <c r="B4980" s="27"/>
      <c r="C4980" s="27"/>
      <c r="D4980" s="27"/>
      <c r="E4980" s="27"/>
      <c r="F4980" s="27"/>
      <c r="G4980" s="27"/>
      <c r="H4980" s="27"/>
      <c r="I4980" s="27"/>
      <c r="J4980" s="27"/>
      <c r="K4980" s="27">
        <v>41.72</v>
      </c>
      <c r="L4980" s="27"/>
    </row>
    <row r="4981" spans="1:12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</row>
    <row r="4982" spans="1:12" ht="15" customHeight="1" x14ac:dyDescent="0.25">
      <c r="A4982" s="3" t="s">
        <v>8</v>
      </c>
      <c r="B4982" s="6" t="s">
        <v>9</v>
      </c>
      <c r="C4982" s="6"/>
      <c r="D4982" s="6"/>
      <c r="E4982" s="6"/>
      <c r="F4982" s="6"/>
      <c r="G4982" s="6"/>
      <c r="H4982" s="6"/>
      <c r="I4982" s="6"/>
      <c r="J4982" s="6"/>
      <c r="K4982" s="6"/>
      <c r="L4982" s="6"/>
    </row>
    <row r="4983" spans="1:12" ht="15" customHeight="1" x14ac:dyDescent="0.25">
      <c r="A4983" s="3" t="s">
        <v>10</v>
      </c>
      <c r="B4983" s="6" t="s">
        <v>605</v>
      </c>
      <c r="C4983" s="6"/>
      <c r="D4983" s="6"/>
      <c r="E4983" s="6"/>
      <c r="F4983" s="6"/>
      <c r="G4983" s="6"/>
      <c r="H4983" s="6"/>
      <c r="I4983" s="6"/>
      <c r="J4983" s="6"/>
      <c r="K4983" s="3" t="s">
        <v>12</v>
      </c>
      <c r="L4983" s="4" t="s">
        <v>84</v>
      </c>
    </row>
    <row r="4984" spans="1:12" ht="15" customHeight="1" x14ac:dyDescent="0.25">
      <c r="A4984" s="3" t="s">
        <v>14</v>
      </c>
      <c r="B4984" s="6" t="s">
        <v>15</v>
      </c>
      <c r="C4984" s="6"/>
      <c r="D4984" s="7" t="s">
        <v>16</v>
      </c>
      <c r="E4984" s="7"/>
      <c r="F4984" s="6" t="str">
        <f>"180205"</f>
        <v>180205</v>
      </c>
      <c r="G4984" s="6"/>
      <c r="H4984" s="3" t="s">
        <v>17</v>
      </c>
      <c r="I4984" s="6" t="s">
        <v>18</v>
      </c>
      <c r="J4984" s="6"/>
      <c r="K4984" s="3" t="s">
        <v>19</v>
      </c>
      <c r="L4984" s="5">
        <v>1</v>
      </c>
    </row>
    <row r="4985" spans="1:12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</row>
    <row r="4986" spans="1:12" ht="15" customHeight="1" x14ac:dyDescent="0.25">
      <c r="A4986" s="10" t="s">
        <v>20</v>
      </c>
      <c r="B4986" s="11"/>
      <c r="C4986" s="12"/>
      <c r="D4986" s="8" t="s">
        <v>21</v>
      </c>
      <c r="E4986" s="8" t="s">
        <v>22</v>
      </c>
      <c r="F4986" s="9" t="s">
        <v>23</v>
      </c>
      <c r="G4986" s="9" t="s">
        <v>24</v>
      </c>
      <c r="H4986" s="9" t="s">
        <v>25</v>
      </c>
      <c r="I4986" s="9" t="s">
        <v>26</v>
      </c>
      <c r="J4986" s="9" t="s">
        <v>27</v>
      </c>
      <c r="K4986" s="13" t="s">
        <v>28</v>
      </c>
      <c r="L4986" s="14"/>
    </row>
    <row r="4987" spans="1:12" ht="15" customHeight="1" x14ac:dyDescent="0.25">
      <c r="A4987" s="15" t="s">
        <v>29</v>
      </c>
      <c r="B4987" s="16"/>
      <c r="C4987" s="16"/>
      <c r="D4987" s="16"/>
      <c r="E4987" s="16"/>
      <c r="F4987" s="16"/>
      <c r="G4987" s="16"/>
      <c r="H4987" s="16"/>
      <c r="I4987" s="16"/>
      <c r="J4987" s="17"/>
      <c r="K4987" s="15">
        <v>0</v>
      </c>
      <c r="L4987" s="17"/>
    </row>
    <row r="4988" spans="1:12" x14ac:dyDescent="0.25">
      <c r="A4988" s="18"/>
      <c r="B4988" s="18"/>
      <c r="C4988" s="18"/>
      <c r="D4988" s="18"/>
      <c r="E4988" s="18"/>
      <c r="F4988" s="18"/>
      <c r="G4988" s="18"/>
      <c r="H4988" s="18"/>
      <c r="I4988" s="18"/>
      <c r="J4988" s="18"/>
      <c r="K4988" s="18"/>
      <c r="L4988" s="18"/>
    </row>
    <row r="4989" spans="1:12" ht="15" customHeight="1" x14ac:dyDescent="0.25">
      <c r="A4989" s="10" t="s">
        <v>30</v>
      </c>
      <c r="B4989" s="11"/>
      <c r="C4989" s="12"/>
      <c r="D4989" s="8" t="s">
        <v>21</v>
      </c>
      <c r="E4989" s="8" t="s">
        <v>22</v>
      </c>
      <c r="F4989" s="9" t="s">
        <v>31</v>
      </c>
      <c r="G4989" s="9" t="s">
        <v>32</v>
      </c>
      <c r="H4989" s="9" t="s">
        <v>33</v>
      </c>
      <c r="I4989" s="13" t="s">
        <v>34</v>
      </c>
      <c r="J4989" s="14"/>
      <c r="K4989" s="13" t="s">
        <v>28</v>
      </c>
      <c r="L4989" s="14"/>
    </row>
    <row r="4990" spans="1:12" ht="15" customHeight="1" x14ac:dyDescent="0.25">
      <c r="A4990" s="21" t="s">
        <v>76</v>
      </c>
      <c r="B4990" s="22"/>
      <c r="C4990" s="23"/>
      <c r="D4990" s="19" t="str">
        <f>"010101"</f>
        <v>010101</v>
      </c>
      <c r="E4990" s="19" t="s">
        <v>36</v>
      </c>
      <c r="F4990" s="20">
        <v>8.5299999999999994</v>
      </c>
      <c r="G4990" s="20">
        <v>157.27000000000001</v>
      </c>
      <c r="H4990" s="20">
        <v>21.94</v>
      </c>
      <c r="I4990" s="24">
        <v>0.42</v>
      </c>
      <c r="J4990" s="25"/>
      <c r="K4990" s="24">
        <v>9.2100000000000009</v>
      </c>
      <c r="L4990" s="25"/>
    </row>
    <row r="4991" spans="1:12" ht="15" customHeight="1" x14ac:dyDescent="0.25">
      <c r="A4991" s="21" t="s">
        <v>461</v>
      </c>
      <c r="B4991" s="22"/>
      <c r="C4991" s="23"/>
      <c r="D4991" s="19" t="str">
        <f>"010115"</f>
        <v>010115</v>
      </c>
      <c r="E4991" s="19" t="s">
        <v>36</v>
      </c>
      <c r="F4991" s="20">
        <v>10.119999999999999</v>
      </c>
      <c r="G4991" s="20">
        <v>157.27000000000001</v>
      </c>
      <c r="H4991" s="20">
        <v>26.03</v>
      </c>
      <c r="I4991" s="24">
        <v>0.42</v>
      </c>
      <c r="J4991" s="25"/>
      <c r="K4991" s="24">
        <v>10.93</v>
      </c>
      <c r="L4991" s="25"/>
    </row>
    <row r="4992" spans="1:12" ht="15" customHeight="1" x14ac:dyDescent="0.25">
      <c r="A4992" s="15" t="s">
        <v>38</v>
      </c>
      <c r="B4992" s="16"/>
      <c r="C4992" s="16"/>
      <c r="D4992" s="16"/>
      <c r="E4992" s="16"/>
      <c r="F4992" s="16"/>
      <c r="G4992" s="16"/>
      <c r="H4992" s="16"/>
      <c r="I4992" s="16"/>
      <c r="J4992" s="17"/>
      <c r="K4992" s="15">
        <v>20.14</v>
      </c>
      <c r="L4992" s="17"/>
    </row>
    <row r="4993" spans="1:12" x14ac:dyDescent="0.25">
      <c r="A4993" s="18"/>
      <c r="B4993" s="18"/>
      <c r="C4993" s="18"/>
      <c r="D4993" s="18"/>
      <c r="E4993" s="18"/>
      <c r="F4993" s="18"/>
      <c r="G4993" s="18"/>
      <c r="H4993" s="18"/>
      <c r="I4993" s="18"/>
      <c r="J4993" s="18"/>
      <c r="K4993" s="18"/>
      <c r="L4993" s="18"/>
    </row>
    <row r="4994" spans="1:12" ht="15" customHeight="1" x14ac:dyDescent="0.25">
      <c r="A4994" s="10" t="s">
        <v>39</v>
      </c>
      <c r="B4994" s="11"/>
      <c r="C4994" s="12"/>
      <c r="D4994" s="8" t="s">
        <v>21</v>
      </c>
      <c r="E4994" s="13" t="s">
        <v>40</v>
      </c>
      <c r="F4994" s="14"/>
      <c r="G4994" s="8" t="s">
        <v>41</v>
      </c>
      <c r="H4994" s="8" t="s">
        <v>42</v>
      </c>
      <c r="I4994" s="8" t="s">
        <v>43</v>
      </c>
      <c r="J4994" s="13" t="s">
        <v>44</v>
      </c>
      <c r="K4994" s="26"/>
      <c r="L4994" s="14"/>
    </row>
    <row r="4995" spans="1:12" ht="15" customHeight="1" x14ac:dyDescent="0.25">
      <c r="A4995" s="15" t="s">
        <v>45</v>
      </c>
      <c r="B4995" s="16"/>
      <c r="C4995" s="16"/>
      <c r="D4995" s="16"/>
      <c r="E4995" s="16"/>
      <c r="F4995" s="16"/>
      <c r="G4995" s="16"/>
      <c r="H4995" s="16"/>
      <c r="I4995" s="16"/>
      <c r="J4995" s="17"/>
      <c r="K4995" s="15">
        <v>0</v>
      </c>
      <c r="L4995" s="17"/>
    </row>
    <row r="4996" spans="1:12" x14ac:dyDescent="0.25">
      <c r="A4996" s="18"/>
      <c r="B4996" s="18"/>
      <c r="C4996" s="18"/>
      <c r="D4996" s="18"/>
      <c r="E4996" s="18"/>
      <c r="F4996" s="18"/>
      <c r="G4996" s="18"/>
      <c r="H4996" s="18"/>
      <c r="I4996" s="18"/>
      <c r="J4996" s="18"/>
      <c r="K4996" s="18"/>
      <c r="L4996" s="18"/>
    </row>
    <row r="4997" spans="1:12" ht="15" customHeight="1" x14ac:dyDescent="0.25">
      <c r="A4997" s="27" t="s">
        <v>46</v>
      </c>
      <c r="B4997" s="27"/>
      <c r="C4997" s="27"/>
      <c r="D4997" s="27"/>
      <c r="E4997" s="27"/>
      <c r="F4997" s="27"/>
      <c r="G4997" s="27"/>
      <c r="H4997" s="27"/>
      <c r="I4997" s="27"/>
      <c r="J4997" s="27"/>
      <c r="K4997" s="27">
        <v>20.14</v>
      </c>
      <c r="L4997" s="27"/>
    </row>
    <row r="4998" spans="1:12" ht="15" customHeight="1" x14ac:dyDescent="0.25">
      <c r="A4998" s="27" t="s">
        <v>47</v>
      </c>
      <c r="B4998" s="27"/>
      <c r="C4998" s="27"/>
      <c r="D4998" s="27"/>
      <c r="E4998" s="27"/>
      <c r="F4998" s="27"/>
      <c r="G4998" s="27"/>
      <c r="H4998" s="27"/>
      <c r="I4998" s="27"/>
      <c r="J4998" s="27"/>
      <c r="K4998" s="27">
        <v>1</v>
      </c>
      <c r="L4998" s="27"/>
    </row>
    <row r="4999" spans="1:12" ht="15" customHeight="1" x14ac:dyDescent="0.25">
      <c r="A4999" s="27" t="s">
        <v>48</v>
      </c>
      <c r="B4999" s="27"/>
      <c r="C4999" s="27"/>
      <c r="D4999" s="27"/>
      <c r="E4999" s="27"/>
      <c r="F4999" s="27"/>
      <c r="G4999" s="27"/>
      <c r="H4999" s="27"/>
      <c r="I4999" s="27"/>
      <c r="J4999" s="27"/>
      <c r="K4999" s="27">
        <v>20.14</v>
      </c>
      <c r="L4999" s="27"/>
    </row>
    <row r="5000" spans="1:12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</row>
    <row r="5001" spans="1:12" ht="15" customHeight="1" x14ac:dyDescent="0.25">
      <c r="A5001" s="10" t="s">
        <v>49</v>
      </c>
      <c r="B5001" s="11"/>
      <c r="C5001" s="11"/>
      <c r="D5001" s="11"/>
      <c r="E5001" s="12"/>
      <c r="F5001" s="8" t="s">
        <v>21</v>
      </c>
      <c r="G5001" s="8" t="s">
        <v>22</v>
      </c>
      <c r="H5001" s="9" t="s">
        <v>44</v>
      </c>
      <c r="I5001" s="13" t="s">
        <v>34</v>
      </c>
      <c r="J5001" s="14"/>
      <c r="K5001" s="13" t="s">
        <v>50</v>
      </c>
      <c r="L5001" s="14"/>
    </row>
    <row r="5002" spans="1:12" ht="15" customHeight="1" x14ac:dyDescent="0.25">
      <c r="A5002" s="21" t="s">
        <v>603</v>
      </c>
      <c r="B5002" s="22"/>
      <c r="C5002" s="22"/>
      <c r="D5002" s="22"/>
      <c r="E5002" s="23"/>
      <c r="F5002" s="19" t="str">
        <f>"045501"</f>
        <v>045501</v>
      </c>
      <c r="G5002" s="19" t="s">
        <v>81</v>
      </c>
      <c r="H5002" s="20">
        <v>14.24</v>
      </c>
      <c r="I5002" s="24">
        <v>2</v>
      </c>
      <c r="J5002" s="25"/>
      <c r="K5002" s="24">
        <v>28.48</v>
      </c>
      <c r="L5002" s="25"/>
    </row>
    <row r="5003" spans="1:12" ht="15" customHeight="1" x14ac:dyDescent="0.25">
      <c r="A5003" s="21" t="s">
        <v>604</v>
      </c>
      <c r="B5003" s="22"/>
      <c r="C5003" s="22"/>
      <c r="D5003" s="22"/>
      <c r="E5003" s="23"/>
      <c r="F5003" s="19" t="str">
        <f>"045525"</f>
        <v>045525</v>
      </c>
      <c r="G5003" s="19" t="s">
        <v>81</v>
      </c>
      <c r="H5003" s="20">
        <v>4.6100000000000003</v>
      </c>
      <c r="I5003" s="24">
        <v>1</v>
      </c>
      <c r="J5003" s="25"/>
      <c r="K5003" s="24">
        <v>4.6100000000000003</v>
      </c>
      <c r="L5003" s="25"/>
    </row>
    <row r="5004" spans="1:12" ht="15" customHeight="1" x14ac:dyDescent="0.25">
      <c r="A5004" s="15" t="s">
        <v>51</v>
      </c>
      <c r="B5004" s="16"/>
      <c r="C5004" s="16"/>
      <c r="D5004" s="16"/>
      <c r="E5004" s="16"/>
      <c r="F5004" s="16"/>
      <c r="G5004" s="16"/>
      <c r="H5004" s="16"/>
      <c r="I5004" s="16"/>
      <c r="J5004" s="17"/>
      <c r="K5004" s="15">
        <v>33.090000000000003</v>
      </c>
      <c r="L5004" s="17"/>
    </row>
    <row r="5005" spans="1:12" x14ac:dyDescent="0.25">
      <c r="A5005" s="18"/>
      <c r="B5005" s="18"/>
      <c r="C5005" s="18"/>
      <c r="D5005" s="18"/>
      <c r="E5005" s="18"/>
      <c r="F5005" s="18"/>
      <c r="G5005" s="18"/>
      <c r="H5005" s="18"/>
      <c r="I5005" s="18"/>
      <c r="J5005" s="18"/>
      <c r="K5005" s="18"/>
      <c r="L5005" s="18"/>
    </row>
    <row r="5006" spans="1:12" ht="15" customHeight="1" x14ac:dyDescent="0.25">
      <c r="A5006" s="10" t="s">
        <v>52</v>
      </c>
      <c r="B5006" s="11"/>
      <c r="C5006" s="11"/>
      <c r="D5006" s="11"/>
      <c r="E5006" s="12"/>
      <c r="F5006" s="8" t="s">
        <v>21</v>
      </c>
      <c r="G5006" s="8" t="s">
        <v>22</v>
      </c>
      <c r="H5006" s="9" t="s">
        <v>44</v>
      </c>
      <c r="I5006" s="13" t="s">
        <v>34</v>
      </c>
      <c r="J5006" s="14"/>
      <c r="K5006" s="13" t="s">
        <v>50</v>
      </c>
      <c r="L5006" s="14"/>
    </row>
    <row r="5007" spans="1:12" ht="15" customHeight="1" x14ac:dyDescent="0.25">
      <c r="A5007" s="15" t="s">
        <v>53</v>
      </c>
      <c r="B5007" s="16"/>
      <c r="C5007" s="16"/>
      <c r="D5007" s="16"/>
      <c r="E5007" s="16"/>
      <c r="F5007" s="16"/>
      <c r="G5007" s="16"/>
      <c r="H5007" s="16"/>
      <c r="I5007" s="16"/>
      <c r="J5007" s="17"/>
      <c r="K5007" s="15">
        <v>0</v>
      </c>
      <c r="L5007" s="17"/>
    </row>
    <row r="5008" spans="1:12" x14ac:dyDescent="0.25">
      <c r="A5008" s="18"/>
      <c r="B5008" s="18"/>
      <c r="C5008" s="18"/>
      <c r="D5008" s="18"/>
      <c r="E5008" s="18"/>
      <c r="F5008" s="18"/>
      <c r="G5008" s="18"/>
      <c r="H5008" s="18"/>
      <c r="I5008" s="18"/>
      <c r="J5008" s="18"/>
      <c r="K5008" s="18"/>
      <c r="L5008" s="18"/>
    </row>
    <row r="5009" spans="1:12" ht="15" customHeight="1" x14ac:dyDescent="0.25">
      <c r="A5009" s="10" t="s">
        <v>54</v>
      </c>
      <c r="B5009" s="11"/>
      <c r="C5009" s="12"/>
      <c r="D5009" s="8" t="s">
        <v>21</v>
      </c>
      <c r="E5009" s="8" t="s">
        <v>22</v>
      </c>
      <c r="F5009" s="9" t="s">
        <v>55</v>
      </c>
      <c r="G5009" s="8" t="s">
        <v>56</v>
      </c>
      <c r="H5009" s="8" t="s">
        <v>57</v>
      </c>
      <c r="I5009" s="8" t="s">
        <v>58</v>
      </c>
      <c r="J5009" s="9" t="s">
        <v>59</v>
      </c>
      <c r="K5009" s="9" t="s">
        <v>34</v>
      </c>
      <c r="L5009" s="9" t="s">
        <v>50</v>
      </c>
    </row>
    <row r="5010" spans="1:12" ht="15" customHeight="1" x14ac:dyDescent="0.25">
      <c r="A5010" s="15" t="s">
        <v>60</v>
      </c>
      <c r="B5010" s="16"/>
      <c r="C5010" s="16"/>
      <c r="D5010" s="16"/>
      <c r="E5010" s="16"/>
      <c r="F5010" s="16"/>
      <c r="G5010" s="16"/>
      <c r="H5010" s="16"/>
      <c r="I5010" s="16"/>
      <c r="J5010" s="17"/>
      <c r="K5010" s="15">
        <v>0</v>
      </c>
      <c r="L5010" s="17"/>
    </row>
    <row r="5011" spans="1:12" x14ac:dyDescent="0.25">
      <c r="A5011" s="18"/>
      <c r="B5011" s="18"/>
      <c r="C5011" s="18"/>
      <c r="D5011" s="18"/>
      <c r="E5011" s="18"/>
      <c r="F5011" s="18"/>
      <c r="G5011" s="18"/>
      <c r="H5011" s="18"/>
      <c r="I5011" s="18"/>
      <c r="J5011" s="18"/>
      <c r="K5011" s="18"/>
      <c r="L5011" s="18"/>
    </row>
    <row r="5012" spans="1:12" ht="15" customHeight="1" x14ac:dyDescent="0.25">
      <c r="A5012" s="27" t="s">
        <v>61</v>
      </c>
      <c r="B5012" s="27"/>
      <c r="C5012" s="27"/>
      <c r="D5012" s="27"/>
      <c r="E5012" s="27"/>
      <c r="F5012" s="27"/>
      <c r="G5012" s="27"/>
      <c r="H5012" s="27"/>
      <c r="I5012" s="27"/>
      <c r="J5012" s="27"/>
      <c r="K5012" s="27">
        <v>53.23</v>
      </c>
      <c r="L5012" s="27"/>
    </row>
    <row r="5013" spans="1:12" ht="15" customHeight="1" x14ac:dyDescent="0.25">
      <c r="A5013" s="27" t="s">
        <v>62</v>
      </c>
      <c r="B5013" s="27"/>
      <c r="C5013" s="27"/>
      <c r="D5013" s="27"/>
      <c r="E5013" s="27"/>
      <c r="F5013" s="27"/>
      <c r="G5013" s="27"/>
      <c r="H5013" s="27"/>
      <c r="I5013" s="27"/>
      <c r="J5013" s="27"/>
      <c r="K5013" s="27">
        <v>17.7</v>
      </c>
      <c r="L5013" s="27"/>
    </row>
    <row r="5014" spans="1:12" ht="15" customHeight="1" x14ac:dyDescent="0.25">
      <c r="A5014" s="27" t="s">
        <v>63</v>
      </c>
      <c r="B5014" s="27"/>
      <c r="C5014" s="27"/>
      <c r="D5014" s="27"/>
      <c r="E5014" s="27"/>
      <c r="F5014" s="27"/>
      <c r="G5014" s="27"/>
      <c r="H5014" s="27"/>
      <c r="I5014" s="27"/>
      <c r="J5014" s="27"/>
      <c r="K5014" s="27">
        <v>70.930000000000007</v>
      </c>
      <c r="L5014" s="27"/>
    </row>
    <row r="5015" spans="1:12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</row>
    <row r="5016" spans="1:12" ht="15" customHeight="1" x14ac:dyDescent="0.25">
      <c r="A5016" s="3" t="s">
        <v>8</v>
      </c>
      <c r="B5016" s="6" t="s">
        <v>9</v>
      </c>
      <c r="C5016" s="6"/>
      <c r="D5016" s="6"/>
      <c r="E5016" s="6"/>
      <c r="F5016" s="6"/>
      <c r="G5016" s="6"/>
      <c r="H5016" s="6"/>
      <c r="I5016" s="6"/>
      <c r="J5016" s="6"/>
      <c r="K5016" s="6"/>
      <c r="L5016" s="6"/>
    </row>
    <row r="5017" spans="1:12" ht="15" customHeight="1" x14ac:dyDescent="0.25">
      <c r="A5017" s="3" t="s">
        <v>10</v>
      </c>
      <c r="B5017" s="6" t="s">
        <v>606</v>
      </c>
      <c r="C5017" s="6"/>
      <c r="D5017" s="6"/>
      <c r="E5017" s="6"/>
      <c r="F5017" s="6"/>
      <c r="G5017" s="6"/>
      <c r="H5017" s="6"/>
      <c r="I5017" s="6"/>
      <c r="J5017" s="6"/>
      <c r="K5017" s="3" t="s">
        <v>12</v>
      </c>
      <c r="L5017" s="4" t="s">
        <v>84</v>
      </c>
    </row>
    <row r="5018" spans="1:12" ht="15" customHeight="1" x14ac:dyDescent="0.25">
      <c r="A5018" s="3" t="s">
        <v>14</v>
      </c>
      <c r="B5018" s="6" t="s">
        <v>15</v>
      </c>
      <c r="C5018" s="6"/>
      <c r="D5018" s="7" t="s">
        <v>16</v>
      </c>
      <c r="E5018" s="7"/>
      <c r="F5018" s="6" t="str">
        <f>"180201"</f>
        <v>180201</v>
      </c>
      <c r="G5018" s="6"/>
      <c r="H5018" s="3" t="s">
        <v>17</v>
      </c>
      <c r="I5018" s="6" t="s">
        <v>18</v>
      </c>
      <c r="J5018" s="6"/>
      <c r="K5018" s="3" t="s">
        <v>19</v>
      </c>
      <c r="L5018" s="5">
        <v>2</v>
      </c>
    </row>
    <row r="5019" spans="1:12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</row>
    <row r="5020" spans="1:12" ht="15" customHeight="1" x14ac:dyDescent="0.25">
      <c r="A5020" s="10" t="s">
        <v>20</v>
      </c>
      <c r="B5020" s="11"/>
      <c r="C5020" s="12"/>
      <c r="D5020" s="8" t="s">
        <v>21</v>
      </c>
      <c r="E5020" s="8" t="s">
        <v>22</v>
      </c>
      <c r="F5020" s="9" t="s">
        <v>23</v>
      </c>
      <c r="G5020" s="9" t="s">
        <v>24</v>
      </c>
      <c r="H5020" s="9" t="s">
        <v>25</v>
      </c>
      <c r="I5020" s="9" t="s">
        <v>26</v>
      </c>
      <c r="J5020" s="9" t="s">
        <v>27</v>
      </c>
      <c r="K5020" s="13" t="s">
        <v>28</v>
      </c>
      <c r="L5020" s="14"/>
    </row>
    <row r="5021" spans="1:12" ht="15" customHeight="1" x14ac:dyDescent="0.25">
      <c r="A5021" s="15" t="s">
        <v>29</v>
      </c>
      <c r="B5021" s="16"/>
      <c r="C5021" s="16"/>
      <c r="D5021" s="16"/>
      <c r="E5021" s="16"/>
      <c r="F5021" s="16"/>
      <c r="G5021" s="16"/>
      <c r="H5021" s="16"/>
      <c r="I5021" s="16"/>
      <c r="J5021" s="17"/>
      <c r="K5021" s="15">
        <v>0</v>
      </c>
      <c r="L5021" s="17"/>
    </row>
    <row r="5022" spans="1:12" x14ac:dyDescent="0.25">
      <c r="A5022" s="18"/>
      <c r="B5022" s="18"/>
      <c r="C5022" s="18"/>
      <c r="D5022" s="18"/>
      <c r="E5022" s="18"/>
      <c r="F5022" s="18"/>
      <c r="G5022" s="18"/>
      <c r="H5022" s="18"/>
      <c r="I5022" s="18"/>
      <c r="J5022" s="18"/>
      <c r="K5022" s="18"/>
      <c r="L5022" s="18"/>
    </row>
    <row r="5023" spans="1:12" ht="15" customHeight="1" x14ac:dyDescent="0.25">
      <c r="A5023" s="10" t="s">
        <v>30</v>
      </c>
      <c r="B5023" s="11"/>
      <c r="C5023" s="12"/>
      <c r="D5023" s="8" t="s">
        <v>21</v>
      </c>
      <c r="E5023" s="8" t="s">
        <v>22</v>
      </c>
      <c r="F5023" s="9" t="s">
        <v>31</v>
      </c>
      <c r="G5023" s="9" t="s">
        <v>32</v>
      </c>
      <c r="H5023" s="9" t="s">
        <v>33</v>
      </c>
      <c r="I5023" s="13" t="s">
        <v>34</v>
      </c>
      <c r="J5023" s="14"/>
      <c r="K5023" s="13" t="s">
        <v>28</v>
      </c>
      <c r="L5023" s="14"/>
    </row>
    <row r="5024" spans="1:12" ht="15" customHeight="1" x14ac:dyDescent="0.25">
      <c r="A5024" s="21" t="s">
        <v>76</v>
      </c>
      <c r="B5024" s="22"/>
      <c r="C5024" s="23"/>
      <c r="D5024" s="19" t="str">
        <f>"010101"</f>
        <v>010101</v>
      </c>
      <c r="E5024" s="19" t="s">
        <v>36</v>
      </c>
      <c r="F5024" s="20">
        <v>8.5299999999999994</v>
      </c>
      <c r="G5024" s="20">
        <v>157.27000000000001</v>
      </c>
      <c r="H5024" s="20">
        <v>21.94</v>
      </c>
      <c r="I5024" s="24">
        <v>0.26</v>
      </c>
      <c r="J5024" s="25"/>
      <c r="K5024" s="24">
        <v>5.7</v>
      </c>
      <c r="L5024" s="25"/>
    </row>
    <row r="5025" spans="1:12" ht="15" customHeight="1" x14ac:dyDescent="0.25">
      <c r="A5025" s="21" t="s">
        <v>461</v>
      </c>
      <c r="B5025" s="22"/>
      <c r="C5025" s="23"/>
      <c r="D5025" s="19" t="str">
        <f>"010115"</f>
        <v>010115</v>
      </c>
      <c r="E5025" s="19" t="s">
        <v>36</v>
      </c>
      <c r="F5025" s="20">
        <v>10.119999999999999</v>
      </c>
      <c r="G5025" s="20">
        <v>157.27000000000001</v>
      </c>
      <c r="H5025" s="20">
        <v>26.03</v>
      </c>
      <c r="I5025" s="24">
        <v>0.26</v>
      </c>
      <c r="J5025" s="25"/>
      <c r="K5025" s="24">
        <v>6.76</v>
      </c>
      <c r="L5025" s="25"/>
    </row>
    <row r="5026" spans="1:12" ht="15" customHeight="1" x14ac:dyDescent="0.25">
      <c r="A5026" s="15" t="s">
        <v>38</v>
      </c>
      <c r="B5026" s="16"/>
      <c r="C5026" s="16"/>
      <c r="D5026" s="16"/>
      <c r="E5026" s="16"/>
      <c r="F5026" s="16"/>
      <c r="G5026" s="16"/>
      <c r="H5026" s="16"/>
      <c r="I5026" s="16"/>
      <c r="J5026" s="17"/>
      <c r="K5026" s="15">
        <v>12.46</v>
      </c>
      <c r="L5026" s="17"/>
    </row>
    <row r="5027" spans="1:12" x14ac:dyDescent="0.25">
      <c r="A5027" s="18"/>
      <c r="B5027" s="18"/>
      <c r="C5027" s="18"/>
      <c r="D5027" s="18"/>
      <c r="E5027" s="18"/>
      <c r="F5027" s="18"/>
      <c r="G5027" s="18"/>
      <c r="H5027" s="18"/>
      <c r="I5027" s="18"/>
      <c r="J5027" s="18"/>
      <c r="K5027" s="18"/>
      <c r="L5027" s="18"/>
    </row>
    <row r="5028" spans="1:12" ht="15" customHeight="1" x14ac:dyDescent="0.25">
      <c r="A5028" s="10" t="s">
        <v>39</v>
      </c>
      <c r="B5028" s="11"/>
      <c r="C5028" s="12"/>
      <c r="D5028" s="8" t="s">
        <v>21</v>
      </c>
      <c r="E5028" s="13" t="s">
        <v>40</v>
      </c>
      <c r="F5028" s="14"/>
      <c r="G5028" s="8" t="s">
        <v>41</v>
      </c>
      <c r="H5028" s="8" t="s">
        <v>42</v>
      </c>
      <c r="I5028" s="8" t="s">
        <v>43</v>
      </c>
      <c r="J5028" s="13" t="s">
        <v>44</v>
      </c>
      <c r="K5028" s="26"/>
      <c r="L5028" s="14"/>
    </row>
    <row r="5029" spans="1:12" ht="15" customHeight="1" x14ac:dyDescent="0.25">
      <c r="A5029" s="15" t="s">
        <v>45</v>
      </c>
      <c r="B5029" s="16"/>
      <c r="C5029" s="16"/>
      <c r="D5029" s="16"/>
      <c r="E5029" s="16"/>
      <c r="F5029" s="16"/>
      <c r="G5029" s="16"/>
      <c r="H5029" s="16"/>
      <c r="I5029" s="16"/>
      <c r="J5029" s="17"/>
      <c r="K5029" s="15">
        <v>0</v>
      </c>
      <c r="L5029" s="17"/>
    </row>
    <row r="5030" spans="1:12" x14ac:dyDescent="0.25">
      <c r="A5030" s="18"/>
      <c r="B5030" s="18"/>
      <c r="C5030" s="18"/>
      <c r="D5030" s="18"/>
      <c r="E5030" s="18"/>
      <c r="F5030" s="18"/>
      <c r="G5030" s="18"/>
      <c r="H5030" s="18"/>
      <c r="I5030" s="18"/>
      <c r="J5030" s="18"/>
      <c r="K5030" s="18"/>
      <c r="L5030" s="18"/>
    </row>
    <row r="5031" spans="1:12" ht="15" customHeight="1" x14ac:dyDescent="0.25">
      <c r="A5031" s="27" t="s">
        <v>46</v>
      </c>
      <c r="B5031" s="27"/>
      <c r="C5031" s="27"/>
      <c r="D5031" s="27"/>
      <c r="E5031" s="27"/>
      <c r="F5031" s="27"/>
      <c r="G5031" s="27"/>
      <c r="H5031" s="27"/>
      <c r="I5031" s="27"/>
      <c r="J5031" s="27"/>
      <c r="K5031" s="27">
        <v>12.46</v>
      </c>
      <c r="L5031" s="27"/>
    </row>
    <row r="5032" spans="1:12" ht="15" customHeight="1" x14ac:dyDescent="0.25">
      <c r="A5032" s="27" t="s">
        <v>47</v>
      </c>
      <c r="B5032" s="27"/>
      <c r="C5032" s="27"/>
      <c r="D5032" s="27"/>
      <c r="E5032" s="27"/>
      <c r="F5032" s="27"/>
      <c r="G5032" s="27"/>
      <c r="H5032" s="27"/>
      <c r="I5032" s="27"/>
      <c r="J5032" s="27"/>
      <c r="K5032" s="27">
        <v>1</v>
      </c>
      <c r="L5032" s="27"/>
    </row>
    <row r="5033" spans="1:12" ht="15" customHeight="1" x14ac:dyDescent="0.25">
      <c r="A5033" s="27" t="s">
        <v>48</v>
      </c>
      <c r="B5033" s="27"/>
      <c r="C5033" s="27"/>
      <c r="D5033" s="27"/>
      <c r="E5033" s="27"/>
      <c r="F5033" s="27"/>
      <c r="G5033" s="27"/>
      <c r="H5033" s="27"/>
      <c r="I5033" s="27"/>
      <c r="J5033" s="27"/>
      <c r="K5033" s="27">
        <v>12.46</v>
      </c>
      <c r="L5033" s="27"/>
    </row>
    <row r="5034" spans="1:12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</row>
    <row r="5035" spans="1:12" ht="15" customHeight="1" x14ac:dyDescent="0.25">
      <c r="A5035" s="10" t="s">
        <v>49</v>
      </c>
      <c r="B5035" s="11"/>
      <c r="C5035" s="11"/>
      <c r="D5035" s="11"/>
      <c r="E5035" s="12"/>
      <c r="F5035" s="8" t="s">
        <v>21</v>
      </c>
      <c r="G5035" s="8" t="s">
        <v>22</v>
      </c>
      <c r="H5035" s="9" t="s">
        <v>44</v>
      </c>
      <c r="I5035" s="13" t="s">
        <v>34</v>
      </c>
      <c r="J5035" s="14"/>
      <c r="K5035" s="13" t="s">
        <v>50</v>
      </c>
      <c r="L5035" s="14"/>
    </row>
    <row r="5036" spans="1:12" ht="15" customHeight="1" x14ac:dyDescent="0.25">
      <c r="A5036" s="21" t="s">
        <v>607</v>
      </c>
      <c r="B5036" s="22"/>
      <c r="C5036" s="22"/>
      <c r="D5036" s="22"/>
      <c r="E5036" s="23"/>
      <c r="F5036" s="19" t="str">
        <f>"045520"</f>
        <v>045520</v>
      </c>
      <c r="G5036" s="19" t="s">
        <v>81</v>
      </c>
      <c r="H5036" s="20">
        <v>21.12</v>
      </c>
      <c r="I5036" s="24">
        <v>1</v>
      </c>
      <c r="J5036" s="25"/>
      <c r="K5036" s="24">
        <v>21.12</v>
      </c>
      <c r="L5036" s="25"/>
    </row>
    <row r="5037" spans="1:12" ht="15" customHeight="1" x14ac:dyDescent="0.25">
      <c r="A5037" s="21" t="s">
        <v>604</v>
      </c>
      <c r="B5037" s="22"/>
      <c r="C5037" s="22"/>
      <c r="D5037" s="22"/>
      <c r="E5037" s="23"/>
      <c r="F5037" s="19" t="str">
        <f>"045525"</f>
        <v>045525</v>
      </c>
      <c r="G5037" s="19" t="s">
        <v>81</v>
      </c>
      <c r="H5037" s="20">
        <v>4.6100000000000003</v>
      </c>
      <c r="I5037" s="24">
        <v>1</v>
      </c>
      <c r="J5037" s="25"/>
      <c r="K5037" s="24">
        <v>4.6100000000000003</v>
      </c>
      <c r="L5037" s="25"/>
    </row>
    <row r="5038" spans="1:12" ht="15" customHeight="1" x14ac:dyDescent="0.25">
      <c r="A5038" s="15" t="s">
        <v>51</v>
      </c>
      <c r="B5038" s="16"/>
      <c r="C5038" s="16"/>
      <c r="D5038" s="16"/>
      <c r="E5038" s="16"/>
      <c r="F5038" s="16"/>
      <c r="G5038" s="16"/>
      <c r="H5038" s="16"/>
      <c r="I5038" s="16"/>
      <c r="J5038" s="17"/>
      <c r="K5038" s="15">
        <v>25.73</v>
      </c>
      <c r="L5038" s="17"/>
    </row>
    <row r="5039" spans="1:12" x14ac:dyDescent="0.25">
      <c r="A5039" s="18"/>
      <c r="B5039" s="18"/>
      <c r="C5039" s="18"/>
      <c r="D5039" s="18"/>
      <c r="E5039" s="18"/>
      <c r="F5039" s="18"/>
      <c r="G5039" s="18"/>
      <c r="H5039" s="18"/>
      <c r="I5039" s="18"/>
      <c r="J5039" s="18"/>
      <c r="K5039" s="18"/>
      <c r="L5039" s="18"/>
    </row>
    <row r="5040" spans="1:12" ht="15" customHeight="1" x14ac:dyDescent="0.25">
      <c r="A5040" s="10" t="s">
        <v>52</v>
      </c>
      <c r="B5040" s="11"/>
      <c r="C5040" s="11"/>
      <c r="D5040" s="11"/>
      <c r="E5040" s="12"/>
      <c r="F5040" s="8" t="s">
        <v>21</v>
      </c>
      <c r="G5040" s="8" t="s">
        <v>22</v>
      </c>
      <c r="H5040" s="9" t="s">
        <v>44</v>
      </c>
      <c r="I5040" s="13" t="s">
        <v>34</v>
      </c>
      <c r="J5040" s="14"/>
      <c r="K5040" s="13" t="s">
        <v>50</v>
      </c>
      <c r="L5040" s="14"/>
    </row>
    <row r="5041" spans="1:12" ht="15" customHeight="1" x14ac:dyDescent="0.25">
      <c r="A5041" s="15" t="s">
        <v>53</v>
      </c>
      <c r="B5041" s="16"/>
      <c r="C5041" s="16"/>
      <c r="D5041" s="16"/>
      <c r="E5041" s="16"/>
      <c r="F5041" s="16"/>
      <c r="G5041" s="16"/>
      <c r="H5041" s="16"/>
      <c r="I5041" s="16"/>
      <c r="J5041" s="17"/>
      <c r="K5041" s="15">
        <v>0</v>
      </c>
      <c r="L5041" s="17"/>
    </row>
    <row r="5042" spans="1:12" x14ac:dyDescent="0.25">
      <c r="A5042" s="18"/>
      <c r="B5042" s="18"/>
      <c r="C5042" s="18"/>
      <c r="D5042" s="18"/>
      <c r="E5042" s="18"/>
      <c r="F5042" s="18"/>
      <c r="G5042" s="18"/>
      <c r="H5042" s="18"/>
      <c r="I5042" s="18"/>
      <c r="J5042" s="18"/>
      <c r="K5042" s="18"/>
      <c r="L5042" s="18"/>
    </row>
    <row r="5043" spans="1:12" ht="15" customHeight="1" x14ac:dyDescent="0.25">
      <c r="A5043" s="10" t="s">
        <v>54</v>
      </c>
      <c r="B5043" s="11"/>
      <c r="C5043" s="12"/>
      <c r="D5043" s="8" t="s">
        <v>21</v>
      </c>
      <c r="E5043" s="8" t="s">
        <v>22</v>
      </c>
      <c r="F5043" s="9" t="s">
        <v>55</v>
      </c>
      <c r="G5043" s="8" t="s">
        <v>56</v>
      </c>
      <c r="H5043" s="8" t="s">
        <v>57</v>
      </c>
      <c r="I5043" s="8" t="s">
        <v>58</v>
      </c>
      <c r="J5043" s="9" t="s">
        <v>59</v>
      </c>
      <c r="K5043" s="9" t="s">
        <v>34</v>
      </c>
      <c r="L5043" s="9" t="s">
        <v>50</v>
      </c>
    </row>
    <row r="5044" spans="1:12" ht="15" customHeight="1" x14ac:dyDescent="0.25">
      <c r="A5044" s="15" t="s">
        <v>60</v>
      </c>
      <c r="B5044" s="16"/>
      <c r="C5044" s="16"/>
      <c r="D5044" s="16"/>
      <c r="E5044" s="16"/>
      <c r="F5044" s="16"/>
      <c r="G5044" s="16"/>
      <c r="H5044" s="16"/>
      <c r="I5044" s="16"/>
      <c r="J5044" s="17"/>
      <c r="K5044" s="15">
        <v>0</v>
      </c>
      <c r="L5044" s="17"/>
    </row>
    <row r="5045" spans="1:12" x14ac:dyDescent="0.25">
      <c r="A5045" s="18"/>
      <c r="B5045" s="18"/>
      <c r="C5045" s="18"/>
      <c r="D5045" s="18"/>
      <c r="E5045" s="18"/>
      <c r="F5045" s="18"/>
      <c r="G5045" s="18"/>
      <c r="H5045" s="18"/>
      <c r="I5045" s="18"/>
      <c r="J5045" s="18"/>
      <c r="K5045" s="18"/>
      <c r="L5045" s="18"/>
    </row>
    <row r="5046" spans="1:12" ht="15" customHeight="1" x14ac:dyDescent="0.25">
      <c r="A5046" s="27" t="s">
        <v>61</v>
      </c>
      <c r="B5046" s="27"/>
      <c r="C5046" s="27"/>
      <c r="D5046" s="27"/>
      <c r="E5046" s="27"/>
      <c r="F5046" s="27"/>
      <c r="G5046" s="27"/>
      <c r="H5046" s="27"/>
      <c r="I5046" s="27"/>
      <c r="J5046" s="27"/>
      <c r="K5046" s="27">
        <v>38.19</v>
      </c>
      <c r="L5046" s="27"/>
    </row>
    <row r="5047" spans="1:12" ht="15" customHeight="1" x14ac:dyDescent="0.25">
      <c r="A5047" s="27" t="s">
        <v>62</v>
      </c>
      <c r="B5047" s="27"/>
      <c r="C5047" s="27"/>
      <c r="D5047" s="27"/>
      <c r="E5047" s="27"/>
      <c r="F5047" s="27"/>
      <c r="G5047" s="27"/>
      <c r="H5047" s="27"/>
      <c r="I5047" s="27"/>
      <c r="J5047" s="27"/>
      <c r="K5047" s="27">
        <v>12.7</v>
      </c>
      <c r="L5047" s="27"/>
    </row>
    <row r="5048" spans="1:12" ht="15" customHeight="1" x14ac:dyDescent="0.25">
      <c r="A5048" s="27" t="s">
        <v>63</v>
      </c>
      <c r="B5048" s="27"/>
      <c r="C5048" s="27"/>
      <c r="D5048" s="27"/>
      <c r="E5048" s="27"/>
      <c r="F5048" s="27"/>
      <c r="G5048" s="27"/>
      <c r="H5048" s="27"/>
      <c r="I5048" s="27"/>
      <c r="J5048" s="27"/>
      <c r="K5048" s="27">
        <v>50.89</v>
      </c>
      <c r="L5048" s="27"/>
    </row>
    <row r="5049" spans="1:12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</row>
    <row r="5050" spans="1:12" ht="15" customHeight="1" x14ac:dyDescent="0.25">
      <c r="A5050" s="3" t="s">
        <v>8</v>
      </c>
      <c r="B5050" s="6" t="s">
        <v>9</v>
      </c>
      <c r="C5050" s="6"/>
      <c r="D5050" s="6"/>
      <c r="E5050" s="6"/>
      <c r="F5050" s="6"/>
      <c r="G5050" s="6"/>
      <c r="H5050" s="6"/>
      <c r="I5050" s="6"/>
      <c r="J5050" s="6"/>
      <c r="K5050" s="6"/>
      <c r="L5050" s="6"/>
    </row>
    <row r="5051" spans="1:12" ht="15" customHeight="1" x14ac:dyDescent="0.25">
      <c r="A5051" s="3" t="s">
        <v>10</v>
      </c>
      <c r="B5051" s="6" t="s">
        <v>608</v>
      </c>
      <c r="C5051" s="6"/>
      <c r="D5051" s="6"/>
      <c r="E5051" s="6"/>
      <c r="F5051" s="6"/>
      <c r="G5051" s="6"/>
      <c r="H5051" s="6"/>
      <c r="I5051" s="6"/>
      <c r="J5051" s="6"/>
      <c r="K5051" s="3" t="s">
        <v>12</v>
      </c>
      <c r="L5051" s="4" t="s">
        <v>84</v>
      </c>
    </row>
    <row r="5052" spans="1:12" ht="15" customHeight="1" x14ac:dyDescent="0.25">
      <c r="A5052" s="3" t="s">
        <v>14</v>
      </c>
      <c r="B5052" s="6" t="s">
        <v>15</v>
      </c>
      <c r="C5052" s="6"/>
      <c r="D5052" s="7" t="s">
        <v>16</v>
      </c>
      <c r="E5052" s="7"/>
      <c r="F5052" s="6" t="str">
        <f>"180202"</f>
        <v>180202</v>
      </c>
      <c r="G5052" s="6"/>
      <c r="H5052" s="3" t="s">
        <v>17</v>
      </c>
      <c r="I5052" s="6" t="s">
        <v>18</v>
      </c>
      <c r="J5052" s="6"/>
      <c r="K5052" s="3" t="s">
        <v>19</v>
      </c>
      <c r="L5052" s="5">
        <v>2</v>
      </c>
    </row>
    <row r="5053" spans="1:12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</row>
    <row r="5054" spans="1:12" ht="15" customHeight="1" x14ac:dyDescent="0.25">
      <c r="A5054" s="10" t="s">
        <v>20</v>
      </c>
      <c r="B5054" s="11"/>
      <c r="C5054" s="12"/>
      <c r="D5054" s="8" t="s">
        <v>21</v>
      </c>
      <c r="E5054" s="8" t="s">
        <v>22</v>
      </c>
      <c r="F5054" s="9" t="s">
        <v>23</v>
      </c>
      <c r="G5054" s="9" t="s">
        <v>24</v>
      </c>
      <c r="H5054" s="9" t="s">
        <v>25</v>
      </c>
      <c r="I5054" s="9" t="s">
        <v>26</v>
      </c>
      <c r="J5054" s="9" t="s">
        <v>27</v>
      </c>
      <c r="K5054" s="13" t="s">
        <v>28</v>
      </c>
      <c r="L5054" s="14"/>
    </row>
    <row r="5055" spans="1:12" ht="15" customHeight="1" x14ac:dyDescent="0.25">
      <c r="A5055" s="15" t="s">
        <v>29</v>
      </c>
      <c r="B5055" s="16"/>
      <c r="C5055" s="16"/>
      <c r="D5055" s="16"/>
      <c r="E5055" s="16"/>
      <c r="F5055" s="16"/>
      <c r="G5055" s="16"/>
      <c r="H5055" s="16"/>
      <c r="I5055" s="16"/>
      <c r="J5055" s="17"/>
      <c r="K5055" s="15">
        <v>0</v>
      </c>
      <c r="L5055" s="17"/>
    </row>
    <row r="5056" spans="1:12" x14ac:dyDescent="0.25">
      <c r="A5056" s="18"/>
      <c r="B5056" s="18"/>
      <c r="C5056" s="18"/>
      <c r="D5056" s="18"/>
      <c r="E5056" s="18"/>
      <c r="F5056" s="18"/>
      <c r="G5056" s="18"/>
      <c r="H5056" s="18"/>
      <c r="I5056" s="18"/>
      <c r="J5056" s="18"/>
      <c r="K5056" s="18"/>
      <c r="L5056" s="18"/>
    </row>
    <row r="5057" spans="1:12" ht="15" customHeight="1" x14ac:dyDescent="0.25">
      <c r="A5057" s="10" t="s">
        <v>30</v>
      </c>
      <c r="B5057" s="11"/>
      <c r="C5057" s="12"/>
      <c r="D5057" s="8" t="s">
        <v>21</v>
      </c>
      <c r="E5057" s="8" t="s">
        <v>22</v>
      </c>
      <c r="F5057" s="9" t="s">
        <v>31</v>
      </c>
      <c r="G5057" s="9" t="s">
        <v>32</v>
      </c>
      <c r="H5057" s="9" t="s">
        <v>33</v>
      </c>
      <c r="I5057" s="13" t="s">
        <v>34</v>
      </c>
      <c r="J5057" s="14"/>
      <c r="K5057" s="13" t="s">
        <v>28</v>
      </c>
      <c r="L5057" s="14"/>
    </row>
    <row r="5058" spans="1:12" ht="15" customHeight="1" x14ac:dyDescent="0.25">
      <c r="A5058" s="21" t="s">
        <v>76</v>
      </c>
      <c r="B5058" s="22"/>
      <c r="C5058" s="23"/>
      <c r="D5058" s="19" t="str">
        <f>"010101"</f>
        <v>010101</v>
      </c>
      <c r="E5058" s="19" t="s">
        <v>36</v>
      </c>
      <c r="F5058" s="20">
        <v>8.5299999999999994</v>
      </c>
      <c r="G5058" s="20">
        <v>157.27000000000001</v>
      </c>
      <c r="H5058" s="20">
        <v>21.94</v>
      </c>
      <c r="I5058" s="24">
        <v>0.34</v>
      </c>
      <c r="J5058" s="25"/>
      <c r="K5058" s="24">
        <v>7.45</v>
      </c>
      <c r="L5058" s="25"/>
    </row>
    <row r="5059" spans="1:12" ht="15" customHeight="1" x14ac:dyDescent="0.25">
      <c r="A5059" s="21" t="s">
        <v>461</v>
      </c>
      <c r="B5059" s="22"/>
      <c r="C5059" s="23"/>
      <c r="D5059" s="19" t="str">
        <f>"010115"</f>
        <v>010115</v>
      </c>
      <c r="E5059" s="19" t="s">
        <v>36</v>
      </c>
      <c r="F5059" s="20">
        <v>10.119999999999999</v>
      </c>
      <c r="G5059" s="20">
        <v>157.27000000000001</v>
      </c>
      <c r="H5059" s="20">
        <v>26.03</v>
      </c>
      <c r="I5059" s="24">
        <v>0.34</v>
      </c>
      <c r="J5059" s="25"/>
      <c r="K5059" s="24">
        <v>8.85</v>
      </c>
      <c r="L5059" s="25"/>
    </row>
    <row r="5060" spans="1:12" ht="15" customHeight="1" x14ac:dyDescent="0.25">
      <c r="A5060" s="15" t="s">
        <v>38</v>
      </c>
      <c r="B5060" s="16"/>
      <c r="C5060" s="16"/>
      <c r="D5060" s="16"/>
      <c r="E5060" s="16"/>
      <c r="F5060" s="16"/>
      <c r="G5060" s="16"/>
      <c r="H5060" s="16"/>
      <c r="I5060" s="16"/>
      <c r="J5060" s="17"/>
      <c r="K5060" s="15">
        <v>16.3</v>
      </c>
      <c r="L5060" s="17"/>
    </row>
    <row r="5061" spans="1:12" x14ac:dyDescent="0.25">
      <c r="A5061" s="18"/>
      <c r="B5061" s="18"/>
      <c r="C5061" s="18"/>
      <c r="D5061" s="18"/>
      <c r="E5061" s="18"/>
      <c r="F5061" s="18"/>
      <c r="G5061" s="18"/>
      <c r="H5061" s="18"/>
      <c r="I5061" s="18"/>
      <c r="J5061" s="18"/>
      <c r="K5061" s="18"/>
      <c r="L5061" s="18"/>
    </row>
    <row r="5062" spans="1:12" ht="15" customHeight="1" x14ac:dyDescent="0.25">
      <c r="A5062" s="10" t="s">
        <v>39</v>
      </c>
      <c r="B5062" s="11"/>
      <c r="C5062" s="12"/>
      <c r="D5062" s="8" t="s">
        <v>21</v>
      </c>
      <c r="E5062" s="13" t="s">
        <v>40</v>
      </c>
      <c r="F5062" s="14"/>
      <c r="G5062" s="8" t="s">
        <v>41</v>
      </c>
      <c r="H5062" s="8" t="s">
        <v>42</v>
      </c>
      <c r="I5062" s="8" t="s">
        <v>43</v>
      </c>
      <c r="J5062" s="13" t="s">
        <v>44</v>
      </c>
      <c r="K5062" s="26"/>
      <c r="L5062" s="14"/>
    </row>
    <row r="5063" spans="1:12" ht="15" customHeight="1" x14ac:dyDescent="0.25">
      <c r="A5063" s="15" t="s">
        <v>45</v>
      </c>
      <c r="B5063" s="16"/>
      <c r="C5063" s="16"/>
      <c r="D5063" s="16"/>
      <c r="E5063" s="16"/>
      <c r="F5063" s="16"/>
      <c r="G5063" s="16"/>
      <c r="H5063" s="16"/>
      <c r="I5063" s="16"/>
      <c r="J5063" s="17"/>
      <c r="K5063" s="15">
        <v>0</v>
      </c>
      <c r="L5063" s="17"/>
    </row>
    <row r="5064" spans="1:12" x14ac:dyDescent="0.25">
      <c r="A5064" s="18"/>
      <c r="B5064" s="18"/>
      <c r="C5064" s="18"/>
      <c r="D5064" s="18"/>
      <c r="E5064" s="18"/>
      <c r="F5064" s="18"/>
      <c r="G5064" s="18"/>
      <c r="H5064" s="18"/>
      <c r="I5064" s="18"/>
      <c r="J5064" s="18"/>
      <c r="K5064" s="18"/>
      <c r="L5064" s="18"/>
    </row>
    <row r="5065" spans="1:12" ht="15" customHeight="1" x14ac:dyDescent="0.25">
      <c r="A5065" s="27" t="s">
        <v>46</v>
      </c>
      <c r="B5065" s="27"/>
      <c r="C5065" s="27"/>
      <c r="D5065" s="27"/>
      <c r="E5065" s="27"/>
      <c r="F5065" s="27"/>
      <c r="G5065" s="27"/>
      <c r="H5065" s="27"/>
      <c r="I5065" s="27"/>
      <c r="J5065" s="27"/>
      <c r="K5065" s="27">
        <v>16.3</v>
      </c>
      <c r="L5065" s="27"/>
    </row>
    <row r="5066" spans="1:12" ht="15" customHeight="1" x14ac:dyDescent="0.25">
      <c r="A5066" s="27" t="s">
        <v>47</v>
      </c>
      <c r="B5066" s="27"/>
      <c r="C5066" s="27"/>
      <c r="D5066" s="27"/>
      <c r="E5066" s="27"/>
      <c r="F5066" s="27"/>
      <c r="G5066" s="27"/>
      <c r="H5066" s="27"/>
      <c r="I5066" s="27"/>
      <c r="J5066" s="27"/>
      <c r="K5066" s="27">
        <v>1</v>
      </c>
      <c r="L5066" s="27"/>
    </row>
    <row r="5067" spans="1:12" ht="15" customHeight="1" x14ac:dyDescent="0.25">
      <c r="A5067" s="27" t="s">
        <v>48</v>
      </c>
      <c r="B5067" s="27"/>
      <c r="C5067" s="27"/>
      <c r="D5067" s="27"/>
      <c r="E5067" s="27"/>
      <c r="F5067" s="27"/>
      <c r="G5067" s="27"/>
      <c r="H5067" s="27"/>
      <c r="I5067" s="27"/>
      <c r="J5067" s="27"/>
      <c r="K5067" s="27">
        <v>16.3</v>
      </c>
      <c r="L5067" s="27"/>
    </row>
    <row r="5068" spans="1:12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</row>
    <row r="5069" spans="1:12" ht="15" customHeight="1" x14ac:dyDescent="0.25">
      <c r="A5069" s="10" t="s">
        <v>49</v>
      </c>
      <c r="B5069" s="11"/>
      <c r="C5069" s="11"/>
      <c r="D5069" s="11"/>
      <c r="E5069" s="12"/>
      <c r="F5069" s="8" t="s">
        <v>21</v>
      </c>
      <c r="G5069" s="8" t="s">
        <v>22</v>
      </c>
      <c r="H5069" s="9" t="s">
        <v>44</v>
      </c>
      <c r="I5069" s="13" t="s">
        <v>34</v>
      </c>
      <c r="J5069" s="14"/>
      <c r="K5069" s="13" t="s">
        <v>50</v>
      </c>
      <c r="L5069" s="14"/>
    </row>
    <row r="5070" spans="1:12" ht="15" customHeight="1" x14ac:dyDescent="0.25">
      <c r="A5070" s="21" t="s">
        <v>609</v>
      </c>
      <c r="B5070" s="22"/>
      <c r="C5070" s="22"/>
      <c r="D5070" s="22"/>
      <c r="E5070" s="23"/>
      <c r="F5070" s="19" t="str">
        <f>"045519"</f>
        <v>045519</v>
      </c>
      <c r="G5070" s="19" t="s">
        <v>81</v>
      </c>
      <c r="H5070" s="20">
        <v>23.4</v>
      </c>
      <c r="I5070" s="24">
        <v>1</v>
      </c>
      <c r="J5070" s="25"/>
      <c r="K5070" s="24">
        <v>23.4</v>
      </c>
      <c r="L5070" s="25"/>
    </row>
    <row r="5071" spans="1:12" ht="15" customHeight="1" x14ac:dyDescent="0.25">
      <c r="A5071" s="21" t="s">
        <v>604</v>
      </c>
      <c r="B5071" s="22"/>
      <c r="C5071" s="22"/>
      <c r="D5071" s="22"/>
      <c r="E5071" s="23"/>
      <c r="F5071" s="19" t="str">
        <f>"045525"</f>
        <v>045525</v>
      </c>
      <c r="G5071" s="19" t="s">
        <v>81</v>
      </c>
      <c r="H5071" s="20">
        <v>4.6100000000000003</v>
      </c>
      <c r="I5071" s="24">
        <v>1</v>
      </c>
      <c r="J5071" s="25"/>
      <c r="K5071" s="24">
        <v>4.6100000000000003</v>
      </c>
      <c r="L5071" s="25"/>
    </row>
    <row r="5072" spans="1:12" ht="15" customHeight="1" x14ac:dyDescent="0.25">
      <c r="A5072" s="15" t="s">
        <v>51</v>
      </c>
      <c r="B5072" s="16"/>
      <c r="C5072" s="16"/>
      <c r="D5072" s="16"/>
      <c r="E5072" s="16"/>
      <c r="F5072" s="16"/>
      <c r="G5072" s="16"/>
      <c r="H5072" s="16"/>
      <c r="I5072" s="16"/>
      <c r="J5072" s="17"/>
      <c r="K5072" s="15">
        <v>28.01</v>
      </c>
      <c r="L5072" s="17"/>
    </row>
    <row r="5073" spans="1:12" x14ac:dyDescent="0.25">
      <c r="A5073" s="18"/>
      <c r="B5073" s="18"/>
      <c r="C5073" s="18"/>
      <c r="D5073" s="18"/>
      <c r="E5073" s="18"/>
      <c r="F5073" s="18"/>
      <c r="G5073" s="18"/>
      <c r="H5073" s="18"/>
      <c r="I5073" s="18"/>
      <c r="J5073" s="18"/>
      <c r="K5073" s="18"/>
      <c r="L5073" s="18"/>
    </row>
    <row r="5074" spans="1:12" ht="15" customHeight="1" x14ac:dyDescent="0.25">
      <c r="A5074" s="10" t="s">
        <v>52</v>
      </c>
      <c r="B5074" s="11"/>
      <c r="C5074" s="11"/>
      <c r="D5074" s="11"/>
      <c r="E5074" s="12"/>
      <c r="F5074" s="8" t="s">
        <v>21</v>
      </c>
      <c r="G5074" s="8" t="s">
        <v>22</v>
      </c>
      <c r="H5074" s="9" t="s">
        <v>44</v>
      </c>
      <c r="I5074" s="13" t="s">
        <v>34</v>
      </c>
      <c r="J5074" s="14"/>
      <c r="K5074" s="13" t="s">
        <v>50</v>
      </c>
      <c r="L5074" s="14"/>
    </row>
    <row r="5075" spans="1:12" ht="15" customHeight="1" x14ac:dyDescent="0.25">
      <c r="A5075" s="15" t="s">
        <v>53</v>
      </c>
      <c r="B5075" s="16"/>
      <c r="C5075" s="16"/>
      <c r="D5075" s="16"/>
      <c r="E5075" s="16"/>
      <c r="F5075" s="16"/>
      <c r="G5075" s="16"/>
      <c r="H5075" s="16"/>
      <c r="I5075" s="16"/>
      <c r="J5075" s="17"/>
      <c r="K5075" s="15">
        <v>0</v>
      </c>
      <c r="L5075" s="17"/>
    </row>
    <row r="5076" spans="1:12" x14ac:dyDescent="0.25">
      <c r="A5076" s="18"/>
      <c r="B5076" s="18"/>
      <c r="C5076" s="18"/>
      <c r="D5076" s="18"/>
      <c r="E5076" s="18"/>
      <c r="F5076" s="18"/>
      <c r="G5076" s="18"/>
      <c r="H5076" s="18"/>
      <c r="I5076" s="18"/>
      <c r="J5076" s="18"/>
      <c r="K5076" s="18"/>
      <c r="L5076" s="18"/>
    </row>
    <row r="5077" spans="1:12" ht="15" customHeight="1" x14ac:dyDescent="0.25">
      <c r="A5077" s="10" t="s">
        <v>54</v>
      </c>
      <c r="B5077" s="11"/>
      <c r="C5077" s="12"/>
      <c r="D5077" s="8" t="s">
        <v>21</v>
      </c>
      <c r="E5077" s="8" t="s">
        <v>22</v>
      </c>
      <c r="F5077" s="9" t="s">
        <v>55</v>
      </c>
      <c r="G5077" s="8" t="s">
        <v>56</v>
      </c>
      <c r="H5077" s="8" t="s">
        <v>57</v>
      </c>
      <c r="I5077" s="8" t="s">
        <v>58</v>
      </c>
      <c r="J5077" s="9" t="s">
        <v>59</v>
      </c>
      <c r="K5077" s="9" t="s">
        <v>34</v>
      </c>
      <c r="L5077" s="9" t="s">
        <v>50</v>
      </c>
    </row>
    <row r="5078" spans="1:12" ht="15" customHeight="1" x14ac:dyDescent="0.25">
      <c r="A5078" s="15" t="s">
        <v>60</v>
      </c>
      <c r="B5078" s="16"/>
      <c r="C5078" s="16"/>
      <c r="D5078" s="16"/>
      <c r="E5078" s="16"/>
      <c r="F5078" s="16"/>
      <c r="G5078" s="16"/>
      <c r="H5078" s="16"/>
      <c r="I5078" s="16"/>
      <c r="J5078" s="17"/>
      <c r="K5078" s="15">
        <v>0</v>
      </c>
      <c r="L5078" s="17"/>
    </row>
    <row r="5079" spans="1:12" x14ac:dyDescent="0.25">
      <c r="A5079" s="18"/>
      <c r="B5079" s="18"/>
      <c r="C5079" s="18"/>
      <c r="D5079" s="18"/>
      <c r="E5079" s="18"/>
      <c r="F5079" s="18"/>
      <c r="G5079" s="18"/>
      <c r="H5079" s="18"/>
      <c r="I5079" s="18"/>
      <c r="J5079" s="18"/>
      <c r="K5079" s="18"/>
      <c r="L5079" s="18"/>
    </row>
    <row r="5080" spans="1:12" ht="15" customHeight="1" x14ac:dyDescent="0.25">
      <c r="A5080" s="27" t="s">
        <v>61</v>
      </c>
      <c r="B5080" s="27"/>
      <c r="C5080" s="27"/>
      <c r="D5080" s="27"/>
      <c r="E5080" s="27"/>
      <c r="F5080" s="27"/>
      <c r="G5080" s="27"/>
      <c r="H5080" s="27"/>
      <c r="I5080" s="27"/>
      <c r="J5080" s="27"/>
      <c r="K5080" s="27">
        <v>44.31</v>
      </c>
      <c r="L5080" s="27"/>
    </row>
    <row r="5081" spans="1:12" ht="15" customHeight="1" x14ac:dyDescent="0.25">
      <c r="A5081" s="27" t="s">
        <v>62</v>
      </c>
      <c r="B5081" s="27"/>
      <c r="C5081" s="27"/>
      <c r="D5081" s="27"/>
      <c r="E5081" s="27"/>
      <c r="F5081" s="27"/>
      <c r="G5081" s="27"/>
      <c r="H5081" s="27"/>
      <c r="I5081" s="27"/>
      <c r="J5081" s="27"/>
      <c r="K5081" s="27">
        <v>14.73</v>
      </c>
      <c r="L5081" s="27"/>
    </row>
    <row r="5082" spans="1:12" ht="15" customHeight="1" x14ac:dyDescent="0.25">
      <c r="A5082" s="27" t="s">
        <v>63</v>
      </c>
      <c r="B5082" s="27"/>
      <c r="C5082" s="27"/>
      <c r="D5082" s="27"/>
      <c r="E5082" s="27"/>
      <c r="F5082" s="27"/>
      <c r="G5082" s="27"/>
      <c r="H5082" s="27"/>
      <c r="I5082" s="27"/>
      <c r="J5082" s="27"/>
      <c r="K5082" s="27">
        <v>59.04</v>
      </c>
      <c r="L5082" s="27"/>
    </row>
    <row r="5083" spans="1:12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</row>
    <row r="5084" spans="1:12" ht="15" customHeight="1" x14ac:dyDescent="0.25">
      <c r="A5084" s="3" t="s">
        <v>8</v>
      </c>
      <c r="B5084" s="6" t="s">
        <v>9</v>
      </c>
      <c r="C5084" s="6"/>
      <c r="D5084" s="6"/>
      <c r="E5084" s="6"/>
      <c r="F5084" s="6"/>
      <c r="G5084" s="6"/>
      <c r="H5084" s="6"/>
      <c r="I5084" s="6"/>
      <c r="J5084" s="6"/>
      <c r="K5084" s="6"/>
      <c r="L5084" s="6"/>
    </row>
    <row r="5085" spans="1:12" ht="15" customHeight="1" x14ac:dyDescent="0.25">
      <c r="A5085" s="3" t="s">
        <v>10</v>
      </c>
      <c r="B5085" s="6" t="s">
        <v>610</v>
      </c>
      <c r="C5085" s="6"/>
      <c r="D5085" s="6"/>
      <c r="E5085" s="6"/>
      <c r="F5085" s="6"/>
      <c r="G5085" s="6"/>
      <c r="H5085" s="6"/>
      <c r="I5085" s="6"/>
      <c r="J5085" s="6"/>
      <c r="K5085" s="3" t="s">
        <v>12</v>
      </c>
      <c r="L5085" s="4" t="s">
        <v>84</v>
      </c>
    </row>
    <row r="5086" spans="1:12" ht="15" customHeight="1" x14ac:dyDescent="0.25">
      <c r="A5086" s="3" t="s">
        <v>14</v>
      </c>
      <c r="B5086" s="6" t="s">
        <v>15</v>
      </c>
      <c r="C5086" s="6"/>
      <c r="D5086" s="7" t="s">
        <v>16</v>
      </c>
      <c r="E5086" s="7"/>
      <c r="F5086" s="6" t="str">
        <f>"180228"</f>
        <v>180228</v>
      </c>
      <c r="G5086" s="6"/>
      <c r="H5086" s="3" t="s">
        <v>17</v>
      </c>
      <c r="I5086" s="6" t="s">
        <v>18</v>
      </c>
      <c r="J5086" s="6"/>
      <c r="K5086" s="3" t="s">
        <v>19</v>
      </c>
      <c r="L5086" s="5">
        <v>1</v>
      </c>
    </row>
    <row r="5087" spans="1:12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</row>
    <row r="5088" spans="1:12" ht="15" customHeight="1" x14ac:dyDescent="0.25">
      <c r="A5088" s="10" t="s">
        <v>20</v>
      </c>
      <c r="B5088" s="11"/>
      <c r="C5088" s="12"/>
      <c r="D5088" s="8" t="s">
        <v>21</v>
      </c>
      <c r="E5088" s="8" t="s">
        <v>22</v>
      </c>
      <c r="F5088" s="9" t="s">
        <v>23</v>
      </c>
      <c r="G5088" s="9" t="s">
        <v>24</v>
      </c>
      <c r="H5088" s="9" t="s">
        <v>25</v>
      </c>
      <c r="I5088" s="9" t="s">
        <v>26</v>
      </c>
      <c r="J5088" s="9" t="s">
        <v>27</v>
      </c>
      <c r="K5088" s="13" t="s">
        <v>28</v>
      </c>
      <c r="L5088" s="14"/>
    </row>
    <row r="5089" spans="1:12" ht="15" customHeight="1" x14ac:dyDescent="0.25">
      <c r="A5089" s="15" t="s">
        <v>29</v>
      </c>
      <c r="B5089" s="16"/>
      <c r="C5089" s="16"/>
      <c r="D5089" s="16"/>
      <c r="E5089" s="16"/>
      <c r="F5089" s="16"/>
      <c r="G5089" s="16"/>
      <c r="H5089" s="16"/>
      <c r="I5089" s="16"/>
      <c r="J5089" s="17"/>
      <c r="K5089" s="15">
        <v>0</v>
      </c>
      <c r="L5089" s="17"/>
    </row>
    <row r="5090" spans="1:12" x14ac:dyDescent="0.25">
      <c r="A5090" s="18"/>
      <c r="B5090" s="18"/>
      <c r="C5090" s="18"/>
      <c r="D5090" s="18"/>
      <c r="E5090" s="18"/>
      <c r="F5090" s="18"/>
      <c r="G5090" s="18"/>
      <c r="H5090" s="18"/>
      <c r="I5090" s="18"/>
      <c r="J5090" s="18"/>
      <c r="K5090" s="18"/>
      <c r="L5090" s="18"/>
    </row>
    <row r="5091" spans="1:12" ht="15" customHeight="1" x14ac:dyDescent="0.25">
      <c r="A5091" s="10" t="s">
        <v>30</v>
      </c>
      <c r="B5091" s="11"/>
      <c r="C5091" s="12"/>
      <c r="D5091" s="8" t="s">
        <v>21</v>
      </c>
      <c r="E5091" s="8" t="s">
        <v>22</v>
      </c>
      <c r="F5091" s="9" t="s">
        <v>31</v>
      </c>
      <c r="G5091" s="9" t="s">
        <v>32</v>
      </c>
      <c r="H5091" s="9" t="s">
        <v>33</v>
      </c>
      <c r="I5091" s="13" t="s">
        <v>34</v>
      </c>
      <c r="J5091" s="14"/>
      <c r="K5091" s="13" t="s">
        <v>28</v>
      </c>
      <c r="L5091" s="14"/>
    </row>
    <row r="5092" spans="1:12" ht="15" customHeight="1" x14ac:dyDescent="0.25">
      <c r="A5092" s="21" t="s">
        <v>76</v>
      </c>
      <c r="B5092" s="22"/>
      <c r="C5092" s="23"/>
      <c r="D5092" s="19" t="str">
        <f>"010101"</f>
        <v>010101</v>
      </c>
      <c r="E5092" s="19" t="s">
        <v>36</v>
      </c>
      <c r="F5092" s="20">
        <v>8.5299999999999994</v>
      </c>
      <c r="G5092" s="20">
        <v>157.27000000000001</v>
      </c>
      <c r="H5092" s="20">
        <v>21.94</v>
      </c>
      <c r="I5092" s="24">
        <v>0.34</v>
      </c>
      <c r="J5092" s="25"/>
      <c r="K5092" s="24">
        <v>7.45</v>
      </c>
      <c r="L5092" s="25"/>
    </row>
    <row r="5093" spans="1:12" ht="15" customHeight="1" x14ac:dyDescent="0.25">
      <c r="A5093" s="21" t="s">
        <v>461</v>
      </c>
      <c r="B5093" s="22"/>
      <c r="C5093" s="23"/>
      <c r="D5093" s="19" t="str">
        <f>"010115"</f>
        <v>010115</v>
      </c>
      <c r="E5093" s="19" t="s">
        <v>36</v>
      </c>
      <c r="F5093" s="20">
        <v>10.119999999999999</v>
      </c>
      <c r="G5093" s="20">
        <v>157.27000000000001</v>
      </c>
      <c r="H5093" s="20">
        <v>26.03</v>
      </c>
      <c r="I5093" s="24">
        <v>0.34</v>
      </c>
      <c r="J5093" s="25"/>
      <c r="K5093" s="24">
        <v>8.85</v>
      </c>
      <c r="L5093" s="25"/>
    </row>
    <row r="5094" spans="1:12" ht="15" customHeight="1" x14ac:dyDescent="0.25">
      <c r="A5094" s="15" t="s">
        <v>38</v>
      </c>
      <c r="B5094" s="16"/>
      <c r="C5094" s="16"/>
      <c r="D5094" s="16"/>
      <c r="E5094" s="16"/>
      <c r="F5094" s="16"/>
      <c r="G5094" s="16"/>
      <c r="H5094" s="16"/>
      <c r="I5094" s="16"/>
      <c r="J5094" s="17"/>
      <c r="K5094" s="15">
        <v>16.3</v>
      </c>
      <c r="L5094" s="17"/>
    </row>
    <row r="5095" spans="1:12" x14ac:dyDescent="0.25">
      <c r="A5095" s="18"/>
      <c r="B5095" s="18"/>
      <c r="C5095" s="18"/>
      <c r="D5095" s="18"/>
      <c r="E5095" s="18"/>
      <c r="F5095" s="18"/>
      <c r="G5095" s="18"/>
      <c r="H5095" s="18"/>
      <c r="I5095" s="18"/>
      <c r="J5095" s="18"/>
      <c r="K5095" s="18"/>
      <c r="L5095" s="18"/>
    </row>
    <row r="5096" spans="1:12" ht="15" customHeight="1" x14ac:dyDescent="0.25">
      <c r="A5096" s="10" t="s">
        <v>39</v>
      </c>
      <c r="B5096" s="11"/>
      <c r="C5096" s="12"/>
      <c r="D5096" s="8" t="s">
        <v>21</v>
      </c>
      <c r="E5096" s="13" t="s">
        <v>40</v>
      </c>
      <c r="F5096" s="14"/>
      <c r="G5096" s="8" t="s">
        <v>41</v>
      </c>
      <c r="H5096" s="8" t="s">
        <v>42</v>
      </c>
      <c r="I5096" s="8" t="s">
        <v>43</v>
      </c>
      <c r="J5096" s="13" t="s">
        <v>44</v>
      </c>
      <c r="K5096" s="26"/>
      <c r="L5096" s="14"/>
    </row>
    <row r="5097" spans="1:12" ht="15" customHeight="1" x14ac:dyDescent="0.25">
      <c r="A5097" s="15" t="s">
        <v>45</v>
      </c>
      <c r="B5097" s="16"/>
      <c r="C5097" s="16"/>
      <c r="D5097" s="16"/>
      <c r="E5097" s="16"/>
      <c r="F5097" s="16"/>
      <c r="G5097" s="16"/>
      <c r="H5097" s="16"/>
      <c r="I5097" s="16"/>
      <c r="J5097" s="17"/>
      <c r="K5097" s="15">
        <v>0</v>
      </c>
      <c r="L5097" s="17"/>
    </row>
    <row r="5098" spans="1:12" x14ac:dyDescent="0.25">
      <c r="A5098" s="18"/>
      <c r="B5098" s="18"/>
      <c r="C5098" s="18"/>
      <c r="D5098" s="18"/>
      <c r="E5098" s="18"/>
      <c r="F5098" s="18"/>
      <c r="G5098" s="18"/>
      <c r="H5098" s="18"/>
      <c r="I5098" s="18"/>
      <c r="J5098" s="18"/>
      <c r="K5098" s="18"/>
      <c r="L5098" s="18"/>
    </row>
    <row r="5099" spans="1:12" ht="15" customHeight="1" x14ac:dyDescent="0.25">
      <c r="A5099" s="27" t="s">
        <v>46</v>
      </c>
      <c r="B5099" s="27"/>
      <c r="C5099" s="27"/>
      <c r="D5099" s="27"/>
      <c r="E5099" s="27"/>
      <c r="F5099" s="27"/>
      <c r="G5099" s="27"/>
      <c r="H5099" s="27"/>
      <c r="I5099" s="27"/>
      <c r="J5099" s="27"/>
      <c r="K5099" s="27">
        <v>16.3</v>
      </c>
      <c r="L5099" s="27"/>
    </row>
    <row r="5100" spans="1:12" ht="15" customHeight="1" x14ac:dyDescent="0.25">
      <c r="A5100" s="27" t="s">
        <v>47</v>
      </c>
      <c r="B5100" s="27"/>
      <c r="C5100" s="27"/>
      <c r="D5100" s="27"/>
      <c r="E5100" s="27"/>
      <c r="F5100" s="27"/>
      <c r="G5100" s="27"/>
      <c r="H5100" s="27"/>
      <c r="I5100" s="27"/>
      <c r="J5100" s="27"/>
      <c r="K5100" s="27">
        <v>1</v>
      </c>
      <c r="L5100" s="27"/>
    </row>
    <row r="5101" spans="1:12" ht="15" customHeight="1" x14ac:dyDescent="0.25">
      <c r="A5101" s="27" t="s">
        <v>48</v>
      </c>
      <c r="B5101" s="27"/>
      <c r="C5101" s="27"/>
      <c r="D5101" s="27"/>
      <c r="E5101" s="27"/>
      <c r="F5101" s="27"/>
      <c r="G5101" s="27"/>
      <c r="H5101" s="27"/>
      <c r="I5101" s="27"/>
      <c r="J5101" s="27"/>
      <c r="K5101" s="27">
        <v>16.3</v>
      </c>
      <c r="L5101" s="27"/>
    </row>
    <row r="5102" spans="1:12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</row>
    <row r="5103" spans="1:12" ht="15" customHeight="1" x14ac:dyDescent="0.25">
      <c r="A5103" s="10" t="s">
        <v>49</v>
      </c>
      <c r="B5103" s="11"/>
      <c r="C5103" s="11"/>
      <c r="D5103" s="11"/>
      <c r="E5103" s="12"/>
      <c r="F5103" s="8" t="s">
        <v>21</v>
      </c>
      <c r="G5103" s="8" t="s">
        <v>22</v>
      </c>
      <c r="H5103" s="9" t="s">
        <v>44</v>
      </c>
      <c r="I5103" s="13" t="s">
        <v>34</v>
      </c>
      <c r="J5103" s="14"/>
      <c r="K5103" s="13" t="s">
        <v>50</v>
      </c>
      <c r="L5103" s="14"/>
    </row>
    <row r="5104" spans="1:12" ht="15" customHeight="1" x14ac:dyDescent="0.25">
      <c r="A5104" s="21" t="s">
        <v>609</v>
      </c>
      <c r="B5104" s="22"/>
      <c r="C5104" s="22"/>
      <c r="D5104" s="22"/>
      <c r="E5104" s="23"/>
      <c r="F5104" s="19" t="str">
        <f>"045519"</f>
        <v>045519</v>
      </c>
      <c r="G5104" s="19" t="s">
        <v>81</v>
      </c>
      <c r="H5104" s="20">
        <v>23.4</v>
      </c>
      <c r="I5104" s="24">
        <v>2</v>
      </c>
      <c r="J5104" s="25"/>
      <c r="K5104" s="24">
        <v>46.8</v>
      </c>
      <c r="L5104" s="25"/>
    </row>
    <row r="5105" spans="1:12" ht="15" customHeight="1" x14ac:dyDescent="0.25">
      <c r="A5105" s="21" t="s">
        <v>604</v>
      </c>
      <c r="B5105" s="22"/>
      <c r="C5105" s="22"/>
      <c r="D5105" s="22"/>
      <c r="E5105" s="23"/>
      <c r="F5105" s="19" t="str">
        <f>"045525"</f>
        <v>045525</v>
      </c>
      <c r="G5105" s="19" t="s">
        <v>81</v>
      </c>
      <c r="H5105" s="20">
        <v>4.6100000000000003</v>
      </c>
      <c r="I5105" s="24">
        <v>1</v>
      </c>
      <c r="J5105" s="25"/>
      <c r="K5105" s="24">
        <v>4.6100000000000003</v>
      </c>
      <c r="L5105" s="25"/>
    </row>
    <row r="5106" spans="1:12" ht="15" customHeight="1" x14ac:dyDescent="0.25">
      <c r="A5106" s="15" t="s">
        <v>51</v>
      </c>
      <c r="B5106" s="16"/>
      <c r="C5106" s="16"/>
      <c r="D5106" s="16"/>
      <c r="E5106" s="16"/>
      <c r="F5106" s="16"/>
      <c r="G5106" s="16"/>
      <c r="H5106" s="16"/>
      <c r="I5106" s="16"/>
      <c r="J5106" s="17"/>
      <c r="K5106" s="15">
        <v>51.41</v>
      </c>
      <c r="L5106" s="17"/>
    </row>
    <row r="5107" spans="1:12" x14ac:dyDescent="0.25">
      <c r="A5107" s="18"/>
      <c r="B5107" s="18"/>
      <c r="C5107" s="18"/>
      <c r="D5107" s="18"/>
      <c r="E5107" s="18"/>
      <c r="F5107" s="18"/>
      <c r="G5107" s="18"/>
      <c r="H5107" s="18"/>
      <c r="I5107" s="18"/>
      <c r="J5107" s="18"/>
      <c r="K5107" s="18"/>
      <c r="L5107" s="18"/>
    </row>
    <row r="5108" spans="1:12" ht="15" customHeight="1" x14ac:dyDescent="0.25">
      <c r="A5108" s="10" t="s">
        <v>52</v>
      </c>
      <c r="B5108" s="11"/>
      <c r="C5108" s="11"/>
      <c r="D5108" s="11"/>
      <c r="E5108" s="12"/>
      <c r="F5108" s="8" t="s">
        <v>21</v>
      </c>
      <c r="G5108" s="8" t="s">
        <v>22</v>
      </c>
      <c r="H5108" s="9" t="s">
        <v>44</v>
      </c>
      <c r="I5108" s="13" t="s">
        <v>34</v>
      </c>
      <c r="J5108" s="14"/>
      <c r="K5108" s="13" t="s">
        <v>50</v>
      </c>
      <c r="L5108" s="14"/>
    </row>
    <row r="5109" spans="1:12" ht="15" customHeight="1" x14ac:dyDescent="0.25">
      <c r="A5109" s="15" t="s">
        <v>53</v>
      </c>
      <c r="B5109" s="16"/>
      <c r="C5109" s="16"/>
      <c r="D5109" s="16"/>
      <c r="E5109" s="16"/>
      <c r="F5109" s="16"/>
      <c r="G5109" s="16"/>
      <c r="H5109" s="16"/>
      <c r="I5109" s="16"/>
      <c r="J5109" s="17"/>
      <c r="K5109" s="15">
        <v>0</v>
      </c>
      <c r="L5109" s="17"/>
    </row>
    <row r="5110" spans="1:12" x14ac:dyDescent="0.25">
      <c r="A5110" s="18"/>
      <c r="B5110" s="18"/>
      <c r="C5110" s="18"/>
      <c r="D5110" s="18"/>
      <c r="E5110" s="18"/>
      <c r="F5110" s="18"/>
      <c r="G5110" s="18"/>
      <c r="H5110" s="18"/>
      <c r="I5110" s="18"/>
      <c r="J5110" s="18"/>
      <c r="K5110" s="18"/>
      <c r="L5110" s="18"/>
    </row>
    <row r="5111" spans="1:12" ht="15" customHeight="1" x14ac:dyDescent="0.25">
      <c r="A5111" s="10" t="s">
        <v>54</v>
      </c>
      <c r="B5111" s="11"/>
      <c r="C5111" s="12"/>
      <c r="D5111" s="8" t="s">
        <v>21</v>
      </c>
      <c r="E5111" s="8" t="s">
        <v>22</v>
      </c>
      <c r="F5111" s="9" t="s">
        <v>55</v>
      </c>
      <c r="G5111" s="8" t="s">
        <v>56</v>
      </c>
      <c r="H5111" s="8" t="s">
        <v>57</v>
      </c>
      <c r="I5111" s="8" t="s">
        <v>58</v>
      </c>
      <c r="J5111" s="9" t="s">
        <v>59</v>
      </c>
      <c r="K5111" s="9" t="s">
        <v>34</v>
      </c>
      <c r="L5111" s="9" t="s">
        <v>50</v>
      </c>
    </row>
    <row r="5112" spans="1:12" ht="15" customHeight="1" x14ac:dyDescent="0.25">
      <c r="A5112" s="15" t="s">
        <v>60</v>
      </c>
      <c r="B5112" s="16"/>
      <c r="C5112" s="16"/>
      <c r="D5112" s="16"/>
      <c r="E5112" s="16"/>
      <c r="F5112" s="16"/>
      <c r="G5112" s="16"/>
      <c r="H5112" s="16"/>
      <c r="I5112" s="16"/>
      <c r="J5112" s="17"/>
      <c r="K5112" s="15">
        <v>0</v>
      </c>
      <c r="L5112" s="17"/>
    </row>
    <row r="5113" spans="1:12" x14ac:dyDescent="0.25">
      <c r="A5113" s="18"/>
      <c r="B5113" s="18"/>
      <c r="C5113" s="18"/>
      <c r="D5113" s="18"/>
      <c r="E5113" s="18"/>
      <c r="F5113" s="18"/>
      <c r="G5113" s="18"/>
      <c r="H5113" s="18"/>
      <c r="I5113" s="18"/>
      <c r="J5113" s="18"/>
      <c r="K5113" s="18"/>
      <c r="L5113" s="18"/>
    </row>
    <row r="5114" spans="1:12" ht="15" customHeight="1" x14ac:dyDescent="0.25">
      <c r="A5114" s="27" t="s">
        <v>61</v>
      </c>
      <c r="B5114" s="27"/>
      <c r="C5114" s="27"/>
      <c r="D5114" s="27"/>
      <c r="E5114" s="27"/>
      <c r="F5114" s="27"/>
      <c r="G5114" s="27"/>
      <c r="H5114" s="27"/>
      <c r="I5114" s="27"/>
      <c r="J5114" s="27"/>
      <c r="K5114" s="27">
        <v>67.709999999999994</v>
      </c>
      <c r="L5114" s="27"/>
    </row>
    <row r="5115" spans="1:12" ht="15" customHeight="1" x14ac:dyDescent="0.25">
      <c r="A5115" s="27" t="s">
        <v>62</v>
      </c>
      <c r="B5115" s="27"/>
      <c r="C5115" s="27"/>
      <c r="D5115" s="27"/>
      <c r="E5115" s="27"/>
      <c r="F5115" s="27"/>
      <c r="G5115" s="27"/>
      <c r="H5115" s="27"/>
      <c r="I5115" s="27"/>
      <c r="J5115" s="27"/>
      <c r="K5115" s="27">
        <v>22.51</v>
      </c>
      <c r="L5115" s="27"/>
    </row>
    <row r="5116" spans="1:12" ht="15" customHeight="1" x14ac:dyDescent="0.25">
      <c r="A5116" s="27" t="s">
        <v>63</v>
      </c>
      <c r="B5116" s="27"/>
      <c r="C5116" s="27"/>
      <c r="D5116" s="27"/>
      <c r="E5116" s="27"/>
      <c r="F5116" s="27"/>
      <c r="G5116" s="27"/>
      <c r="H5116" s="27"/>
      <c r="I5116" s="27"/>
      <c r="J5116" s="27"/>
      <c r="K5116" s="27">
        <v>90.22</v>
      </c>
      <c r="L5116" s="27"/>
    </row>
    <row r="5117" spans="1:12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</row>
    <row r="5118" spans="1:12" ht="15" customHeight="1" x14ac:dyDescent="0.25">
      <c r="A5118" s="3" t="s">
        <v>8</v>
      </c>
      <c r="B5118" s="6" t="s">
        <v>9</v>
      </c>
      <c r="C5118" s="6"/>
      <c r="D5118" s="6"/>
      <c r="E5118" s="6"/>
      <c r="F5118" s="6"/>
      <c r="G5118" s="6"/>
      <c r="H5118" s="6"/>
      <c r="I5118" s="6"/>
      <c r="J5118" s="6"/>
      <c r="K5118" s="6"/>
      <c r="L5118" s="6"/>
    </row>
    <row r="5119" spans="1:12" ht="15" customHeight="1" x14ac:dyDescent="0.25">
      <c r="A5119" s="3" t="s">
        <v>10</v>
      </c>
      <c r="B5119" s="6" t="s">
        <v>611</v>
      </c>
      <c r="C5119" s="6"/>
      <c r="D5119" s="6"/>
      <c r="E5119" s="6"/>
      <c r="F5119" s="6"/>
      <c r="G5119" s="6"/>
      <c r="H5119" s="6"/>
      <c r="I5119" s="6"/>
      <c r="J5119" s="6"/>
      <c r="K5119" s="3" t="s">
        <v>12</v>
      </c>
      <c r="L5119" s="4" t="s">
        <v>84</v>
      </c>
    </row>
    <row r="5120" spans="1:12" ht="15" customHeight="1" x14ac:dyDescent="0.25">
      <c r="A5120" s="3" t="s">
        <v>14</v>
      </c>
      <c r="B5120" s="6" t="s">
        <v>88</v>
      </c>
      <c r="C5120" s="6"/>
      <c r="D5120" s="7" t="s">
        <v>16</v>
      </c>
      <c r="E5120" s="7"/>
      <c r="F5120" s="6" t="str">
        <f>"2D31.000179"</f>
        <v>2D31.000179</v>
      </c>
      <c r="G5120" s="6"/>
      <c r="H5120" s="3" t="s">
        <v>17</v>
      </c>
      <c r="I5120" s="6" t="s">
        <v>89</v>
      </c>
      <c r="J5120" s="6"/>
      <c r="K5120" s="3" t="s">
        <v>19</v>
      </c>
      <c r="L5120" s="5">
        <v>1</v>
      </c>
    </row>
    <row r="5121" spans="1:12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</row>
    <row r="5122" spans="1:12" ht="15" customHeight="1" x14ac:dyDescent="0.25">
      <c r="A5122" s="10" t="s">
        <v>20</v>
      </c>
      <c r="B5122" s="11"/>
      <c r="C5122" s="12"/>
      <c r="D5122" s="8" t="s">
        <v>21</v>
      </c>
      <c r="E5122" s="8" t="s">
        <v>22</v>
      </c>
      <c r="F5122" s="9" t="s">
        <v>23</v>
      </c>
      <c r="G5122" s="9" t="s">
        <v>24</v>
      </c>
      <c r="H5122" s="9" t="s">
        <v>25</v>
      </c>
      <c r="I5122" s="9" t="s">
        <v>26</v>
      </c>
      <c r="J5122" s="9" t="s">
        <v>27</v>
      </c>
      <c r="K5122" s="13" t="s">
        <v>28</v>
      </c>
      <c r="L5122" s="14"/>
    </row>
    <row r="5123" spans="1:12" ht="15" customHeight="1" x14ac:dyDescent="0.25">
      <c r="A5123" s="15" t="s">
        <v>29</v>
      </c>
      <c r="B5123" s="16"/>
      <c r="C5123" s="16"/>
      <c r="D5123" s="16"/>
      <c r="E5123" s="16"/>
      <c r="F5123" s="16"/>
      <c r="G5123" s="16"/>
      <c r="H5123" s="16"/>
      <c r="I5123" s="16"/>
      <c r="J5123" s="17"/>
      <c r="K5123" s="15">
        <v>0</v>
      </c>
      <c r="L5123" s="17"/>
    </row>
    <row r="5124" spans="1:12" x14ac:dyDescent="0.25">
      <c r="A5124" s="18"/>
      <c r="B5124" s="18"/>
      <c r="C5124" s="18"/>
      <c r="D5124" s="18"/>
      <c r="E5124" s="18"/>
      <c r="F5124" s="18"/>
      <c r="G5124" s="18"/>
      <c r="H5124" s="18"/>
      <c r="I5124" s="18"/>
      <c r="J5124" s="18"/>
      <c r="K5124" s="18"/>
      <c r="L5124" s="18"/>
    </row>
    <row r="5125" spans="1:12" ht="15" customHeight="1" x14ac:dyDescent="0.25">
      <c r="A5125" s="10" t="s">
        <v>30</v>
      </c>
      <c r="B5125" s="11"/>
      <c r="C5125" s="12"/>
      <c r="D5125" s="8" t="s">
        <v>21</v>
      </c>
      <c r="E5125" s="8" t="s">
        <v>22</v>
      </c>
      <c r="F5125" s="9" t="s">
        <v>31</v>
      </c>
      <c r="G5125" s="9" t="s">
        <v>32</v>
      </c>
      <c r="H5125" s="9" t="s">
        <v>33</v>
      </c>
      <c r="I5125" s="13" t="s">
        <v>34</v>
      </c>
      <c r="J5125" s="14"/>
      <c r="K5125" s="13" t="s">
        <v>28</v>
      </c>
      <c r="L5125" s="14"/>
    </row>
    <row r="5126" spans="1:12" ht="15" customHeight="1" x14ac:dyDescent="0.25">
      <c r="A5126" s="21" t="s">
        <v>281</v>
      </c>
      <c r="B5126" s="22"/>
      <c r="C5126" s="23"/>
      <c r="D5126" s="19" t="str">
        <f>"010101"</f>
        <v>010101</v>
      </c>
      <c r="E5126" s="19" t="s">
        <v>36</v>
      </c>
      <c r="F5126" s="20">
        <v>8.5299999999999994</v>
      </c>
      <c r="G5126" s="20">
        <v>157.27000000000001</v>
      </c>
      <c r="H5126" s="20">
        <v>21.94</v>
      </c>
      <c r="I5126" s="24">
        <v>1.5</v>
      </c>
      <c r="J5126" s="25"/>
      <c r="K5126" s="24">
        <v>32.909999999999997</v>
      </c>
      <c r="L5126" s="25"/>
    </row>
    <row r="5127" spans="1:12" ht="15" customHeight="1" x14ac:dyDescent="0.25">
      <c r="A5127" s="21" t="s">
        <v>336</v>
      </c>
      <c r="B5127" s="22"/>
      <c r="C5127" s="23"/>
      <c r="D5127" s="19" t="str">
        <f>"010115"</f>
        <v>010115</v>
      </c>
      <c r="E5127" s="19" t="s">
        <v>36</v>
      </c>
      <c r="F5127" s="20">
        <v>10.119999999999999</v>
      </c>
      <c r="G5127" s="20">
        <v>157.27000000000001</v>
      </c>
      <c r="H5127" s="20">
        <v>26.03</v>
      </c>
      <c r="I5127" s="24">
        <v>1.5</v>
      </c>
      <c r="J5127" s="25"/>
      <c r="K5127" s="24">
        <v>39.04</v>
      </c>
      <c r="L5127" s="25"/>
    </row>
    <row r="5128" spans="1:12" ht="15" customHeight="1" x14ac:dyDescent="0.25">
      <c r="A5128" s="15" t="s">
        <v>38</v>
      </c>
      <c r="B5128" s="16"/>
      <c r="C5128" s="16"/>
      <c r="D5128" s="16"/>
      <c r="E5128" s="16"/>
      <c r="F5128" s="16"/>
      <c r="G5128" s="16"/>
      <c r="H5128" s="16"/>
      <c r="I5128" s="16"/>
      <c r="J5128" s="17"/>
      <c r="K5128" s="15">
        <v>71.95</v>
      </c>
      <c r="L5128" s="17"/>
    </row>
    <row r="5129" spans="1:12" x14ac:dyDescent="0.25">
      <c r="A5129" s="18"/>
      <c r="B5129" s="18"/>
      <c r="C5129" s="18"/>
      <c r="D5129" s="18"/>
      <c r="E5129" s="18"/>
      <c r="F5129" s="18"/>
      <c r="G5129" s="18"/>
      <c r="H5129" s="18"/>
      <c r="I5129" s="18"/>
      <c r="J5129" s="18"/>
      <c r="K5129" s="18"/>
      <c r="L5129" s="18"/>
    </row>
    <row r="5130" spans="1:12" ht="15" customHeight="1" x14ac:dyDescent="0.25">
      <c r="A5130" s="10" t="s">
        <v>39</v>
      </c>
      <c r="B5130" s="11"/>
      <c r="C5130" s="12"/>
      <c r="D5130" s="8" t="s">
        <v>21</v>
      </c>
      <c r="E5130" s="13" t="s">
        <v>40</v>
      </c>
      <c r="F5130" s="14"/>
      <c r="G5130" s="8" t="s">
        <v>41</v>
      </c>
      <c r="H5130" s="8" t="s">
        <v>42</v>
      </c>
      <c r="I5130" s="8" t="s">
        <v>43</v>
      </c>
      <c r="J5130" s="13" t="s">
        <v>44</v>
      </c>
      <c r="K5130" s="26"/>
      <c r="L5130" s="14"/>
    </row>
    <row r="5131" spans="1:12" ht="15" customHeight="1" x14ac:dyDescent="0.25">
      <c r="A5131" s="15" t="s">
        <v>45</v>
      </c>
      <c r="B5131" s="16"/>
      <c r="C5131" s="16"/>
      <c r="D5131" s="16"/>
      <c r="E5131" s="16"/>
      <c r="F5131" s="16"/>
      <c r="G5131" s="16"/>
      <c r="H5131" s="16"/>
      <c r="I5131" s="16"/>
      <c r="J5131" s="17"/>
      <c r="K5131" s="15">
        <v>0</v>
      </c>
      <c r="L5131" s="17"/>
    </row>
    <row r="5132" spans="1:12" x14ac:dyDescent="0.25">
      <c r="A5132" s="18"/>
      <c r="B5132" s="18"/>
      <c r="C5132" s="18"/>
      <c r="D5132" s="18"/>
      <c r="E5132" s="18"/>
      <c r="F5132" s="18"/>
      <c r="G5132" s="18"/>
      <c r="H5132" s="18"/>
      <c r="I5132" s="18"/>
      <c r="J5132" s="18"/>
      <c r="K5132" s="18"/>
      <c r="L5132" s="18"/>
    </row>
    <row r="5133" spans="1:12" ht="15" customHeight="1" x14ac:dyDescent="0.25">
      <c r="A5133" s="27" t="s">
        <v>46</v>
      </c>
      <c r="B5133" s="27"/>
      <c r="C5133" s="27"/>
      <c r="D5133" s="27"/>
      <c r="E5133" s="27"/>
      <c r="F5133" s="27"/>
      <c r="G5133" s="27"/>
      <c r="H5133" s="27"/>
      <c r="I5133" s="27"/>
      <c r="J5133" s="27"/>
      <c r="K5133" s="27">
        <v>71.95</v>
      </c>
      <c r="L5133" s="27"/>
    </row>
    <row r="5134" spans="1:12" ht="15" customHeight="1" x14ac:dyDescent="0.25">
      <c r="A5134" s="27" t="s">
        <v>47</v>
      </c>
      <c r="B5134" s="27"/>
      <c r="C5134" s="27"/>
      <c r="D5134" s="27"/>
      <c r="E5134" s="27"/>
      <c r="F5134" s="27"/>
      <c r="G5134" s="27"/>
      <c r="H5134" s="27"/>
      <c r="I5134" s="27"/>
      <c r="J5134" s="27"/>
      <c r="K5134" s="27">
        <v>1</v>
      </c>
      <c r="L5134" s="27"/>
    </row>
    <row r="5135" spans="1:12" ht="15" customHeight="1" x14ac:dyDescent="0.25">
      <c r="A5135" s="27" t="s">
        <v>48</v>
      </c>
      <c r="B5135" s="27"/>
      <c r="C5135" s="27"/>
      <c r="D5135" s="27"/>
      <c r="E5135" s="27"/>
      <c r="F5135" s="27"/>
      <c r="G5135" s="27"/>
      <c r="H5135" s="27"/>
      <c r="I5135" s="27"/>
      <c r="J5135" s="27"/>
      <c r="K5135" s="27">
        <v>71.95</v>
      </c>
      <c r="L5135" s="27"/>
    </row>
    <row r="5136" spans="1:12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</row>
    <row r="5137" spans="1:12" ht="15" customHeight="1" x14ac:dyDescent="0.25">
      <c r="A5137" s="10" t="s">
        <v>49</v>
      </c>
      <c r="B5137" s="11"/>
      <c r="C5137" s="11"/>
      <c r="D5137" s="11"/>
      <c r="E5137" s="12"/>
      <c r="F5137" s="8" t="s">
        <v>21</v>
      </c>
      <c r="G5137" s="8" t="s">
        <v>22</v>
      </c>
      <c r="H5137" s="9" t="s">
        <v>44</v>
      </c>
      <c r="I5137" s="13" t="s">
        <v>34</v>
      </c>
      <c r="J5137" s="14"/>
      <c r="K5137" s="13" t="s">
        <v>50</v>
      </c>
      <c r="L5137" s="14"/>
    </row>
    <row r="5138" spans="1:12" ht="15" customHeight="1" x14ac:dyDescent="0.25">
      <c r="A5138" s="21" t="s">
        <v>337</v>
      </c>
      <c r="B5138" s="22"/>
      <c r="C5138" s="22"/>
      <c r="D5138" s="22"/>
      <c r="E5138" s="23"/>
      <c r="F5138" s="19" t="str">
        <f>"047735"</f>
        <v>047735</v>
      </c>
      <c r="G5138" s="19" t="s">
        <v>81</v>
      </c>
      <c r="H5138" s="34">
        <v>1662.48</v>
      </c>
      <c r="I5138" s="24">
        <v>1</v>
      </c>
      <c r="J5138" s="25"/>
      <c r="K5138" s="29">
        <v>1662.48</v>
      </c>
      <c r="L5138" s="30"/>
    </row>
    <row r="5139" spans="1:12" ht="15" customHeight="1" x14ac:dyDescent="0.25">
      <c r="A5139" s="15" t="s">
        <v>51</v>
      </c>
      <c r="B5139" s="16"/>
      <c r="C5139" s="16"/>
      <c r="D5139" s="16"/>
      <c r="E5139" s="16"/>
      <c r="F5139" s="16"/>
      <c r="G5139" s="16"/>
      <c r="H5139" s="16"/>
      <c r="I5139" s="16"/>
      <c r="J5139" s="17"/>
      <c r="K5139" s="31">
        <v>1662.48</v>
      </c>
      <c r="L5139" s="32"/>
    </row>
    <row r="5140" spans="1:12" x14ac:dyDescent="0.25">
      <c r="A5140" s="18"/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8"/>
    </row>
    <row r="5141" spans="1:12" ht="15" customHeight="1" x14ac:dyDescent="0.25">
      <c r="A5141" s="10" t="s">
        <v>52</v>
      </c>
      <c r="B5141" s="11"/>
      <c r="C5141" s="11"/>
      <c r="D5141" s="11"/>
      <c r="E5141" s="12"/>
      <c r="F5141" s="8" t="s">
        <v>21</v>
      </c>
      <c r="G5141" s="8" t="s">
        <v>22</v>
      </c>
      <c r="H5141" s="9" t="s">
        <v>44</v>
      </c>
      <c r="I5141" s="13" t="s">
        <v>34</v>
      </c>
      <c r="J5141" s="14"/>
      <c r="K5141" s="13" t="s">
        <v>50</v>
      </c>
      <c r="L5141" s="14"/>
    </row>
    <row r="5142" spans="1:12" ht="15" customHeight="1" x14ac:dyDescent="0.25">
      <c r="A5142" s="15" t="s">
        <v>53</v>
      </c>
      <c r="B5142" s="16"/>
      <c r="C5142" s="16"/>
      <c r="D5142" s="16"/>
      <c r="E5142" s="16"/>
      <c r="F5142" s="16"/>
      <c r="G5142" s="16"/>
      <c r="H5142" s="16"/>
      <c r="I5142" s="16"/>
      <c r="J5142" s="17"/>
      <c r="K5142" s="15">
        <v>0</v>
      </c>
      <c r="L5142" s="17"/>
    </row>
    <row r="5143" spans="1:12" x14ac:dyDescent="0.25">
      <c r="A5143" s="18"/>
      <c r="B5143" s="18"/>
      <c r="C5143" s="18"/>
      <c r="D5143" s="18"/>
      <c r="E5143" s="18"/>
      <c r="F5143" s="18"/>
      <c r="G5143" s="18"/>
      <c r="H5143" s="18"/>
      <c r="I5143" s="18"/>
      <c r="J5143" s="18"/>
      <c r="K5143" s="18"/>
      <c r="L5143" s="18"/>
    </row>
    <row r="5144" spans="1:12" ht="15" customHeight="1" x14ac:dyDescent="0.25">
      <c r="A5144" s="10" t="s">
        <v>54</v>
      </c>
      <c r="B5144" s="11"/>
      <c r="C5144" s="12"/>
      <c r="D5144" s="8" t="s">
        <v>21</v>
      </c>
      <c r="E5144" s="8" t="s">
        <v>22</v>
      </c>
      <c r="F5144" s="9" t="s">
        <v>55</v>
      </c>
      <c r="G5144" s="8" t="s">
        <v>56</v>
      </c>
      <c r="H5144" s="8" t="s">
        <v>57</v>
      </c>
      <c r="I5144" s="8" t="s">
        <v>58</v>
      </c>
      <c r="J5144" s="9" t="s">
        <v>59</v>
      </c>
      <c r="K5144" s="9" t="s">
        <v>34</v>
      </c>
      <c r="L5144" s="9" t="s">
        <v>50</v>
      </c>
    </row>
    <row r="5145" spans="1:12" ht="15" customHeight="1" x14ac:dyDescent="0.25">
      <c r="A5145" s="15" t="s">
        <v>60</v>
      </c>
      <c r="B5145" s="16"/>
      <c r="C5145" s="16"/>
      <c r="D5145" s="16"/>
      <c r="E5145" s="16"/>
      <c r="F5145" s="16"/>
      <c r="G5145" s="16"/>
      <c r="H5145" s="16"/>
      <c r="I5145" s="16"/>
      <c r="J5145" s="17"/>
      <c r="K5145" s="15">
        <v>0</v>
      </c>
      <c r="L5145" s="17"/>
    </row>
    <row r="5146" spans="1:12" x14ac:dyDescent="0.25">
      <c r="A5146" s="18"/>
      <c r="B5146" s="18"/>
      <c r="C5146" s="18"/>
      <c r="D5146" s="18"/>
      <c r="E5146" s="18"/>
      <c r="F5146" s="18"/>
      <c r="G5146" s="18"/>
      <c r="H5146" s="18"/>
      <c r="I5146" s="18"/>
      <c r="J5146" s="18"/>
      <c r="K5146" s="18"/>
      <c r="L5146" s="18"/>
    </row>
    <row r="5147" spans="1:12" ht="15" customHeight="1" x14ac:dyDescent="0.25">
      <c r="A5147" s="27" t="s">
        <v>61</v>
      </c>
      <c r="B5147" s="27"/>
      <c r="C5147" s="27"/>
      <c r="D5147" s="27"/>
      <c r="E5147" s="27"/>
      <c r="F5147" s="27"/>
      <c r="G5147" s="27"/>
      <c r="H5147" s="27"/>
      <c r="I5147" s="27"/>
      <c r="J5147" s="27"/>
      <c r="K5147" s="28">
        <v>1734.43</v>
      </c>
      <c r="L5147" s="28"/>
    </row>
    <row r="5148" spans="1:12" ht="15" customHeight="1" x14ac:dyDescent="0.25">
      <c r="A5148" s="27" t="s">
        <v>62</v>
      </c>
      <c r="B5148" s="27"/>
      <c r="C5148" s="27"/>
      <c r="D5148" s="27"/>
      <c r="E5148" s="27"/>
      <c r="F5148" s="27"/>
      <c r="G5148" s="27"/>
      <c r="H5148" s="27"/>
      <c r="I5148" s="27"/>
      <c r="J5148" s="27"/>
      <c r="K5148" s="27">
        <v>576.70000000000005</v>
      </c>
      <c r="L5148" s="27"/>
    </row>
    <row r="5149" spans="1:12" ht="15" customHeight="1" x14ac:dyDescent="0.25">
      <c r="A5149" s="27" t="s">
        <v>63</v>
      </c>
      <c r="B5149" s="27"/>
      <c r="C5149" s="27"/>
      <c r="D5149" s="27"/>
      <c r="E5149" s="27"/>
      <c r="F5149" s="27"/>
      <c r="G5149" s="27"/>
      <c r="H5149" s="27"/>
      <c r="I5149" s="27"/>
      <c r="J5149" s="27"/>
      <c r="K5149" s="28">
        <v>2311.13</v>
      </c>
      <c r="L5149" s="28"/>
    </row>
    <row r="5150" spans="1:12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</row>
  </sheetData>
  <mergeCells count="10000">
    <mergeCell ref="A5150:L5150"/>
    <mergeCell ref="A5146:L5146"/>
    <mergeCell ref="A5147:J5147"/>
    <mergeCell ref="K5147:L5147"/>
    <mergeCell ref="A5148:J5148"/>
    <mergeCell ref="K5148:L5148"/>
    <mergeCell ref="A5149:J5149"/>
    <mergeCell ref="K5149:L5149"/>
    <mergeCell ref="A5142:J5142"/>
    <mergeCell ref="K5142:L5142"/>
    <mergeCell ref="A5143:L5143"/>
    <mergeCell ref="A5144:C5144"/>
    <mergeCell ref="A5145:J5145"/>
    <mergeCell ref="K5145:L5145"/>
    <mergeCell ref="A5139:J5139"/>
    <mergeCell ref="K5139:L5139"/>
    <mergeCell ref="A5140:L5140"/>
    <mergeCell ref="A5141:E5141"/>
    <mergeCell ref="I5141:J5141"/>
    <mergeCell ref="K5141:L5141"/>
    <mergeCell ref="A5136:L5136"/>
    <mergeCell ref="A5137:E5137"/>
    <mergeCell ref="I5137:J5137"/>
    <mergeCell ref="K5137:L5137"/>
    <mergeCell ref="A5138:E5138"/>
    <mergeCell ref="I5138:J5138"/>
    <mergeCell ref="K5138:L5138"/>
    <mergeCell ref="A5133:J5133"/>
    <mergeCell ref="K5133:L5133"/>
    <mergeCell ref="A5134:J5134"/>
    <mergeCell ref="K5134:L5134"/>
    <mergeCell ref="A5135:J5135"/>
    <mergeCell ref="K5135:L5135"/>
    <mergeCell ref="A5130:C5130"/>
    <mergeCell ref="E5130:F5130"/>
    <mergeCell ref="J5130:L5130"/>
    <mergeCell ref="A5131:J5131"/>
    <mergeCell ref="K5131:L5131"/>
    <mergeCell ref="A5132:L5132"/>
    <mergeCell ref="A5127:C5127"/>
    <mergeCell ref="I5127:J5127"/>
    <mergeCell ref="K5127:L5127"/>
    <mergeCell ref="A5128:J5128"/>
    <mergeCell ref="K5128:L5128"/>
    <mergeCell ref="A5129:L5129"/>
    <mergeCell ref="A5125:C5125"/>
    <mergeCell ref="I5125:J5125"/>
    <mergeCell ref="K5125:L5125"/>
    <mergeCell ref="A5126:C5126"/>
    <mergeCell ref="I5126:J5126"/>
    <mergeCell ref="K5126:L5126"/>
    <mergeCell ref="A5121:L5121"/>
    <mergeCell ref="A5122:C5122"/>
    <mergeCell ref="K5122:L5122"/>
    <mergeCell ref="A5123:J5123"/>
    <mergeCell ref="K5123:L5123"/>
    <mergeCell ref="A5124:L5124"/>
    <mergeCell ref="A5117:L5117"/>
    <mergeCell ref="B5118:L5118"/>
    <mergeCell ref="B5119:J5119"/>
    <mergeCell ref="B5120:C5120"/>
    <mergeCell ref="D5120:E5120"/>
    <mergeCell ref="F5120:G5120"/>
    <mergeCell ref="I5120:J5120"/>
    <mergeCell ref="A5113:L5113"/>
    <mergeCell ref="A5114:J5114"/>
    <mergeCell ref="K5114:L5114"/>
    <mergeCell ref="A5115:J5115"/>
    <mergeCell ref="K5115:L5115"/>
    <mergeCell ref="A5116:J5116"/>
    <mergeCell ref="K5116:L5116"/>
    <mergeCell ref="A5109:J5109"/>
    <mergeCell ref="K5109:L5109"/>
    <mergeCell ref="A5110:L5110"/>
    <mergeCell ref="A5111:C5111"/>
    <mergeCell ref="A5112:J5112"/>
    <mergeCell ref="K5112:L5112"/>
    <mergeCell ref="A5106:J5106"/>
    <mergeCell ref="K5106:L5106"/>
    <mergeCell ref="A5107:L5107"/>
    <mergeCell ref="A5108:E5108"/>
    <mergeCell ref="I5108:J5108"/>
    <mergeCell ref="K5108:L5108"/>
    <mergeCell ref="A5104:E5104"/>
    <mergeCell ref="I5104:J5104"/>
    <mergeCell ref="K5104:L5104"/>
    <mergeCell ref="A5105:E5105"/>
    <mergeCell ref="I5105:J5105"/>
    <mergeCell ref="K5105:L5105"/>
    <mergeCell ref="A5101:J5101"/>
    <mergeCell ref="K5101:L5101"/>
    <mergeCell ref="A5102:L5102"/>
    <mergeCell ref="A5103:E5103"/>
    <mergeCell ref="I5103:J5103"/>
    <mergeCell ref="K5103:L5103"/>
    <mergeCell ref="A5097:J5097"/>
    <mergeCell ref="K5097:L5097"/>
    <mergeCell ref="A5098:L5098"/>
    <mergeCell ref="A5099:J5099"/>
    <mergeCell ref="K5099:L5099"/>
    <mergeCell ref="A5100:J5100"/>
    <mergeCell ref="K5100:L5100"/>
    <mergeCell ref="A5094:J5094"/>
    <mergeCell ref="K5094:L5094"/>
    <mergeCell ref="A5095:L5095"/>
    <mergeCell ref="A5096:C5096"/>
    <mergeCell ref="E5096:F5096"/>
    <mergeCell ref="J5096:L5096"/>
    <mergeCell ref="A5092:C5092"/>
    <mergeCell ref="I5092:J5092"/>
    <mergeCell ref="K5092:L5092"/>
    <mergeCell ref="A5093:C5093"/>
    <mergeCell ref="I5093:J5093"/>
    <mergeCell ref="K5093:L5093"/>
    <mergeCell ref="A5088:C5088"/>
    <mergeCell ref="K5088:L5088"/>
    <mergeCell ref="A5089:J5089"/>
    <mergeCell ref="K5089:L5089"/>
    <mergeCell ref="A5090:L5090"/>
    <mergeCell ref="A5091:C5091"/>
    <mergeCell ref="I5091:J5091"/>
    <mergeCell ref="K5091:L5091"/>
    <mergeCell ref="B5085:J5085"/>
    <mergeCell ref="B5086:C5086"/>
    <mergeCell ref="D5086:E5086"/>
    <mergeCell ref="F5086:G5086"/>
    <mergeCell ref="I5086:J5086"/>
    <mergeCell ref="A5087:L5087"/>
    <mergeCell ref="A5081:J5081"/>
    <mergeCell ref="K5081:L5081"/>
    <mergeCell ref="A5082:J5082"/>
    <mergeCell ref="K5082:L5082"/>
    <mergeCell ref="A5083:L5083"/>
    <mergeCell ref="B5084:L5084"/>
    <mergeCell ref="A5077:C5077"/>
    <mergeCell ref="A5078:J5078"/>
    <mergeCell ref="K5078:L5078"/>
    <mergeCell ref="A5079:L5079"/>
    <mergeCell ref="A5080:J5080"/>
    <mergeCell ref="K5080:L5080"/>
    <mergeCell ref="A5074:E5074"/>
    <mergeCell ref="I5074:J5074"/>
    <mergeCell ref="K5074:L5074"/>
    <mergeCell ref="A5075:J5075"/>
    <mergeCell ref="K5075:L5075"/>
    <mergeCell ref="A5076:L5076"/>
    <mergeCell ref="A5071:E5071"/>
    <mergeCell ref="I5071:J5071"/>
    <mergeCell ref="K5071:L5071"/>
    <mergeCell ref="A5072:J5072"/>
    <mergeCell ref="K5072:L5072"/>
    <mergeCell ref="A5073:L5073"/>
    <mergeCell ref="A5068:L5068"/>
    <mergeCell ref="A5069:E5069"/>
    <mergeCell ref="I5069:J5069"/>
    <mergeCell ref="K5069:L5069"/>
    <mergeCell ref="A5070:E5070"/>
    <mergeCell ref="I5070:J5070"/>
    <mergeCell ref="K5070:L5070"/>
    <mergeCell ref="A5065:J5065"/>
    <mergeCell ref="K5065:L5065"/>
    <mergeCell ref="A5066:J5066"/>
    <mergeCell ref="K5066:L5066"/>
    <mergeCell ref="A5067:J5067"/>
    <mergeCell ref="K5067:L5067"/>
    <mergeCell ref="A5062:C5062"/>
    <mergeCell ref="E5062:F5062"/>
    <mergeCell ref="J5062:L5062"/>
    <mergeCell ref="A5063:J5063"/>
    <mergeCell ref="K5063:L5063"/>
    <mergeCell ref="A5064:L5064"/>
    <mergeCell ref="A5059:C5059"/>
    <mergeCell ref="I5059:J5059"/>
    <mergeCell ref="K5059:L5059"/>
    <mergeCell ref="A5060:J5060"/>
    <mergeCell ref="K5060:L5060"/>
    <mergeCell ref="A5061:L5061"/>
    <mergeCell ref="A5057:C5057"/>
    <mergeCell ref="I5057:J5057"/>
    <mergeCell ref="K5057:L5057"/>
    <mergeCell ref="A5058:C5058"/>
    <mergeCell ref="I5058:J5058"/>
    <mergeCell ref="K5058:L5058"/>
    <mergeCell ref="A5053:L5053"/>
    <mergeCell ref="A5054:C5054"/>
    <mergeCell ref="K5054:L5054"/>
    <mergeCell ref="A5055:J5055"/>
    <mergeCell ref="K5055:L5055"/>
    <mergeCell ref="A5056:L5056"/>
    <mergeCell ref="A5049:L5049"/>
    <mergeCell ref="B5050:L5050"/>
    <mergeCell ref="B5051:J5051"/>
    <mergeCell ref="B5052:C5052"/>
    <mergeCell ref="D5052:E5052"/>
    <mergeCell ref="F5052:G5052"/>
    <mergeCell ref="I5052:J5052"/>
    <mergeCell ref="A5045:L5045"/>
    <mergeCell ref="A5046:J5046"/>
    <mergeCell ref="K5046:L5046"/>
    <mergeCell ref="A5047:J5047"/>
    <mergeCell ref="K5047:L5047"/>
    <mergeCell ref="A5048:J5048"/>
    <mergeCell ref="K5048:L5048"/>
    <mergeCell ref="A5041:J5041"/>
    <mergeCell ref="K5041:L5041"/>
    <mergeCell ref="A5042:L5042"/>
    <mergeCell ref="A5043:C5043"/>
    <mergeCell ref="A5044:J5044"/>
    <mergeCell ref="K5044:L5044"/>
    <mergeCell ref="A5038:J5038"/>
    <mergeCell ref="K5038:L5038"/>
    <mergeCell ref="A5039:L5039"/>
    <mergeCell ref="A5040:E5040"/>
    <mergeCell ref="I5040:J5040"/>
    <mergeCell ref="K5040:L5040"/>
    <mergeCell ref="A5036:E5036"/>
    <mergeCell ref="I5036:J5036"/>
    <mergeCell ref="K5036:L5036"/>
    <mergeCell ref="A5037:E5037"/>
    <mergeCell ref="I5037:J5037"/>
    <mergeCell ref="K5037:L5037"/>
    <mergeCell ref="A5033:J5033"/>
    <mergeCell ref="K5033:L5033"/>
    <mergeCell ref="A5034:L5034"/>
    <mergeCell ref="A5035:E5035"/>
    <mergeCell ref="I5035:J5035"/>
    <mergeCell ref="K5035:L5035"/>
    <mergeCell ref="A5029:J5029"/>
    <mergeCell ref="K5029:L5029"/>
    <mergeCell ref="A5030:L5030"/>
    <mergeCell ref="A5031:J5031"/>
    <mergeCell ref="K5031:L5031"/>
    <mergeCell ref="A5032:J5032"/>
    <mergeCell ref="K5032:L5032"/>
    <mergeCell ref="A5026:J5026"/>
    <mergeCell ref="K5026:L5026"/>
    <mergeCell ref="A5027:L5027"/>
    <mergeCell ref="A5028:C5028"/>
    <mergeCell ref="E5028:F5028"/>
    <mergeCell ref="J5028:L5028"/>
    <mergeCell ref="A5024:C5024"/>
    <mergeCell ref="I5024:J5024"/>
    <mergeCell ref="K5024:L5024"/>
    <mergeCell ref="A5025:C5025"/>
    <mergeCell ref="I5025:J5025"/>
    <mergeCell ref="K5025:L5025"/>
    <mergeCell ref="A5020:C5020"/>
    <mergeCell ref="K5020:L5020"/>
    <mergeCell ref="A5021:J5021"/>
    <mergeCell ref="K5021:L5021"/>
    <mergeCell ref="A5022:L5022"/>
    <mergeCell ref="A5023:C5023"/>
    <mergeCell ref="I5023:J5023"/>
    <mergeCell ref="K5023:L5023"/>
    <mergeCell ref="B5017:J5017"/>
    <mergeCell ref="B5018:C5018"/>
    <mergeCell ref="D5018:E5018"/>
    <mergeCell ref="F5018:G5018"/>
    <mergeCell ref="I5018:J5018"/>
    <mergeCell ref="A5019:L5019"/>
    <mergeCell ref="A5013:J5013"/>
    <mergeCell ref="K5013:L5013"/>
    <mergeCell ref="A5014:J5014"/>
    <mergeCell ref="K5014:L5014"/>
    <mergeCell ref="A5015:L5015"/>
    <mergeCell ref="B5016:L5016"/>
    <mergeCell ref="A5009:C5009"/>
    <mergeCell ref="A5010:J5010"/>
    <mergeCell ref="K5010:L5010"/>
    <mergeCell ref="A5011:L5011"/>
    <mergeCell ref="A5012:J5012"/>
    <mergeCell ref="K5012:L5012"/>
    <mergeCell ref="A5006:E5006"/>
    <mergeCell ref="I5006:J5006"/>
    <mergeCell ref="K5006:L5006"/>
    <mergeCell ref="A5007:J5007"/>
    <mergeCell ref="K5007:L5007"/>
    <mergeCell ref="A5008:L5008"/>
    <mergeCell ref="A5003:E5003"/>
    <mergeCell ref="I5003:J5003"/>
    <mergeCell ref="K5003:L5003"/>
    <mergeCell ref="A5004:J5004"/>
    <mergeCell ref="K5004:L5004"/>
    <mergeCell ref="A5005:L5005"/>
    <mergeCell ref="A5000:L5000"/>
    <mergeCell ref="A5001:E5001"/>
    <mergeCell ref="I5001:J5001"/>
    <mergeCell ref="K5001:L5001"/>
    <mergeCell ref="A5002:E5002"/>
    <mergeCell ref="I5002:J5002"/>
    <mergeCell ref="K5002:L5002"/>
    <mergeCell ref="A4997:J4997"/>
    <mergeCell ref="K4997:L4997"/>
    <mergeCell ref="A4998:J4998"/>
    <mergeCell ref="K4998:L4998"/>
    <mergeCell ref="A4999:J4999"/>
    <mergeCell ref="K4999:L4999"/>
    <mergeCell ref="A4994:C4994"/>
    <mergeCell ref="E4994:F4994"/>
    <mergeCell ref="J4994:L4994"/>
    <mergeCell ref="A4995:J4995"/>
    <mergeCell ref="K4995:L4995"/>
    <mergeCell ref="A4996:L4996"/>
    <mergeCell ref="A4991:C4991"/>
    <mergeCell ref="I4991:J4991"/>
    <mergeCell ref="K4991:L4991"/>
    <mergeCell ref="A4992:J4992"/>
    <mergeCell ref="K4992:L4992"/>
    <mergeCell ref="A4993:L4993"/>
    <mergeCell ref="A4989:C4989"/>
    <mergeCell ref="I4989:J4989"/>
    <mergeCell ref="K4989:L4989"/>
    <mergeCell ref="A4990:C4990"/>
    <mergeCell ref="I4990:J4990"/>
    <mergeCell ref="K4990:L4990"/>
    <mergeCell ref="A4985:L4985"/>
    <mergeCell ref="A4986:C4986"/>
    <mergeCell ref="K4986:L4986"/>
    <mergeCell ref="A4987:J4987"/>
    <mergeCell ref="K4987:L4987"/>
    <mergeCell ref="A4988:L4988"/>
    <mergeCell ref="A4981:L4981"/>
    <mergeCell ref="B4982:L4982"/>
    <mergeCell ref="B4983:J4983"/>
    <mergeCell ref="B4984:C4984"/>
    <mergeCell ref="D4984:E4984"/>
    <mergeCell ref="F4984:G4984"/>
    <mergeCell ref="I4984:J4984"/>
    <mergeCell ref="A4977:L4977"/>
    <mergeCell ref="A4978:J4978"/>
    <mergeCell ref="K4978:L4978"/>
    <mergeCell ref="A4979:J4979"/>
    <mergeCell ref="K4979:L4979"/>
    <mergeCell ref="A4980:J4980"/>
    <mergeCell ref="K4980:L4980"/>
    <mergeCell ref="A4973:J4973"/>
    <mergeCell ref="K4973:L4973"/>
    <mergeCell ref="A4974:L4974"/>
    <mergeCell ref="A4975:C4975"/>
    <mergeCell ref="A4976:J4976"/>
    <mergeCell ref="K4976:L4976"/>
    <mergeCell ref="A4970:J4970"/>
    <mergeCell ref="K4970:L4970"/>
    <mergeCell ref="A4971:L4971"/>
    <mergeCell ref="A4972:E4972"/>
    <mergeCell ref="I4972:J4972"/>
    <mergeCell ref="K4972:L4972"/>
    <mergeCell ref="A4968:E4968"/>
    <mergeCell ref="I4968:J4968"/>
    <mergeCell ref="K4968:L4968"/>
    <mergeCell ref="A4969:E4969"/>
    <mergeCell ref="I4969:J4969"/>
    <mergeCell ref="K4969:L4969"/>
    <mergeCell ref="A4965:J4965"/>
    <mergeCell ref="K4965:L4965"/>
    <mergeCell ref="A4966:L4966"/>
    <mergeCell ref="A4967:E4967"/>
    <mergeCell ref="I4967:J4967"/>
    <mergeCell ref="K4967:L4967"/>
    <mergeCell ref="A4961:J4961"/>
    <mergeCell ref="K4961:L4961"/>
    <mergeCell ref="A4962:L4962"/>
    <mergeCell ref="A4963:J4963"/>
    <mergeCell ref="K4963:L4963"/>
    <mergeCell ref="A4964:J4964"/>
    <mergeCell ref="K4964:L4964"/>
    <mergeCell ref="A4958:J4958"/>
    <mergeCell ref="K4958:L4958"/>
    <mergeCell ref="A4959:L4959"/>
    <mergeCell ref="A4960:C4960"/>
    <mergeCell ref="E4960:F4960"/>
    <mergeCell ref="J4960:L4960"/>
    <mergeCell ref="A4956:C4956"/>
    <mergeCell ref="I4956:J4956"/>
    <mergeCell ref="K4956:L4956"/>
    <mergeCell ref="A4957:C4957"/>
    <mergeCell ref="I4957:J4957"/>
    <mergeCell ref="K4957:L4957"/>
    <mergeCell ref="A4952:C4952"/>
    <mergeCell ref="K4952:L4952"/>
    <mergeCell ref="A4953:J4953"/>
    <mergeCell ref="K4953:L4953"/>
    <mergeCell ref="A4954:L4954"/>
    <mergeCell ref="A4955:C4955"/>
    <mergeCell ref="I4955:J4955"/>
    <mergeCell ref="K4955:L4955"/>
    <mergeCell ref="B4949:J4949"/>
    <mergeCell ref="B4950:C4950"/>
    <mergeCell ref="D4950:E4950"/>
    <mergeCell ref="F4950:G4950"/>
    <mergeCell ref="I4950:J4950"/>
    <mergeCell ref="A4951:L4951"/>
    <mergeCell ref="A4945:J4945"/>
    <mergeCell ref="K4945:L4945"/>
    <mergeCell ref="A4946:J4946"/>
    <mergeCell ref="K4946:L4946"/>
    <mergeCell ref="A4947:L4947"/>
    <mergeCell ref="B4948:L4948"/>
    <mergeCell ref="A4941:C4941"/>
    <mergeCell ref="A4942:J4942"/>
    <mergeCell ref="K4942:L4942"/>
    <mergeCell ref="A4943:L4943"/>
    <mergeCell ref="A4944:J4944"/>
    <mergeCell ref="K4944:L4944"/>
    <mergeCell ref="A4938:E4938"/>
    <mergeCell ref="I4938:J4938"/>
    <mergeCell ref="K4938:L4938"/>
    <mergeCell ref="A4939:J4939"/>
    <mergeCell ref="K4939:L4939"/>
    <mergeCell ref="A4940:L4940"/>
    <mergeCell ref="A4935:J4935"/>
    <mergeCell ref="K4935:L4935"/>
    <mergeCell ref="A4936:L4936"/>
    <mergeCell ref="A4937:E4937"/>
    <mergeCell ref="I4937:J4937"/>
    <mergeCell ref="K4937:L4937"/>
    <mergeCell ref="A4933:E4933"/>
    <mergeCell ref="I4933:J4933"/>
    <mergeCell ref="K4933:L4933"/>
    <mergeCell ref="A4934:E4934"/>
    <mergeCell ref="I4934:J4934"/>
    <mergeCell ref="K4934:L4934"/>
    <mergeCell ref="A4930:J4930"/>
    <mergeCell ref="K4930:L4930"/>
    <mergeCell ref="A4931:L4931"/>
    <mergeCell ref="A4932:E4932"/>
    <mergeCell ref="I4932:J4932"/>
    <mergeCell ref="K4932:L4932"/>
    <mergeCell ref="A4926:J4926"/>
    <mergeCell ref="K4926:L4926"/>
    <mergeCell ref="A4927:L4927"/>
    <mergeCell ref="A4928:J4928"/>
    <mergeCell ref="K4928:L4928"/>
    <mergeCell ref="A4929:J4929"/>
    <mergeCell ref="K4929:L4929"/>
    <mergeCell ref="A4923:J4923"/>
    <mergeCell ref="K4923:L4923"/>
    <mergeCell ref="A4924:L4924"/>
    <mergeCell ref="A4925:C4925"/>
    <mergeCell ref="E4925:F4925"/>
    <mergeCell ref="J4925:L4925"/>
    <mergeCell ref="A4919:C4919"/>
    <mergeCell ref="K4919:L4919"/>
    <mergeCell ref="A4920:J4920"/>
    <mergeCell ref="K4920:L4920"/>
    <mergeCell ref="A4921:L4921"/>
    <mergeCell ref="A4922:C4922"/>
    <mergeCell ref="I4922:J4922"/>
    <mergeCell ref="K4922:L4922"/>
    <mergeCell ref="B4916:J4916"/>
    <mergeCell ref="B4917:C4917"/>
    <mergeCell ref="D4917:E4917"/>
    <mergeCell ref="F4917:G4917"/>
    <mergeCell ref="I4917:J4917"/>
    <mergeCell ref="A4918:L4918"/>
    <mergeCell ref="A4912:J4912"/>
    <mergeCell ref="K4912:L4912"/>
    <mergeCell ref="A4913:J4913"/>
    <mergeCell ref="K4913:L4913"/>
    <mergeCell ref="A4914:L4914"/>
    <mergeCell ref="B4915:L4915"/>
    <mergeCell ref="A4908:C4908"/>
    <mergeCell ref="A4909:J4909"/>
    <mergeCell ref="K4909:L4909"/>
    <mergeCell ref="A4910:L4910"/>
    <mergeCell ref="A4911:J4911"/>
    <mergeCell ref="K4911:L4911"/>
    <mergeCell ref="A4905:E4905"/>
    <mergeCell ref="I4905:J4905"/>
    <mergeCell ref="K4905:L4905"/>
    <mergeCell ref="A4906:J4906"/>
    <mergeCell ref="K4906:L4906"/>
    <mergeCell ref="A4907:L4907"/>
    <mergeCell ref="A4902:J4902"/>
    <mergeCell ref="K4902:L4902"/>
    <mergeCell ref="A4903:L4903"/>
    <mergeCell ref="A4904:E4904"/>
    <mergeCell ref="I4904:J4904"/>
    <mergeCell ref="K4904:L4904"/>
    <mergeCell ref="A4900:E4900"/>
    <mergeCell ref="I4900:J4900"/>
    <mergeCell ref="K4900:L4900"/>
    <mergeCell ref="A4901:E4901"/>
    <mergeCell ref="I4901:J4901"/>
    <mergeCell ref="K4901:L4901"/>
    <mergeCell ref="A4897:J4897"/>
    <mergeCell ref="K4897:L4897"/>
    <mergeCell ref="A4898:L4898"/>
    <mergeCell ref="A4899:E4899"/>
    <mergeCell ref="I4899:J4899"/>
    <mergeCell ref="K4899:L4899"/>
    <mergeCell ref="A4893:J4893"/>
    <mergeCell ref="K4893:L4893"/>
    <mergeCell ref="A4894:L4894"/>
    <mergeCell ref="A4895:J4895"/>
    <mergeCell ref="K4895:L4895"/>
    <mergeCell ref="A4896:J4896"/>
    <mergeCell ref="K4896:L4896"/>
    <mergeCell ref="A4890:J4890"/>
    <mergeCell ref="K4890:L4890"/>
    <mergeCell ref="A4891:L4891"/>
    <mergeCell ref="A4892:C4892"/>
    <mergeCell ref="E4892:F4892"/>
    <mergeCell ref="J4892:L4892"/>
    <mergeCell ref="A4886:C4886"/>
    <mergeCell ref="K4886:L4886"/>
    <mergeCell ref="A4887:J4887"/>
    <mergeCell ref="K4887:L4887"/>
    <mergeCell ref="A4888:L4888"/>
    <mergeCell ref="A4889:C4889"/>
    <mergeCell ref="I4889:J4889"/>
    <mergeCell ref="K4889:L4889"/>
    <mergeCell ref="B4883:J4883"/>
    <mergeCell ref="B4884:C4884"/>
    <mergeCell ref="D4884:E4884"/>
    <mergeCell ref="F4884:G4884"/>
    <mergeCell ref="I4884:J4884"/>
    <mergeCell ref="A4885:L4885"/>
    <mergeCell ref="A4879:J4879"/>
    <mergeCell ref="K4879:L4879"/>
    <mergeCell ref="A4880:J4880"/>
    <mergeCell ref="K4880:L4880"/>
    <mergeCell ref="A4881:L4881"/>
    <mergeCell ref="B4882:L4882"/>
    <mergeCell ref="A4875:C4875"/>
    <mergeCell ref="A4876:J4876"/>
    <mergeCell ref="K4876:L4876"/>
    <mergeCell ref="A4877:L4877"/>
    <mergeCell ref="A4878:J4878"/>
    <mergeCell ref="K4878:L4878"/>
    <mergeCell ref="A4872:E4872"/>
    <mergeCell ref="I4872:J4872"/>
    <mergeCell ref="K4872:L4872"/>
    <mergeCell ref="A4873:J4873"/>
    <mergeCell ref="K4873:L4873"/>
    <mergeCell ref="A4874:L4874"/>
    <mergeCell ref="A4869:J4869"/>
    <mergeCell ref="K4869:L4869"/>
    <mergeCell ref="A4870:L4870"/>
    <mergeCell ref="A4871:E4871"/>
    <mergeCell ref="I4871:J4871"/>
    <mergeCell ref="K4871:L4871"/>
    <mergeCell ref="A4867:E4867"/>
    <mergeCell ref="I4867:J4867"/>
    <mergeCell ref="K4867:L4867"/>
    <mergeCell ref="A4868:E4868"/>
    <mergeCell ref="I4868:J4868"/>
    <mergeCell ref="K4868:L4868"/>
    <mergeCell ref="A4864:L4864"/>
    <mergeCell ref="A4865:E4865"/>
    <mergeCell ref="I4865:J4865"/>
    <mergeCell ref="K4865:L4865"/>
    <mergeCell ref="A4866:E4866"/>
    <mergeCell ref="I4866:J4866"/>
    <mergeCell ref="K4866:L4866"/>
    <mergeCell ref="A4861:J4861"/>
    <mergeCell ref="K4861:L4861"/>
    <mergeCell ref="A4862:J4862"/>
    <mergeCell ref="K4862:L4862"/>
    <mergeCell ref="A4863:J4863"/>
    <mergeCell ref="K4863:L4863"/>
    <mergeCell ref="A4858:C4858"/>
    <mergeCell ref="E4858:F4858"/>
    <mergeCell ref="J4858:L4858"/>
    <mergeCell ref="A4859:J4859"/>
    <mergeCell ref="K4859:L4859"/>
    <mergeCell ref="A4860:L4860"/>
    <mergeCell ref="A4855:C4855"/>
    <mergeCell ref="I4855:J4855"/>
    <mergeCell ref="K4855:L4855"/>
    <mergeCell ref="A4856:J4856"/>
    <mergeCell ref="K4856:L4856"/>
    <mergeCell ref="A4857:L4857"/>
    <mergeCell ref="A4851:L4851"/>
    <mergeCell ref="A4852:C4852"/>
    <mergeCell ref="K4852:L4852"/>
    <mergeCell ref="A4853:J4853"/>
    <mergeCell ref="K4853:L4853"/>
    <mergeCell ref="A4854:L4854"/>
    <mergeCell ref="A4847:L4847"/>
    <mergeCell ref="B4848:L4848"/>
    <mergeCell ref="B4849:J4849"/>
    <mergeCell ref="B4850:C4850"/>
    <mergeCell ref="D4850:E4850"/>
    <mergeCell ref="F4850:G4850"/>
    <mergeCell ref="I4850:J4850"/>
    <mergeCell ref="A4843:L4843"/>
    <mergeCell ref="A4844:J4844"/>
    <mergeCell ref="K4844:L4844"/>
    <mergeCell ref="A4845:J4845"/>
    <mergeCell ref="K4845:L4845"/>
    <mergeCell ref="A4846:J4846"/>
    <mergeCell ref="K4846:L4846"/>
    <mergeCell ref="A4839:J4839"/>
    <mergeCell ref="K4839:L4839"/>
    <mergeCell ref="A4840:L4840"/>
    <mergeCell ref="A4841:C4841"/>
    <mergeCell ref="A4842:J4842"/>
    <mergeCell ref="K4842:L4842"/>
    <mergeCell ref="A4837:E4837"/>
    <mergeCell ref="I4837:J4837"/>
    <mergeCell ref="K4837:L4837"/>
    <mergeCell ref="A4838:E4838"/>
    <mergeCell ref="I4838:J4838"/>
    <mergeCell ref="K4838:L4838"/>
    <mergeCell ref="A4834:E4834"/>
    <mergeCell ref="I4834:J4834"/>
    <mergeCell ref="K4834:L4834"/>
    <mergeCell ref="A4835:J4835"/>
    <mergeCell ref="K4835:L4835"/>
    <mergeCell ref="A4836:L4836"/>
    <mergeCell ref="A4831:L4831"/>
    <mergeCell ref="A4832:E4832"/>
    <mergeCell ref="I4832:J4832"/>
    <mergeCell ref="K4832:L4832"/>
    <mergeCell ref="A4833:E4833"/>
    <mergeCell ref="I4833:J4833"/>
    <mergeCell ref="K4833:L4833"/>
    <mergeCell ref="A4828:J4828"/>
    <mergeCell ref="K4828:L4828"/>
    <mergeCell ref="A4829:J4829"/>
    <mergeCell ref="K4829:L4829"/>
    <mergeCell ref="A4830:J4830"/>
    <mergeCell ref="K4830:L4830"/>
    <mergeCell ref="A4825:C4825"/>
    <mergeCell ref="E4825:F4825"/>
    <mergeCell ref="J4825:L4825"/>
    <mergeCell ref="A4826:J4826"/>
    <mergeCell ref="K4826:L4826"/>
    <mergeCell ref="A4827:L4827"/>
    <mergeCell ref="A4822:C4822"/>
    <mergeCell ref="I4822:J4822"/>
    <mergeCell ref="K4822:L4822"/>
    <mergeCell ref="A4823:J4823"/>
    <mergeCell ref="K4823:L4823"/>
    <mergeCell ref="A4824:L4824"/>
    <mergeCell ref="A4818:L4818"/>
    <mergeCell ref="A4819:C4819"/>
    <mergeCell ref="K4819:L4819"/>
    <mergeCell ref="A4820:J4820"/>
    <mergeCell ref="K4820:L4820"/>
    <mergeCell ref="A4821:L4821"/>
    <mergeCell ref="A4814:L4814"/>
    <mergeCell ref="B4815:L4815"/>
    <mergeCell ref="B4816:J4816"/>
    <mergeCell ref="B4817:C4817"/>
    <mergeCell ref="D4817:E4817"/>
    <mergeCell ref="F4817:G4817"/>
    <mergeCell ref="I4817:J4817"/>
    <mergeCell ref="A4810:L4810"/>
    <mergeCell ref="A4811:J4811"/>
    <mergeCell ref="K4811:L4811"/>
    <mergeCell ref="A4812:J4812"/>
    <mergeCell ref="K4812:L4812"/>
    <mergeCell ref="A4813:J4813"/>
    <mergeCell ref="K4813:L4813"/>
    <mergeCell ref="A4806:J4806"/>
    <mergeCell ref="K4806:L4806"/>
    <mergeCell ref="A4807:L4807"/>
    <mergeCell ref="A4808:C4808"/>
    <mergeCell ref="A4809:J4809"/>
    <mergeCell ref="K4809:L4809"/>
    <mergeCell ref="A4803:J4803"/>
    <mergeCell ref="K4803:L4803"/>
    <mergeCell ref="A4804:L4804"/>
    <mergeCell ref="A4805:E4805"/>
    <mergeCell ref="I4805:J4805"/>
    <mergeCell ref="K4805:L4805"/>
    <mergeCell ref="A4800:L4800"/>
    <mergeCell ref="A4801:E4801"/>
    <mergeCell ref="I4801:J4801"/>
    <mergeCell ref="K4801:L4801"/>
    <mergeCell ref="A4802:E4802"/>
    <mergeCell ref="I4802:J4802"/>
    <mergeCell ref="K4802:L4802"/>
    <mergeCell ref="A4797:J4797"/>
    <mergeCell ref="K4797:L4797"/>
    <mergeCell ref="A4798:J4798"/>
    <mergeCell ref="K4798:L4798"/>
    <mergeCell ref="A4799:J4799"/>
    <mergeCell ref="K4799:L4799"/>
    <mergeCell ref="A4794:C4794"/>
    <mergeCell ref="E4794:F4794"/>
    <mergeCell ref="J4794:L4794"/>
    <mergeCell ref="A4795:J4795"/>
    <mergeCell ref="K4795:L4795"/>
    <mergeCell ref="A4796:L4796"/>
    <mergeCell ref="A4791:C4791"/>
    <mergeCell ref="I4791:J4791"/>
    <mergeCell ref="K4791:L4791"/>
    <mergeCell ref="A4792:J4792"/>
    <mergeCell ref="K4792:L4792"/>
    <mergeCell ref="A4793:L4793"/>
    <mergeCell ref="A4789:C4789"/>
    <mergeCell ref="I4789:J4789"/>
    <mergeCell ref="K4789:L4789"/>
    <mergeCell ref="A4790:C4790"/>
    <mergeCell ref="I4790:J4790"/>
    <mergeCell ref="K4790:L4790"/>
    <mergeCell ref="A4785:L4785"/>
    <mergeCell ref="A4786:C4786"/>
    <mergeCell ref="K4786:L4786"/>
    <mergeCell ref="A4787:J4787"/>
    <mergeCell ref="K4787:L4787"/>
    <mergeCell ref="A4788:L4788"/>
    <mergeCell ref="A4781:L4781"/>
    <mergeCell ref="B4782:L4782"/>
    <mergeCell ref="B4783:J4783"/>
    <mergeCell ref="B4784:C4784"/>
    <mergeCell ref="D4784:E4784"/>
    <mergeCell ref="F4784:G4784"/>
    <mergeCell ref="I4784:J4784"/>
    <mergeCell ref="A4777:L4777"/>
    <mergeCell ref="A4778:J4778"/>
    <mergeCell ref="K4778:L4778"/>
    <mergeCell ref="A4779:J4779"/>
    <mergeCell ref="K4779:L4779"/>
    <mergeCell ref="A4780:J4780"/>
    <mergeCell ref="K4780:L4780"/>
    <mergeCell ref="A4773:J4773"/>
    <mergeCell ref="K4773:L4773"/>
    <mergeCell ref="A4774:L4774"/>
    <mergeCell ref="A4775:C4775"/>
    <mergeCell ref="A4776:J4776"/>
    <mergeCell ref="K4776:L4776"/>
    <mergeCell ref="A4771:E4771"/>
    <mergeCell ref="I4771:J4771"/>
    <mergeCell ref="K4771:L4771"/>
    <mergeCell ref="A4772:E4772"/>
    <mergeCell ref="I4772:J4772"/>
    <mergeCell ref="K4772:L4772"/>
    <mergeCell ref="A4768:E4768"/>
    <mergeCell ref="I4768:J4768"/>
    <mergeCell ref="K4768:L4768"/>
    <mergeCell ref="A4769:J4769"/>
    <mergeCell ref="K4769:L4769"/>
    <mergeCell ref="A4770:L4770"/>
    <mergeCell ref="A4765:J4765"/>
    <mergeCell ref="K4765:L4765"/>
    <mergeCell ref="A4766:L4766"/>
    <mergeCell ref="A4767:E4767"/>
    <mergeCell ref="I4767:J4767"/>
    <mergeCell ref="K4767:L4767"/>
    <mergeCell ref="A4761:J4761"/>
    <mergeCell ref="K4761:L4761"/>
    <mergeCell ref="A4762:L4762"/>
    <mergeCell ref="A4763:J4763"/>
    <mergeCell ref="K4763:L4763"/>
    <mergeCell ref="A4764:J4764"/>
    <mergeCell ref="K4764:L4764"/>
    <mergeCell ref="A4758:J4758"/>
    <mergeCell ref="K4758:L4758"/>
    <mergeCell ref="A4759:L4759"/>
    <mergeCell ref="A4760:C4760"/>
    <mergeCell ref="E4760:F4760"/>
    <mergeCell ref="J4760:L4760"/>
    <mergeCell ref="A4754:C4754"/>
    <mergeCell ref="K4754:L4754"/>
    <mergeCell ref="A4755:J4755"/>
    <mergeCell ref="K4755:L4755"/>
    <mergeCell ref="A4756:L4756"/>
    <mergeCell ref="A4757:C4757"/>
    <mergeCell ref="I4757:J4757"/>
    <mergeCell ref="K4757:L4757"/>
    <mergeCell ref="B4751:J4751"/>
    <mergeCell ref="B4752:C4752"/>
    <mergeCell ref="D4752:E4752"/>
    <mergeCell ref="F4752:G4752"/>
    <mergeCell ref="I4752:J4752"/>
    <mergeCell ref="A4753:L4753"/>
    <mergeCell ref="A4747:J4747"/>
    <mergeCell ref="K4747:L4747"/>
    <mergeCell ref="A4748:J4748"/>
    <mergeCell ref="K4748:L4748"/>
    <mergeCell ref="A4749:L4749"/>
    <mergeCell ref="B4750:L4750"/>
    <mergeCell ref="A4743:C4743"/>
    <mergeCell ref="A4744:J4744"/>
    <mergeCell ref="K4744:L4744"/>
    <mergeCell ref="A4745:L4745"/>
    <mergeCell ref="A4746:J4746"/>
    <mergeCell ref="K4746:L4746"/>
    <mergeCell ref="A4740:E4740"/>
    <mergeCell ref="I4740:J4740"/>
    <mergeCell ref="K4740:L4740"/>
    <mergeCell ref="A4741:J4741"/>
    <mergeCell ref="K4741:L4741"/>
    <mergeCell ref="A4742:L4742"/>
    <mergeCell ref="A4737:J4737"/>
    <mergeCell ref="K4737:L4737"/>
    <mergeCell ref="A4738:L4738"/>
    <mergeCell ref="A4739:E4739"/>
    <mergeCell ref="I4739:J4739"/>
    <mergeCell ref="K4739:L4739"/>
    <mergeCell ref="A4734:L4734"/>
    <mergeCell ref="A4735:E4735"/>
    <mergeCell ref="I4735:J4735"/>
    <mergeCell ref="K4735:L4735"/>
    <mergeCell ref="A4736:E4736"/>
    <mergeCell ref="I4736:J4736"/>
    <mergeCell ref="K4736:L4736"/>
    <mergeCell ref="A4731:J4731"/>
    <mergeCell ref="K4731:L4731"/>
    <mergeCell ref="A4732:J4732"/>
    <mergeCell ref="K4732:L4732"/>
    <mergeCell ref="A4733:J4733"/>
    <mergeCell ref="K4733:L4733"/>
    <mergeCell ref="A4728:C4728"/>
    <mergeCell ref="E4728:F4728"/>
    <mergeCell ref="J4728:L4728"/>
    <mergeCell ref="A4729:J4729"/>
    <mergeCell ref="K4729:L4729"/>
    <mergeCell ref="A4730:L4730"/>
    <mergeCell ref="A4725:C4725"/>
    <mergeCell ref="I4725:J4725"/>
    <mergeCell ref="K4725:L4725"/>
    <mergeCell ref="A4726:J4726"/>
    <mergeCell ref="K4726:L4726"/>
    <mergeCell ref="A4727:L4727"/>
    <mergeCell ref="A4721:L4721"/>
    <mergeCell ref="A4722:C4722"/>
    <mergeCell ref="K4722:L4722"/>
    <mergeCell ref="A4723:J4723"/>
    <mergeCell ref="K4723:L4723"/>
    <mergeCell ref="A4724:L4724"/>
    <mergeCell ref="A4717:L4717"/>
    <mergeCell ref="B4718:L4718"/>
    <mergeCell ref="B4719:J4719"/>
    <mergeCell ref="B4720:C4720"/>
    <mergeCell ref="D4720:E4720"/>
    <mergeCell ref="F4720:G4720"/>
    <mergeCell ref="I4720:J4720"/>
    <mergeCell ref="A4713:L4713"/>
    <mergeCell ref="A4714:J4714"/>
    <mergeCell ref="K4714:L4714"/>
    <mergeCell ref="A4715:J4715"/>
    <mergeCell ref="K4715:L4715"/>
    <mergeCell ref="A4716:J4716"/>
    <mergeCell ref="K4716:L4716"/>
    <mergeCell ref="A4709:J4709"/>
    <mergeCell ref="K4709:L4709"/>
    <mergeCell ref="A4710:L4710"/>
    <mergeCell ref="A4711:C4711"/>
    <mergeCell ref="A4712:J4712"/>
    <mergeCell ref="K4712:L4712"/>
    <mergeCell ref="A4707:E4707"/>
    <mergeCell ref="I4707:J4707"/>
    <mergeCell ref="K4707:L4707"/>
    <mergeCell ref="A4708:E4708"/>
    <mergeCell ref="I4708:J4708"/>
    <mergeCell ref="K4708:L4708"/>
    <mergeCell ref="A4704:E4704"/>
    <mergeCell ref="I4704:J4704"/>
    <mergeCell ref="K4704:L4704"/>
    <mergeCell ref="A4705:J4705"/>
    <mergeCell ref="K4705:L4705"/>
    <mergeCell ref="A4706:L4706"/>
    <mergeCell ref="A4701:J4701"/>
    <mergeCell ref="K4701:L4701"/>
    <mergeCell ref="A4702:L4702"/>
    <mergeCell ref="A4703:E4703"/>
    <mergeCell ref="I4703:J4703"/>
    <mergeCell ref="K4703:L4703"/>
    <mergeCell ref="A4697:J4697"/>
    <mergeCell ref="K4697:L4697"/>
    <mergeCell ref="A4698:L4698"/>
    <mergeCell ref="A4699:J4699"/>
    <mergeCell ref="K4699:L4699"/>
    <mergeCell ref="A4700:J4700"/>
    <mergeCell ref="K4700:L4700"/>
    <mergeCell ref="A4694:J4694"/>
    <mergeCell ref="K4694:L4694"/>
    <mergeCell ref="A4695:L4695"/>
    <mergeCell ref="A4696:C4696"/>
    <mergeCell ref="E4696:F4696"/>
    <mergeCell ref="J4696:L4696"/>
    <mergeCell ref="A4690:C4690"/>
    <mergeCell ref="K4690:L4690"/>
    <mergeCell ref="A4691:J4691"/>
    <mergeCell ref="K4691:L4691"/>
    <mergeCell ref="A4692:L4692"/>
    <mergeCell ref="A4693:C4693"/>
    <mergeCell ref="I4693:J4693"/>
    <mergeCell ref="K4693:L4693"/>
    <mergeCell ref="B4687:J4687"/>
    <mergeCell ref="B4688:C4688"/>
    <mergeCell ref="D4688:E4688"/>
    <mergeCell ref="F4688:G4688"/>
    <mergeCell ref="I4688:J4688"/>
    <mergeCell ref="A4689:L4689"/>
    <mergeCell ref="A4683:J4683"/>
    <mergeCell ref="K4683:L4683"/>
    <mergeCell ref="A4684:J4684"/>
    <mergeCell ref="K4684:L4684"/>
    <mergeCell ref="A4685:L4685"/>
    <mergeCell ref="B4686:L4686"/>
    <mergeCell ref="A4679:C4679"/>
    <mergeCell ref="A4680:J4680"/>
    <mergeCell ref="K4680:L4680"/>
    <mergeCell ref="A4681:L4681"/>
    <mergeCell ref="A4682:J4682"/>
    <mergeCell ref="K4682:L4682"/>
    <mergeCell ref="A4676:E4676"/>
    <mergeCell ref="I4676:J4676"/>
    <mergeCell ref="K4676:L4676"/>
    <mergeCell ref="A4677:J4677"/>
    <mergeCell ref="K4677:L4677"/>
    <mergeCell ref="A4678:L4678"/>
    <mergeCell ref="A4673:J4673"/>
    <mergeCell ref="K4673:L4673"/>
    <mergeCell ref="A4674:L4674"/>
    <mergeCell ref="A4675:E4675"/>
    <mergeCell ref="I4675:J4675"/>
    <mergeCell ref="K4675:L4675"/>
    <mergeCell ref="A4670:L4670"/>
    <mergeCell ref="A4671:E4671"/>
    <mergeCell ref="I4671:J4671"/>
    <mergeCell ref="K4671:L4671"/>
    <mergeCell ref="A4672:E4672"/>
    <mergeCell ref="I4672:J4672"/>
    <mergeCell ref="K4672:L4672"/>
    <mergeCell ref="A4667:J4667"/>
    <mergeCell ref="K4667:L4667"/>
    <mergeCell ref="A4668:J4668"/>
    <mergeCell ref="K4668:L4668"/>
    <mergeCell ref="A4669:J4669"/>
    <mergeCell ref="K4669:L4669"/>
    <mergeCell ref="A4664:C4664"/>
    <mergeCell ref="E4664:F4664"/>
    <mergeCell ref="J4664:L4664"/>
    <mergeCell ref="A4665:J4665"/>
    <mergeCell ref="K4665:L4665"/>
    <mergeCell ref="A4666:L4666"/>
    <mergeCell ref="A4661:C4661"/>
    <mergeCell ref="I4661:J4661"/>
    <mergeCell ref="K4661:L4661"/>
    <mergeCell ref="A4662:J4662"/>
    <mergeCell ref="K4662:L4662"/>
    <mergeCell ref="A4663:L4663"/>
    <mergeCell ref="A4657:L4657"/>
    <mergeCell ref="A4658:C4658"/>
    <mergeCell ref="K4658:L4658"/>
    <mergeCell ref="A4659:J4659"/>
    <mergeCell ref="K4659:L4659"/>
    <mergeCell ref="A4660:L4660"/>
    <mergeCell ref="A4653:L4653"/>
    <mergeCell ref="B4654:L4654"/>
    <mergeCell ref="B4655:J4655"/>
    <mergeCell ref="B4656:C4656"/>
    <mergeCell ref="D4656:E4656"/>
    <mergeCell ref="F4656:G4656"/>
    <mergeCell ref="I4656:J4656"/>
    <mergeCell ref="A4649:L4649"/>
    <mergeCell ref="A4650:J4650"/>
    <mergeCell ref="K4650:L4650"/>
    <mergeCell ref="A4651:J4651"/>
    <mergeCell ref="K4651:L4651"/>
    <mergeCell ref="A4652:J4652"/>
    <mergeCell ref="K4652:L4652"/>
    <mergeCell ref="A4645:J4645"/>
    <mergeCell ref="K4645:L4645"/>
    <mergeCell ref="A4646:L4646"/>
    <mergeCell ref="A4647:C4647"/>
    <mergeCell ref="A4648:J4648"/>
    <mergeCell ref="K4648:L4648"/>
    <mergeCell ref="A4643:E4643"/>
    <mergeCell ref="I4643:J4643"/>
    <mergeCell ref="K4643:L4643"/>
    <mergeCell ref="A4644:E4644"/>
    <mergeCell ref="I4644:J4644"/>
    <mergeCell ref="K4644:L4644"/>
    <mergeCell ref="A4640:E4640"/>
    <mergeCell ref="I4640:J4640"/>
    <mergeCell ref="K4640:L4640"/>
    <mergeCell ref="A4641:J4641"/>
    <mergeCell ref="K4641:L4641"/>
    <mergeCell ref="A4642:L4642"/>
    <mergeCell ref="A4637:J4637"/>
    <mergeCell ref="K4637:L4637"/>
    <mergeCell ref="A4638:L4638"/>
    <mergeCell ref="A4639:E4639"/>
    <mergeCell ref="I4639:J4639"/>
    <mergeCell ref="K4639:L4639"/>
    <mergeCell ref="A4633:J4633"/>
    <mergeCell ref="K4633:L4633"/>
    <mergeCell ref="A4634:L4634"/>
    <mergeCell ref="A4635:J4635"/>
    <mergeCell ref="K4635:L4635"/>
    <mergeCell ref="A4636:J4636"/>
    <mergeCell ref="K4636:L4636"/>
    <mergeCell ref="A4630:J4630"/>
    <mergeCell ref="K4630:L4630"/>
    <mergeCell ref="A4631:L4631"/>
    <mergeCell ref="A4632:C4632"/>
    <mergeCell ref="E4632:F4632"/>
    <mergeCell ref="J4632:L4632"/>
    <mergeCell ref="A4626:C4626"/>
    <mergeCell ref="K4626:L4626"/>
    <mergeCell ref="A4627:J4627"/>
    <mergeCell ref="K4627:L4627"/>
    <mergeCell ref="A4628:L4628"/>
    <mergeCell ref="A4629:C4629"/>
    <mergeCell ref="I4629:J4629"/>
    <mergeCell ref="K4629:L4629"/>
    <mergeCell ref="B4623:J4623"/>
    <mergeCell ref="B4624:C4624"/>
    <mergeCell ref="D4624:E4624"/>
    <mergeCell ref="F4624:G4624"/>
    <mergeCell ref="I4624:J4624"/>
    <mergeCell ref="A4625:L4625"/>
    <mergeCell ref="A4619:J4619"/>
    <mergeCell ref="K4619:L4619"/>
    <mergeCell ref="A4620:J4620"/>
    <mergeCell ref="K4620:L4620"/>
    <mergeCell ref="A4621:L4621"/>
    <mergeCell ref="B4622:L4622"/>
    <mergeCell ref="A4615:C4615"/>
    <mergeCell ref="A4616:J4616"/>
    <mergeCell ref="K4616:L4616"/>
    <mergeCell ref="A4617:L4617"/>
    <mergeCell ref="A4618:J4618"/>
    <mergeCell ref="K4618:L4618"/>
    <mergeCell ref="A4612:E4612"/>
    <mergeCell ref="I4612:J4612"/>
    <mergeCell ref="K4612:L4612"/>
    <mergeCell ref="A4613:J4613"/>
    <mergeCell ref="K4613:L4613"/>
    <mergeCell ref="A4614:L4614"/>
    <mergeCell ref="A4609:J4609"/>
    <mergeCell ref="K4609:L4609"/>
    <mergeCell ref="A4610:L4610"/>
    <mergeCell ref="A4611:E4611"/>
    <mergeCell ref="I4611:J4611"/>
    <mergeCell ref="K4611:L4611"/>
    <mergeCell ref="A4606:L4606"/>
    <mergeCell ref="A4607:E4607"/>
    <mergeCell ref="I4607:J4607"/>
    <mergeCell ref="K4607:L4607"/>
    <mergeCell ref="A4608:E4608"/>
    <mergeCell ref="I4608:J4608"/>
    <mergeCell ref="K4608:L4608"/>
    <mergeCell ref="A4603:J4603"/>
    <mergeCell ref="K4603:L4603"/>
    <mergeCell ref="A4604:J4604"/>
    <mergeCell ref="K4604:L4604"/>
    <mergeCell ref="A4605:J4605"/>
    <mergeCell ref="K4605:L4605"/>
    <mergeCell ref="A4600:C4600"/>
    <mergeCell ref="E4600:F4600"/>
    <mergeCell ref="J4600:L4600"/>
    <mergeCell ref="A4601:J4601"/>
    <mergeCell ref="K4601:L4601"/>
    <mergeCell ref="A4602:L4602"/>
    <mergeCell ref="A4597:C4597"/>
    <mergeCell ref="I4597:J4597"/>
    <mergeCell ref="K4597:L4597"/>
    <mergeCell ref="A4598:J4598"/>
    <mergeCell ref="K4598:L4598"/>
    <mergeCell ref="A4599:L4599"/>
    <mergeCell ref="A4593:L4593"/>
    <mergeCell ref="A4594:C4594"/>
    <mergeCell ref="K4594:L4594"/>
    <mergeCell ref="A4595:J4595"/>
    <mergeCell ref="K4595:L4595"/>
    <mergeCell ref="A4596:L4596"/>
    <mergeCell ref="A4589:L4589"/>
    <mergeCell ref="B4590:L4590"/>
    <mergeCell ref="B4591:J4591"/>
    <mergeCell ref="B4592:C4592"/>
    <mergeCell ref="D4592:E4592"/>
    <mergeCell ref="F4592:G4592"/>
    <mergeCell ref="I4592:J4592"/>
    <mergeCell ref="A4585:L4585"/>
    <mergeCell ref="A4586:J4586"/>
    <mergeCell ref="K4586:L4586"/>
    <mergeCell ref="A4587:J4587"/>
    <mergeCell ref="K4587:L4587"/>
    <mergeCell ref="A4588:J4588"/>
    <mergeCell ref="K4588:L4588"/>
    <mergeCell ref="A4581:J4581"/>
    <mergeCell ref="K4581:L4581"/>
    <mergeCell ref="A4582:L4582"/>
    <mergeCell ref="A4583:C4583"/>
    <mergeCell ref="A4584:J4584"/>
    <mergeCell ref="K4584:L4584"/>
    <mergeCell ref="A4579:E4579"/>
    <mergeCell ref="I4579:J4579"/>
    <mergeCell ref="K4579:L4579"/>
    <mergeCell ref="A4580:E4580"/>
    <mergeCell ref="I4580:J4580"/>
    <mergeCell ref="K4580:L4580"/>
    <mergeCell ref="A4576:E4576"/>
    <mergeCell ref="I4576:J4576"/>
    <mergeCell ref="K4576:L4576"/>
    <mergeCell ref="A4577:J4577"/>
    <mergeCell ref="K4577:L4577"/>
    <mergeCell ref="A4578:L4578"/>
    <mergeCell ref="A4573:J4573"/>
    <mergeCell ref="K4573:L4573"/>
    <mergeCell ref="A4574:L4574"/>
    <mergeCell ref="A4575:E4575"/>
    <mergeCell ref="I4575:J4575"/>
    <mergeCell ref="K4575:L4575"/>
    <mergeCell ref="A4569:J4569"/>
    <mergeCell ref="K4569:L4569"/>
    <mergeCell ref="A4570:L4570"/>
    <mergeCell ref="A4571:J4571"/>
    <mergeCell ref="K4571:L4571"/>
    <mergeCell ref="A4572:J4572"/>
    <mergeCell ref="K4572:L4572"/>
    <mergeCell ref="A4566:J4566"/>
    <mergeCell ref="K4566:L4566"/>
    <mergeCell ref="A4567:L4567"/>
    <mergeCell ref="A4568:C4568"/>
    <mergeCell ref="E4568:F4568"/>
    <mergeCell ref="J4568:L4568"/>
    <mergeCell ref="A4562:C4562"/>
    <mergeCell ref="K4562:L4562"/>
    <mergeCell ref="A4563:J4563"/>
    <mergeCell ref="K4563:L4563"/>
    <mergeCell ref="A4564:L4564"/>
    <mergeCell ref="A4565:C4565"/>
    <mergeCell ref="I4565:J4565"/>
    <mergeCell ref="K4565:L4565"/>
    <mergeCell ref="B4559:J4559"/>
    <mergeCell ref="B4560:C4560"/>
    <mergeCell ref="D4560:E4560"/>
    <mergeCell ref="F4560:G4560"/>
    <mergeCell ref="I4560:J4560"/>
    <mergeCell ref="A4561:L4561"/>
    <mergeCell ref="A4555:J4555"/>
    <mergeCell ref="K4555:L4555"/>
    <mergeCell ref="A4556:J4556"/>
    <mergeCell ref="K4556:L4556"/>
    <mergeCell ref="A4557:L4557"/>
    <mergeCell ref="B4558:L4558"/>
    <mergeCell ref="A4551:C4551"/>
    <mergeCell ref="A4552:J4552"/>
    <mergeCell ref="K4552:L4552"/>
    <mergeCell ref="A4553:L4553"/>
    <mergeCell ref="A4554:J4554"/>
    <mergeCell ref="K4554:L4554"/>
    <mergeCell ref="A4548:E4548"/>
    <mergeCell ref="I4548:J4548"/>
    <mergeCell ref="K4548:L4548"/>
    <mergeCell ref="A4549:J4549"/>
    <mergeCell ref="K4549:L4549"/>
    <mergeCell ref="A4550:L4550"/>
    <mergeCell ref="A4545:E4545"/>
    <mergeCell ref="I4545:J4545"/>
    <mergeCell ref="K4545:L4545"/>
    <mergeCell ref="A4546:J4546"/>
    <mergeCell ref="K4546:L4546"/>
    <mergeCell ref="A4547:L4547"/>
    <mergeCell ref="A4542:J4542"/>
    <mergeCell ref="K4542:L4542"/>
    <mergeCell ref="A4543:L4543"/>
    <mergeCell ref="A4544:E4544"/>
    <mergeCell ref="I4544:J4544"/>
    <mergeCell ref="K4544:L4544"/>
    <mergeCell ref="A4538:J4538"/>
    <mergeCell ref="K4538:L4538"/>
    <mergeCell ref="A4539:L4539"/>
    <mergeCell ref="A4540:J4540"/>
    <mergeCell ref="K4540:L4540"/>
    <mergeCell ref="A4541:J4541"/>
    <mergeCell ref="K4541:L4541"/>
    <mergeCell ref="A4535:J4535"/>
    <mergeCell ref="K4535:L4535"/>
    <mergeCell ref="A4536:L4536"/>
    <mergeCell ref="A4537:C4537"/>
    <mergeCell ref="E4537:F4537"/>
    <mergeCell ref="J4537:L4537"/>
    <mergeCell ref="A4533:C4533"/>
    <mergeCell ref="I4533:J4533"/>
    <mergeCell ref="K4533:L4533"/>
    <mergeCell ref="A4534:C4534"/>
    <mergeCell ref="I4534:J4534"/>
    <mergeCell ref="K4534:L4534"/>
    <mergeCell ref="A4529:C4529"/>
    <mergeCell ref="K4529:L4529"/>
    <mergeCell ref="A4530:J4530"/>
    <mergeCell ref="K4530:L4530"/>
    <mergeCell ref="A4531:L4531"/>
    <mergeCell ref="A4532:C4532"/>
    <mergeCell ref="I4532:J4532"/>
    <mergeCell ref="K4532:L4532"/>
    <mergeCell ref="B4526:J4526"/>
    <mergeCell ref="B4527:C4527"/>
    <mergeCell ref="D4527:E4527"/>
    <mergeCell ref="F4527:G4527"/>
    <mergeCell ref="I4527:J4527"/>
    <mergeCell ref="A4528:L4528"/>
    <mergeCell ref="A4522:J4522"/>
    <mergeCell ref="K4522:L4522"/>
    <mergeCell ref="A4523:J4523"/>
    <mergeCell ref="K4523:L4523"/>
    <mergeCell ref="A4524:L4524"/>
    <mergeCell ref="B4525:L4525"/>
    <mergeCell ref="A4518:C4518"/>
    <mergeCell ref="A4519:J4519"/>
    <mergeCell ref="K4519:L4519"/>
    <mergeCell ref="A4520:L4520"/>
    <mergeCell ref="A4521:J4521"/>
    <mergeCell ref="K4521:L4521"/>
    <mergeCell ref="A4515:E4515"/>
    <mergeCell ref="I4515:J4515"/>
    <mergeCell ref="K4515:L4515"/>
    <mergeCell ref="A4516:J4516"/>
    <mergeCell ref="K4516:L4516"/>
    <mergeCell ref="A4517:L4517"/>
    <mergeCell ref="A4512:J4512"/>
    <mergeCell ref="K4512:L4512"/>
    <mergeCell ref="A4513:L4513"/>
    <mergeCell ref="A4514:E4514"/>
    <mergeCell ref="I4514:J4514"/>
    <mergeCell ref="K4514:L4514"/>
    <mergeCell ref="A4509:L4509"/>
    <mergeCell ref="A4510:E4510"/>
    <mergeCell ref="I4510:J4510"/>
    <mergeCell ref="K4510:L4510"/>
    <mergeCell ref="A4511:E4511"/>
    <mergeCell ref="I4511:J4511"/>
    <mergeCell ref="K4511:L4511"/>
    <mergeCell ref="A4506:J4506"/>
    <mergeCell ref="K4506:L4506"/>
    <mergeCell ref="A4507:J4507"/>
    <mergeCell ref="K4507:L4507"/>
    <mergeCell ref="A4508:J4508"/>
    <mergeCell ref="K4508:L4508"/>
    <mergeCell ref="A4503:C4503"/>
    <mergeCell ref="E4503:F4503"/>
    <mergeCell ref="J4503:L4503"/>
    <mergeCell ref="A4504:J4504"/>
    <mergeCell ref="K4504:L4504"/>
    <mergeCell ref="A4505:L4505"/>
    <mergeCell ref="A4500:C4500"/>
    <mergeCell ref="I4500:J4500"/>
    <mergeCell ref="K4500:L4500"/>
    <mergeCell ref="A4501:J4501"/>
    <mergeCell ref="K4501:L4501"/>
    <mergeCell ref="A4502:L4502"/>
    <mergeCell ref="A4496:L4496"/>
    <mergeCell ref="A4497:C4497"/>
    <mergeCell ref="K4497:L4497"/>
    <mergeCell ref="A4498:J4498"/>
    <mergeCell ref="K4498:L4498"/>
    <mergeCell ref="A4499:L4499"/>
    <mergeCell ref="A4492:L4492"/>
    <mergeCell ref="B4493:L4493"/>
    <mergeCell ref="B4494:J4494"/>
    <mergeCell ref="B4495:C4495"/>
    <mergeCell ref="D4495:E4495"/>
    <mergeCell ref="F4495:G4495"/>
    <mergeCell ref="I4495:J4495"/>
    <mergeCell ref="A4488:L4488"/>
    <mergeCell ref="A4489:J4489"/>
    <mergeCell ref="K4489:L4489"/>
    <mergeCell ref="A4490:J4490"/>
    <mergeCell ref="K4490:L4490"/>
    <mergeCell ref="A4491:J4491"/>
    <mergeCell ref="K4491:L4491"/>
    <mergeCell ref="A4484:J4484"/>
    <mergeCell ref="K4484:L4484"/>
    <mergeCell ref="A4485:L4485"/>
    <mergeCell ref="A4486:C4486"/>
    <mergeCell ref="A4487:J4487"/>
    <mergeCell ref="K4487:L4487"/>
    <mergeCell ref="A4482:E4482"/>
    <mergeCell ref="I4482:J4482"/>
    <mergeCell ref="K4482:L4482"/>
    <mergeCell ref="A4483:E4483"/>
    <mergeCell ref="I4483:J4483"/>
    <mergeCell ref="K4483:L4483"/>
    <mergeCell ref="A4479:E4479"/>
    <mergeCell ref="I4479:J4479"/>
    <mergeCell ref="K4479:L4479"/>
    <mergeCell ref="A4480:J4480"/>
    <mergeCell ref="K4480:L4480"/>
    <mergeCell ref="A4481:L4481"/>
    <mergeCell ref="A4476:J4476"/>
    <mergeCell ref="K4476:L4476"/>
    <mergeCell ref="A4477:L4477"/>
    <mergeCell ref="A4478:E4478"/>
    <mergeCell ref="I4478:J4478"/>
    <mergeCell ref="K4478:L4478"/>
    <mergeCell ref="A4472:J4472"/>
    <mergeCell ref="K4472:L4472"/>
    <mergeCell ref="A4473:L4473"/>
    <mergeCell ref="A4474:J4474"/>
    <mergeCell ref="K4474:L4474"/>
    <mergeCell ref="A4475:J4475"/>
    <mergeCell ref="K4475:L4475"/>
    <mergeCell ref="A4469:J4469"/>
    <mergeCell ref="K4469:L4469"/>
    <mergeCell ref="A4470:L4470"/>
    <mergeCell ref="A4471:C4471"/>
    <mergeCell ref="E4471:F4471"/>
    <mergeCell ref="J4471:L4471"/>
    <mergeCell ref="A4465:C4465"/>
    <mergeCell ref="K4465:L4465"/>
    <mergeCell ref="A4466:J4466"/>
    <mergeCell ref="K4466:L4466"/>
    <mergeCell ref="A4467:L4467"/>
    <mergeCell ref="A4468:C4468"/>
    <mergeCell ref="I4468:J4468"/>
    <mergeCell ref="K4468:L4468"/>
    <mergeCell ref="B4462:J4462"/>
    <mergeCell ref="B4463:C4463"/>
    <mergeCell ref="D4463:E4463"/>
    <mergeCell ref="F4463:G4463"/>
    <mergeCell ref="I4463:J4463"/>
    <mergeCell ref="A4464:L4464"/>
    <mergeCell ref="A4458:J4458"/>
    <mergeCell ref="K4458:L4458"/>
    <mergeCell ref="A4459:J4459"/>
    <mergeCell ref="K4459:L4459"/>
    <mergeCell ref="A4460:L4460"/>
    <mergeCell ref="B4461:L4461"/>
    <mergeCell ref="A4454:C4454"/>
    <mergeCell ref="A4455:J4455"/>
    <mergeCell ref="K4455:L4455"/>
    <mergeCell ref="A4456:L4456"/>
    <mergeCell ref="A4457:J4457"/>
    <mergeCell ref="K4457:L4457"/>
    <mergeCell ref="A4451:E4451"/>
    <mergeCell ref="I4451:J4451"/>
    <mergeCell ref="K4451:L4451"/>
    <mergeCell ref="A4452:J4452"/>
    <mergeCell ref="K4452:L4452"/>
    <mergeCell ref="A4453:L4453"/>
    <mergeCell ref="A4448:J4448"/>
    <mergeCell ref="K4448:L4448"/>
    <mergeCell ref="A4449:L4449"/>
    <mergeCell ref="A4450:E4450"/>
    <mergeCell ref="I4450:J4450"/>
    <mergeCell ref="K4450:L4450"/>
    <mergeCell ref="A4445:L4445"/>
    <mergeCell ref="A4446:E4446"/>
    <mergeCell ref="I4446:J4446"/>
    <mergeCell ref="K4446:L4446"/>
    <mergeCell ref="A4447:E4447"/>
    <mergeCell ref="I4447:J4447"/>
    <mergeCell ref="K4447:L4447"/>
    <mergeCell ref="A4442:J4442"/>
    <mergeCell ref="K4442:L4442"/>
    <mergeCell ref="A4443:J4443"/>
    <mergeCell ref="K4443:L4443"/>
    <mergeCell ref="A4444:J4444"/>
    <mergeCell ref="K4444:L4444"/>
    <mergeCell ref="A4439:C4439"/>
    <mergeCell ref="E4439:F4439"/>
    <mergeCell ref="J4439:L4439"/>
    <mergeCell ref="A4440:J4440"/>
    <mergeCell ref="K4440:L4440"/>
    <mergeCell ref="A4441:L4441"/>
    <mergeCell ref="A4436:C4436"/>
    <mergeCell ref="I4436:J4436"/>
    <mergeCell ref="K4436:L4436"/>
    <mergeCell ref="A4437:J4437"/>
    <mergeCell ref="K4437:L4437"/>
    <mergeCell ref="A4438:L4438"/>
    <mergeCell ref="A4432:L4432"/>
    <mergeCell ref="A4433:C4433"/>
    <mergeCell ref="K4433:L4433"/>
    <mergeCell ref="A4434:J4434"/>
    <mergeCell ref="K4434:L4434"/>
    <mergeCell ref="A4435:L4435"/>
    <mergeCell ref="A4428:L4428"/>
    <mergeCell ref="B4429:L4429"/>
    <mergeCell ref="B4430:J4430"/>
    <mergeCell ref="B4431:C4431"/>
    <mergeCell ref="D4431:E4431"/>
    <mergeCell ref="F4431:G4431"/>
    <mergeCell ref="I4431:J4431"/>
    <mergeCell ref="A4424:L4424"/>
    <mergeCell ref="A4425:J4425"/>
    <mergeCell ref="K4425:L4425"/>
    <mergeCell ref="A4426:J4426"/>
    <mergeCell ref="K4426:L4426"/>
    <mergeCell ref="A4427:J4427"/>
    <mergeCell ref="K4427:L4427"/>
    <mergeCell ref="A4420:J4420"/>
    <mergeCell ref="K4420:L4420"/>
    <mergeCell ref="A4421:L4421"/>
    <mergeCell ref="A4422:C4422"/>
    <mergeCell ref="A4423:J4423"/>
    <mergeCell ref="K4423:L4423"/>
    <mergeCell ref="A4417:L4417"/>
    <mergeCell ref="A4418:E4418"/>
    <mergeCell ref="I4418:J4418"/>
    <mergeCell ref="K4418:L4418"/>
    <mergeCell ref="A4419:E4419"/>
    <mergeCell ref="I4419:J4419"/>
    <mergeCell ref="K4419:L4419"/>
    <mergeCell ref="A4414:L4414"/>
    <mergeCell ref="A4415:E4415"/>
    <mergeCell ref="I4415:J4415"/>
    <mergeCell ref="K4415:L4415"/>
    <mergeCell ref="A4416:J4416"/>
    <mergeCell ref="K4416:L4416"/>
    <mergeCell ref="A4411:J4411"/>
    <mergeCell ref="K4411:L4411"/>
    <mergeCell ref="A4412:J4412"/>
    <mergeCell ref="K4412:L4412"/>
    <mergeCell ref="A4413:J4413"/>
    <mergeCell ref="K4413:L4413"/>
    <mergeCell ref="A4408:C4408"/>
    <mergeCell ref="E4408:F4408"/>
    <mergeCell ref="J4408:L4408"/>
    <mergeCell ref="A4409:J4409"/>
    <mergeCell ref="K4409:L4409"/>
    <mergeCell ref="A4410:L4410"/>
    <mergeCell ref="A4405:C4405"/>
    <mergeCell ref="I4405:J4405"/>
    <mergeCell ref="K4405:L4405"/>
    <mergeCell ref="A4406:J4406"/>
    <mergeCell ref="K4406:L4406"/>
    <mergeCell ref="A4407:L4407"/>
    <mergeCell ref="A4401:L4401"/>
    <mergeCell ref="A4402:C4402"/>
    <mergeCell ref="K4402:L4402"/>
    <mergeCell ref="A4403:J4403"/>
    <mergeCell ref="K4403:L4403"/>
    <mergeCell ref="A4404:L4404"/>
    <mergeCell ref="A4397:L4397"/>
    <mergeCell ref="B4398:L4398"/>
    <mergeCell ref="B4399:J4399"/>
    <mergeCell ref="B4400:C4400"/>
    <mergeCell ref="D4400:E4400"/>
    <mergeCell ref="F4400:G4400"/>
    <mergeCell ref="I4400:J4400"/>
    <mergeCell ref="A4393:L4393"/>
    <mergeCell ref="A4394:J4394"/>
    <mergeCell ref="K4394:L4394"/>
    <mergeCell ref="A4395:J4395"/>
    <mergeCell ref="K4395:L4395"/>
    <mergeCell ref="A4396:J4396"/>
    <mergeCell ref="K4396:L4396"/>
    <mergeCell ref="A4389:J4389"/>
    <mergeCell ref="K4389:L4389"/>
    <mergeCell ref="A4390:L4390"/>
    <mergeCell ref="A4391:C4391"/>
    <mergeCell ref="A4392:J4392"/>
    <mergeCell ref="K4392:L4392"/>
    <mergeCell ref="A4386:J4386"/>
    <mergeCell ref="K4386:L4386"/>
    <mergeCell ref="A4387:L4387"/>
    <mergeCell ref="A4388:E4388"/>
    <mergeCell ref="I4388:J4388"/>
    <mergeCell ref="K4388:L4388"/>
    <mergeCell ref="A4383:L4383"/>
    <mergeCell ref="A4384:E4384"/>
    <mergeCell ref="I4384:J4384"/>
    <mergeCell ref="K4384:L4384"/>
    <mergeCell ref="A4385:E4385"/>
    <mergeCell ref="I4385:J4385"/>
    <mergeCell ref="K4385:L4385"/>
    <mergeCell ref="A4380:J4380"/>
    <mergeCell ref="K4380:L4380"/>
    <mergeCell ref="A4381:J4381"/>
    <mergeCell ref="K4381:L4381"/>
    <mergeCell ref="A4382:J4382"/>
    <mergeCell ref="K4382:L4382"/>
    <mergeCell ref="A4377:C4377"/>
    <mergeCell ref="E4377:F4377"/>
    <mergeCell ref="J4377:L4377"/>
    <mergeCell ref="A4378:J4378"/>
    <mergeCell ref="K4378:L4378"/>
    <mergeCell ref="A4379:L4379"/>
    <mergeCell ref="A4374:C4374"/>
    <mergeCell ref="I4374:J4374"/>
    <mergeCell ref="K4374:L4374"/>
    <mergeCell ref="A4375:J4375"/>
    <mergeCell ref="K4375:L4375"/>
    <mergeCell ref="A4376:L4376"/>
    <mergeCell ref="A4372:C4372"/>
    <mergeCell ref="I4372:J4372"/>
    <mergeCell ref="K4372:L4372"/>
    <mergeCell ref="A4373:C4373"/>
    <mergeCell ref="I4373:J4373"/>
    <mergeCell ref="K4373:L4373"/>
    <mergeCell ref="A4368:L4368"/>
    <mergeCell ref="A4369:C4369"/>
    <mergeCell ref="K4369:L4369"/>
    <mergeCell ref="A4370:J4370"/>
    <mergeCell ref="K4370:L4370"/>
    <mergeCell ref="A4371:L4371"/>
    <mergeCell ref="A4364:L4364"/>
    <mergeCell ref="B4365:L4365"/>
    <mergeCell ref="B4366:J4366"/>
    <mergeCell ref="B4367:C4367"/>
    <mergeCell ref="D4367:E4367"/>
    <mergeCell ref="F4367:G4367"/>
    <mergeCell ref="I4367:J4367"/>
    <mergeCell ref="A4360:L4360"/>
    <mergeCell ref="A4361:J4361"/>
    <mergeCell ref="K4361:L4361"/>
    <mergeCell ref="A4362:J4362"/>
    <mergeCell ref="K4362:L4362"/>
    <mergeCell ref="A4363:J4363"/>
    <mergeCell ref="K4363:L4363"/>
    <mergeCell ref="A4356:J4356"/>
    <mergeCell ref="K4356:L4356"/>
    <mergeCell ref="A4357:L4357"/>
    <mergeCell ref="A4358:C4358"/>
    <mergeCell ref="A4359:J4359"/>
    <mergeCell ref="K4359:L4359"/>
    <mergeCell ref="A4353:J4353"/>
    <mergeCell ref="K4353:L4353"/>
    <mergeCell ref="A4354:L4354"/>
    <mergeCell ref="A4355:E4355"/>
    <mergeCell ref="I4355:J4355"/>
    <mergeCell ref="K4355:L4355"/>
    <mergeCell ref="A4350:L4350"/>
    <mergeCell ref="A4351:E4351"/>
    <mergeCell ref="I4351:J4351"/>
    <mergeCell ref="K4351:L4351"/>
    <mergeCell ref="A4352:E4352"/>
    <mergeCell ref="I4352:J4352"/>
    <mergeCell ref="K4352:L4352"/>
    <mergeCell ref="A4347:J4347"/>
    <mergeCell ref="K4347:L4347"/>
    <mergeCell ref="A4348:J4348"/>
    <mergeCell ref="K4348:L4348"/>
    <mergeCell ref="A4349:J4349"/>
    <mergeCell ref="K4349:L4349"/>
    <mergeCell ref="A4344:C4344"/>
    <mergeCell ref="E4344:F4344"/>
    <mergeCell ref="J4344:L4344"/>
    <mergeCell ref="A4345:J4345"/>
    <mergeCell ref="K4345:L4345"/>
    <mergeCell ref="A4346:L4346"/>
    <mergeCell ref="A4341:C4341"/>
    <mergeCell ref="I4341:J4341"/>
    <mergeCell ref="K4341:L4341"/>
    <mergeCell ref="A4342:J4342"/>
    <mergeCell ref="K4342:L4342"/>
    <mergeCell ref="A4343:L4343"/>
    <mergeCell ref="A4339:C4339"/>
    <mergeCell ref="I4339:J4339"/>
    <mergeCell ref="K4339:L4339"/>
    <mergeCell ref="A4340:C4340"/>
    <mergeCell ref="I4340:J4340"/>
    <mergeCell ref="K4340:L4340"/>
    <mergeCell ref="A4335:L4335"/>
    <mergeCell ref="A4336:C4336"/>
    <mergeCell ref="K4336:L4336"/>
    <mergeCell ref="A4337:J4337"/>
    <mergeCell ref="K4337:L4337"/>
    <mergeCell ref="A4338:L4338"/>
    <mergeCell ref="A4331:L4331"/>
    <mergeCell ref="B4332:L4332"/>
    <mergeCell ref="B4333:J4333"/>
    <mergeCell ref="B4334:C4334"/>
    <mergeCell ref="D4334:E4334"/>
    <mergeCell ref="F4334:G4334"/>
    <mergeCell ref="I4334:J4334"/>
    <mergeCell ref="A4327:L4327"/>
    <mergeCell ref="A4328:J4328"/>
    <mergeCell ref="K4328:L4328"/>
    <mergeCell ref="A4329:J4329"/>
    <mergeCell ref="K4329:L4329"/>
    <mergeCell ref="A4330:J4330"/>
    <mergeCell ref="K4330:L4330"/>
    <mergeCell ref="A4323:J4323"/>
    <mergeCell ref="K4323:L4323"/>
    <mergeCell ref="A4324:L4324"/>
    <mergeCell ref="A4325:C4325"/>
    <mergeCell ref="A4326:J4326"/>
    <mergeCell ref="K4326:L4326"/>
    <mergeCell ref="A4320:J4320"/>
    <mergeCell ref="K4320:L4320"/>
    <mergeCell ref="A4321:L4321"/>
    <mergeCell ref="A4322:E4322"/>
    <mergeCell ref="I4322:J4322"/>
    <mergeCell ref="K4322:L4322"/>
    <mergeCell ref="A4317:L4317"/>
    <mergeCell ref="A4318:E4318"/>
    <mergeCell ref="I4318:J4318"/>
    <mergeCell ref="K4318:L4318"/>
    <mergeCell ref="A4319:E4319"/>
    <mergeCell ref="I4319:J4319"/>
    <mergeCell ref="K4319:L4319"/>
    <mergeCell ref="A4314:J4314"/>
    <mergeCell ref="K4314:L4314"/>
    <mergeCell ref="A4315:J4315"/>
    <mergeCell ref="K4315:L4315"/>
    <mergeCell ref="A4316:J4316"/>
    <mergeCell ref="K4316:L4316"/>
    <mergeCell ref="A4311:C4311"/>
    <mergeCell ref="E4311:F4311"/>
    <mergeCell ref="J4311:L4311"/>
    <mergeCell ref="A4312:J4312"/>
    <mergeCell ref="K4312:L4312"/>
    <mergeCell ref="A4313:L4313"/>
    <mergeCell ref="A4308:C4308"/>
    <mergeCell ref="I4308:J4308"/>
    <mergeCell ref="K4308:L4308"/>
    <mergeCell ref="A4309:J4309"/>
    <mergeCell ref="K4309:L4309"/>
    <mergeCell ref="A4310:L4310"/>
    <mergeCell ref="A4306:C4306"/>
    <mergeCell ref="I4306:J4306"/>
    <mergeCell ref="K4306:L4306"/>
    <mergeCell ref="A4307:C4307"/>
    <mergeCell ref="I4307:J4307"/>
    <mergeCell ref="K4307:L4307"/>
    <mergeCell ref="A4302:L4302"/>
    <mergeCell ref="A4303:C4303"/>
    <mergeCell ref="K4303:L4303"/>
    <mergeCell ref="A4304:J4304"/>
    <mergeCell ref="K4304:L4304"/>
    <mergeCell ref="A4305:L4305"/>
    <mergeCell ref="A4298:L4298"/>
    <mergeCell ref="B4299:L4299"/>
    <mergeCell ref="B4300:J4300"/>
    <mergeCell ref="B4301:C4301"/>
    <mergeCell ref="D4301:E4301"/>
    <mergeCell ref="F4301:G4301"/>
    <mergeCell ref="I4301:J4301"/>
    <mergeCell ref="A4294:L4294"/>
    <mergeCell ref="A4295:J4295"/>
    <mergeCell ref="K4295:L4295"/>
    <mergeCell ref="A4296:J4296"/>
    <mergeCell ref="K4296:L4296"/>
    <mergeCell ref="A4297:J4297"/>
    <mergeCell ref="K4297:L4297"/>
    <mergeCell ref="A4290:J4290"/>
    <mergeCell ref="K4290:L4290"/>
    <mergeCell ref="A4291:L4291"/>
    <mergeCell ref="A4292:C4292"/>
    <mergeCell ref="A4293:J4293"/>
    <mergeCell ref="K4293:L4293"/>
    <mergeCell ref="A4287:J4287"/>
    <mergeCell ref="K4287:L4287"/>
    <mergeCell ref="A4288:L4288"/>
    <mergeCell ref="A4289:E4289"/>
    <mergeCell ref="I4289:J4289"/>
    <mergeCell ref="K4289:L4289"/>
    <mergeCell ref="A4284:L4284"/>
    <mergeCell ref="A4285:E4285"/>
    <mergeCell ref="I4285:J4285"/>
    <mergeCell ref="K4285:L4285"/>
    <mergeCell ref="A4286:E4286"/>
    <mergeCell ref="I4286:J4286"/>
    <mergeCell ref="K4286:L4286"/>
    <mergeCell ref="A4281:J4281"/>
    <mergeCell ref="K4281:L4281"/>
    <mergeCell ref="A4282:J4282"/>
    <mergeCell ref="K4282:L4282"/>
    <mergeCell ref="A4283:J4283"/>
    <mergeCell ref="K4283:L4283"/>
    <mergeCell ref="A4278:C4278"/>
    <mergeCell ref="E4278:F4278"/>
    <mergeCell ref="J4278:L4278"/>
    <mergeCell ref="A4279:J4279"/>
    <mergeCell ref="K4279:L4279"/>
    <mergeCell ref="A4280:L4280"/>
    <mergeCell ref="A4275:C4275"/>
    <mergeCell ref="I4275:J4275"/>
    <mergeCell ref="K4275:L4275"/>
    <mergeCell ref="A4276:J4276"/>
    <mergeCell ref="K4276:L4276"/>
    <mergeCell ref="A4277:L4277"/>
    <mergeCell ref="A4273:C4273"/>
    <mergeCell ref="I4273:J4273"/>
    <mergeCell ref="K4273:L4273"/>
    <mergeCell ref="A4274:C4274"/>
    <mergeCell ref="I4274:J4274"/>
    <mergeCell ref="K4274:L4274"/>
    <mergeCell ref="A4269:L4269"/>
    <mergeCell ref="A4270:C4270"/>
    <mergeCell ref="K4270:L4270"/>
    <mergeCell ref="A4271:J4271"/>
    <mergeCell ref="K4271:L4271"/>
    <mergeCell ref="A4272:L4272"/>
    <mergeCell ref="A4265:L4265"/>
    <mergeCell ref="B4266:L4266"/>
    <mergeCell ref="B4267:J4267"/>
    <mergeCell ref="B4268:C4268"/>
    <mergeCell ref="D4268:E4268"/>
    <mergeCell ref="F4268:G4268"/>
    <mergeCell ref="I4268:J4268"/>
    <mergeCell ref="A4261:L4261"/>
    <mergeCell ref="A4262:J4262"/>
    <mergeCell ref="K4262:L4262"/>
    <mergeCell ref="A4263:J4263"/>
    <mergeCell ref="K4263:L4263"/>
    <mergeCell ref="A4264:J4264"/>
    <mergeCell ref="K4264:L4264"/>
    <mergeCell ref="A4257:J4257"/>
    <mergeCell ref="K4257:L4257"/>
    <mergeCell ref="A4258:L4258"/>
    <mergeCell ref="A4259:C4259"/>
    <mergeCell ref="A4260:J4260"/>
    <mergeCell ref="K4260:L4260"/>
    <mergeCell ref="A4255:E4255"/>
    <mergeCell ref="I4255:J4255"/>
    <mergeCell ref="K4255:L4255"/>
    <mergeCell ref="A4256:E4256"/>
    <mergeCell ref="I4256:J4256"/>
    <mergeCell ref="K4256:L4256"/>
    <mergeCell ref="A4252:E4252"/>
    <mergeCell ref="I4252:J4252"/>
    <mergeCell ref="K4252:L4252"/>
    <mergeCell ref="A4253:J4253"/>
    <mergeCell ref="K4253:L4253"/>
    <mergeCell ref="A4254:L4254"/>
    <mergeCell ref="A4250:E4250"/>
    <mergeCell ref="I4250:J4250"/>
    <mergeCell ref="K4250:L4250"/>
    <mergeCell ref="A4251:E4251"/>
    <mergeCell ref="I4251:J4251"/>
    <mergeCell ref="K4251:L4251"/>
    <mergeCell ref="A4248:E4248"/>
    <mergeCell ref="I4248:J4248"/>
    <mergeCell ref="K4248:L4248"/>
    <mergeCell ref="A4249:E4249"/>
    <mergeCell ref="I4249:J4249"/>
    <mergeCell ref="K4249:L4249"/>
    <mergeCell ref="A4246:E4246"/>
    <mergeCell ref="I4246:J4246"/>
    <mergeCell ref="K4246:L4246"/>
    <mergeCell ref="A4247:E4247"/>
    <mergeCell ref="I4247:J4247"/>
    <mergeCell ref="K4247:L4247"/>
    <mergeCell ref="A4244:E4244"/>
    <mergeCell ref="I4244:J4244"/>
    <mergeCell ref="K4244:L4244"/>
    <mergeCell ref="A4245:E4245"/>
    <mergeCell ref="I4245:J4245"/>
    <mergeCell ref="K4245:L4245"/>
    <mergeCell ref="A4241:J4241"/>
    <mergeCell ref="K4241:L4241"/>
    <mergeCell ref="A4242:L4242"/>
    <mergeCell ref="A4243:E4243"/>
    <mergeCell ref="I4243:J4243"/>
    <mergeCell ref="K4243:L4243"/>
    <mergeCell ref="A4237:J4237"/>
    <mergeCell ref="K4237:L4237"/>
    <mergeCell ref="A4238:L4238"/>
    <mergeCell ref="A4239:J4239"/>
    <mergeCell ref="K4239:L4239"/>
    <mergeCell ref="A4240:J4240"/>
    <mergeCell ref="K4240:L4240"/>
    <mergeCell ref="A4235:C4235"/>
    <mergeCell ref="E4235:F4235"/>
    <mergeCell ref="J4235:L4235"/>
    <mergeCell ref="A4236:C4236"/>
    <mergeCell ref="E4236:F4236"/>
    <mergeCell ref="J4236:L4236"/>
    <mergeCell ref="A4232:C4232"/>
    <mergeCell ref="I4232:J4232"/>
    <mergeCell ref="K4232:L4232"/>
    <mergeCell ref="A4233:J4233"/>
    <mergeCell ref="K4233:L4233"/>
    <mergeCell ref="A4234:L4234"/>
    <mergeCell ref="A4228:C4228"/>
    <mergeCell ref="K4228:L4228"/>
    <mergeCell ref="A4229:J4229"/>
    <mergeCell ref="K4229:L4229"/>
    <mergeCell ref="A4230:L4230"/>
    <mergeCell ref="A4231:C4231"/>
    <mergeCell ref="I4231:J4231"/>
    <mergeCell ref="K4231:L4231"/>
    <mergeCell ref="B4225:J4225"/>
    <mergeCell ref="B4226:C4226"/>
    <mergeCell ref="D4226:E4226"/>
    <mergeCell ref="F4226:G4226"/>
    <mergeCell ref="I4226:J4226"/>
    <mergeCell ref="A4227:L4227"/>
    <mergeCell ref="A4221:J4221"/>
    <mergeCell ref="K4221:L4221"/>
    <mergeCell ref="A4222:J4222"/>
    <mergeCell ref="K4222:L4222"/>
    <mergeCell ref="A4223:L4223"/>
    <mergeCell ref="B4224:L4224"/>
    <mergeCell ref="A4217:C4217"/>
    <mergeCell ref="A4218:J4218"/>
    <mergeCell ref="K4218:L4218"/>
    <mergeCell ref="A4219:L4219"/>
    <mergeCell ref="A4220:J4220"/>
    <mergeCell ref="K4220:L4220"/>
    <mergeCell ref="A4214:E4214"/>
    <mergeCell ref="I4214:J4214"/>
    <mergeCell ref="K4214:L4214"/>
    <mergeCell ref="A4215:J4215"/>
    <mergeCell ref="K4215:L4215"/>
    <mergeCell ref="A4216:L4216"/>
    <mergeCell ref="A4211:E4211"/>
    <mergeCell ref="I4211:J4211"/>
    <mergeCell ref="K4211:L4211"/>
    <mergeCell ref="A4212:J4212"/>
    <mergeCell ref="K4212:L4212"/>
    <mergeCell ref="A4213:L4213"/>
    <mergeCell ref="A4208:J4208"/>
    <mergeCell ref="K4208:L4208"/>
    <mergeCell ref="A4209:L4209"/>
    <mergeCell ref="A4210:E4210"/>
    <mergeCell ref="I4210:J4210"/>
    <mergeCell ref="K4210:L4210"/>
    <mergeCell ref="A4204:J4204"/>
    <mergeCell ref="K4204:L4204"/>
    <mergeCell ref="A4205:L4205"/>
    <mergeCell ref="A4206:J4206"/>
    <mergeCell ref="K4206:L4206"/>
    <mergeCell ref="A4207:J4207"/>
    <mergeCell ref="K4207:L4207"/>
    <mergeCell ref="A4201:J4201"/>
    <mergeCell ref="K4201:L4201"/>
    <mergeCell ref="A4202:L4202"/>
    <mergeCell ref="A4203:C4203"/>
    <mergeCell ref="E4203:F4203"/>
    <mergeCell ref="J4203:L4203"/>
    <mergeCell ref="A4199:C4199"/>
    <mergeCell ref="I4199:J4199"/>
    <mergeCell ref="K4199:L4199"/>
    <mergeCell ref="A4200:C4200"/>
    <mergeCell ref="I4200:J4200"/>
    <mergeCell ref="K4200:L4200"/>
    <mergeCell ref="A4195:C4195"/>
    <mergeCell ref="K4195:L4195"/>
    <mergeCell ref="A4196:J4196"/>
    <mergeCell ref="K4196:L4196"/>
    <mergeCell ref="A4197:L4197"/>
    <mergeCell ref="A4198:C4198"/>
    <mergeCell ref="I4198:J4198"/>
    <mergeCell ref="K4198:L4198"/>
    <mergeCell ref="B4192:J4192"/>
    <mergeCell ref="B4193:C4193"/>
    <mergeCell ref="D4193:E4193"/>
    <mergeCell ref="F4193:G4193"/>
    <mergeCell ref="I4193:J4193"/>
    <mergeCell ref="A4194:L4194"/>
    <mergeCell ref="A4188:J4188"/>
    <mergeCell ref="K4188:L4188"/>
    <mergeCell ref="A4189:J4189"/>
    <mergeCell ref="K4189:L4189"/>
    <mergeCell ref="A4190:L4190"/>
    <mergeCell ref="B4191:L4191"/>
    <mergeCell ref="A4184:C4184"/>
    <mergeCell ref="A4185:J4185"/>
    <mergeCell ref="K4185:L4185"/>
    <mergeCell ref="A4186:L4186"/>
    <mergeCell ref="A4187:J4187"/>
    <mergeCell ref="K4187:L4187"/>
    <mergeCell ref="A4181:E4181"/>
    <mergeCell ref="I4181:J4181"/>
    <mergeCell ref="K4181:L4181"/>
    <mergeCell ref="A4182:J4182"/>
    <mergeCell ref="K4182:L4182"/>
    <mergeCell ref="A4183:L4183"/>
    <mergeCell ref="A4178:E4178"/>
    <mergeCell ref="I4178:J4178"/>
    <mergeCell ref="K4178:L4178"/>
    <mergeCell ref="A4179:J4179"/>
    <mergeCell ref="K4179:L4179"/>
    <mergeCell ref="A4180:L4180"/>
    <mergeCell ref="A4175:J4175"/>
    <mergeCell ref="K4175:L4175"/>
    <mergeCell ref="A4176:L4176"/>
    <mergeCell ref="A4177:E4177"/>
    <mergeCell ref="I4177:J4177"/>
    <mergeCell ref="K4177:L4177"/>
    <mergeCell ref="A4171:J4171"/>
    <mergeCell ref="K4171:L4171"/>
    <mergeCell ref="A4172:L4172"/>
    <mergeCell ref="A4173:J4173"/>
    <mergeCell ref="K4173:L4173"/>
    <mergeCell ref="A4174:J4174"/>
    <mergeCell ref="K4174:L4174"/>
    <mergeCell ref="A4168:J4168"/>
    <mergeCell ref="K4168:L4168"/>
    <mergeCell ref="A4169:L4169"/>
    <mergeCell ref="A4170:C4170"/>
    <mergeCell ref="E4170:F4170"/>
    <mergeCell ref="J4170:L4170"/>
    <mergeCell ref="A4166:C4166"/>
    <mergeCell ref="I4166:J4166"/>
    <mergeCell ref="K4166:L4166"/>
    <mergeCell ref="A4167:C4167"/>
    <mergeCell ref="I4167:J4167"/>
    <mergeCell ref="K4167:L4167"/>
    <mergeCell ref="A4162:C4162"/>
    <mergeCell ref="K4162:L4162"/>
    <mergeCell ref="A4163:J4163"/>
    <mergeCell ref="K4163:L4163"/>
    <mergeCell ref="A4164:L4164"/>
    <mergeCell ref="A4165:C4165"/>
    <mergeCell ref="I4165:J4165"/>
    <mergeCell ref="K4165:L4165"/>
    <mergeCell ref="B4159:J4159"/>
    <mergeCell ref="B4160:C4160"/>
    <mergeCell ref="D4160:E4160"/>
    <mergeCell ref="F4160:G4160"/>
    <mergeCell ref="I4160:J4160"/>
    <mergeCell ref="A4161:L4161"/>
    <mergeCell ref="A4155:J4155"/>
    <mergeCell ref="K4155:L4155"/>
    <mergeCell ref="A4156:J4156"/>
    <mergeCell ref="K4156:L4156"/>
    <mergeCell ref="A4157:L4157"/>
    <mergeCell ref="B4158:L4158"/>
    <mergeCell ref="A4151:C4151"/>
    <mergeCell ref="A4152:J4152"/>
    <mergeCell ref="K4152:L4152"/>
    <mergeCell ref="A4153:L4153"/>
    <mergeCell ref="A4154:J4154"/>
    <mergeCell ref="K4154:L4154"/>
    <mergeCell ref="A4148:E4148"/>
    <mergeCell ref="I4148:J4148"/>
    <mergeCell ref="K4148:L4148"/>
    <mergeCell ref="A4149:J4149"/>
    <mergeCell ref="K4149:L4149"/>
    <mergeCell ref="A4150:L4150"/>
    <mergeCell ref="A4145:E4145"/>
    <mergeCell ref="I4145:J4145"/>
    <mergeCell ref="K4145:L4145"/>
    <mergeCell ref="A4146:J4146"/>
    <mergeCell ref="K4146:L4146"/>
    <mergeCell ref="A4147:L4147"/>
    <mergeCell ref="A4142:J4142"/>
    <mergeCell ref="K4142:L4142"/>
    <mergeCell ref="A4143:L4143"/>
    <mergeCell ref="A4144:E4144"/>
    <mergeCell ref="I4144:J4144"/>
    <mergeCell ref="K4144:L4144"/>
    <mergeCell ref="A4138:J4138"/>
    <mergeCell ref="K4138:L4138"/>
    <mergeCell ref="A4139:L4139"/>
    <mergeCell ref="A4140:J4140"/>
    <mergeCell ref="K4140:L4140"/>
    <mergeCell ref="A4141:J4141"/>
    <mergeCell ref="K4141:L4141"/>
    <mergeCell ref="A4135:J4135"/>
    <mergeCell ref="K4135:L4135"/>
    <mergeCell ref="A4136:L4136"/>
    <mergeCell ref="A4137:C4137"/>
    <mergeCell ref="E4137:F4137"/>
    <mergeCell ref="J4137:L4137"/>
    <mergeCell ref="A4133:C4133"/>
    <mergeCell ref="I4133:J4133"/>
    <mergeCell ref="K4133:L4133"/>
    <mergeCell ref="A4134:C4134"/>
    <mergeCell ref="I4134:J4134"/>
    <mergeCell ref="K4134:L4134"/>
    <mergeCell ref="A4129:C4129"/>
    <mergeCell ref="K4129:L4129"/>
    <mergeCell ref="A4130:J4130"/>
    <mergeCell ref="K4130:L4130"/>
    <mergeCell ref="A4131:L4131"/>
    <mergeCell ref="A4132:C4132"/>
    <mergeCell ref="I4132:J4132"/>
    <mergeCell ref="K4132:L4132"/>
    <mergeCell ref="B4126:J4126"/>
    <mergeCell ref="B4127:C4127"/>
    <mergeCell ref="D4127:E4127"/>
    <mergeCell ref="F4127:G4127"/>
    <mergeCell ref="I4127:J4127"/>
    <mergeCell ref="A4128:L4128"/>
    <mergeCell ref="A4122:J4122"/>
    <mergeCell ref="K4122:L4122"/>
    <mergeCell ref="A4123:J4123"/>
    <mergeCell ref="K4123:L4123"/>
    <mergeCell ref="A4124:L4124"/>
    <mergeCell ref="B4125:L4125"/>
    <mergeCell ref="A4118:C4118"/>
    <mergeCell ref="A4119:J4119"/>
    <mergeCell ref="K4119:L4119"/>
    <mergeCell ref="A4120:L4120"/>
    <mergeCell ref="A4121:J4121"/>
    <mergeCell ref="K4121:L4121"/>
    <mergeCell ref="A4115:E4115"/>
    <mergeCell ref="I4115:J4115"/>
    <mergeCell ref="K4115:L4115"/>
    <mergeCell ref="A4116:J4116"/>
    <mergeCell ref="K4116:L4116"/>
    <mergeCell ref="A4117:L4117"/>
    <mergeCell ref="A4112:E4112"/>
    <mergeCell ref="I4112:J4112"/>
    <mergeCell ref="K4112:L4112"/>
    <mergeCell ref="A4113:J4113"/>
    <mergeCell ref="K4113:L4113"/>
    <mergeCell ref="A4114:L4114"/>
    <mergeCell ref="A4109:J4109"/>
    <mergeCell ref="K4109:L4109"/>
    <mergeCell ref="A4110:L4110"/>
    <mergeCell ref="A4111:E4111"/>
    <mergeCell ref="I4111:J4111"/>
    <mergeCell ref="K4111:L4111"/>
    <mergeCell ref="A4105:J4105"/>
    <mergeCell ref="K4105:L4105"/>
    <mergeCell ref="A4106:L4106"/>
    <mergeCell ref="A4107:J4107"/>
    <mergeCell ref="K4107:L4107"/>
    <mergeCell ref="A4108:J4108"/>
    <mergeCell ref="K4108:L4108"/>
    <mergeCell ref="A4102:J4102"/>
    <mergeCell ref="K4102:L4102"/>
    <mergeCell ref="A4103:L4103"/>
    <mergeCell ref="A4104:C4104"/>
    <mergeCell ref="E4104:F4104"/>
    <mergeCell ref="J4104:L4104"/>
    <mergeCell ref="A4100:C4100"/>
    <mergeCell ref="I4100:J4100"/>
    <mergeCell ref="K4100:L4100"/>
    <mergeCell ref="A4101:C4101"/>
    <mergeCell ref="I4101:J4101"/>
    <mergeCell ref="K4101:L4101"/>
    <mergeCell ref="A4096:C4096"/>
    <mergeCell ref="K4096:L4096"/>
    <mergeCell ref="A4097:J4097"/>
    <mergeCell ref="K4097:L4097"/>
    <mergeCell ref="A4098:L4098"/>
    <mergeCell ref="A4099:C4099"/>
    <mergeCell ref="I4099:J4099"/>
    <mergeCell ref="K4099:L4099"/>
    <mergeCell ref="B4093:J4093"/>
    <mergeCell ref="B4094:C4094"/>
    <mergeCell ref="D4094:E4094"/>
    <mergeCell ref="F4094:G4094"/>
    <mergeCell ref="I4094:J4094"/>
    <mergeCell ref="A4095:L4095"/>
    <mergeCell ref="A4089:J4089"/>
    <mergeCell ref="K4089:L4089"/>
    <mergeCell ref="A4090:J4090"/>
    <mergeCell ref="K4090:L4090"/>
    <mergeCell ref="A4091:L4091"/>
    <mergeCell ref="B4092:L4092"/>
    <mergeCell ref="A4085:C4085"/>
    <mergeCell ref="A4086:J4086"/>
    <mergeCell ref="K4086:L4086"/>
    <mergeCell ref="A4087:L4087"/>
    <mergeCell ref="A4088:J4088"/>
    <mergeCell ref="K4088:L4088"/>
    <mergeCell ref="A4082:E4082"/>
    <mergeCell ref="I4082:J4082"/>
    <mergeCell ref="K4082:L4082"/>
    <mergeCell ref="A4083:J4083"/>
    <mergeCell ref="K4083:L4083"/>
    <mergeCell ref="A4084:L4084"/>
    <mergeCell ref="A4079:E4079"/>
    <mergeCell ref="I4079:J4079"/>
    <mergeCell ref="K4079:L4079"/>
    <mergeCell ref="A4080:J4080"/>
    <mergeCell ref="K4080:L4080"/>
    <mergeCell ref="A4081:L4081"/>
    <mergeCell ref="A4076:J4076"/>
    <mergeCell ref="K4076:L4076"/>
    <mergeCell ref="A4077:L4077"/>
    <mergeCell ref="A4078:E4078"/>
    <mergeCell ref="I4078:J4078"/>
    <mergeCell ref="K4078:L4078"/>
    <mergeCell ref="A4072:J4072"/>
    <mergeCell ref="K4072:L4072"/>
    <mergeCell ref="A4073:L4073"/>
    <mergeCell ref="A4074:J4074"/>
    <mergeCell ref="K4074:L4074"/>
    <mergeCell ref="A4075:J4075"/>
    <mergeCell ref="K4075:L4075"/>
    <mergeCell ref="A4069:J4069"/>
    <mergeCell ref="K4069:L4069"/>
    <mergeCell ref="A4070:L4070"/>
    <mergeCell ref="A4071:C4071"/>
    <mergeCell ref="E4071:F4071"/>
    <mergeCell ref="J4071:L4071"/>
    <mergeCell ref="A4067:C4067"/>
    <mergeCell ref="I4067:J4067"/>
    <mergeCell ref="K4067:L4067"/>
    <mergeCell ref="A4068:C4068"/>
    <mergeCell ref="I4068:J4068"/>
    <mergeCell ref="K4068:L4068"/>
    <mergeCell ref="A4063:C4063"/>
    <mergeCell ref="K4063:L4063"/>
    <mergeCell ref="A4064:J4064"/>
    <mergeCell ref="K4064:L4064"/>
    <mergeCell ref="A4065:L4065"/>
    <mergeCell ref="A4066:C4066"/>
    <mergeCell ref="I4066:J4066"/>
    <mergeCell ref="K4066:L4066"/>
    <mergeCell ref="B4060:J4060"/>
    <mergeCell ref="B4061:C4061"/>
    <mergeCell ref="D4061:E4061"/>
    <mergeCell ref="F4061:G4061"/>
    <mergeCell ref="I4061:J4061"/>
    <mergeCell ref="A4062:L4062"/>
    <mergeCell ref="A4056:J4056"/>
    <mergeCell ref="K4056:L4056"/>
    <mergeCell ref="A4057:J4057"/>
    <mergeCell ref="K4057:L4057"/>
    <mergeCell ref="A4058:L4058"/>
    <mergeCell ref="B4059:L4059"/>
    <mergeCell ref="A4052:C4052"/>
    <mergeCell ref="A4053:J4053"/>
    <mergeCell ref="K4053:L4053"/>
    <mergeCell ref="A4054:L4054"/>
    <mergeCell ref="A4055:J4055"/>
    <mergeCell ref="K4055:L4055"/>
    <mergeCell ref="A4049:E4049"/>
    <mergeCell ref="I4049:J4049"/>
    <mergeCell ref="K4049:L4049"/>
    <mergeCell ref="A4050:J4050"/>
    <mergeCell ref="K4050:L4050"/>
    <mergeCell ref="A4051:L4051"/>
    <mergeCell ref="A4046:E4046"/>
    <mergeCell ref="I4046:J4046"/>
    <mergeCell ref="K4046:L4046"/>
    <mergeCell ref="A4047:J4047"/>
    <mergeCell ref="K4047:L4047"/>
    <mergeCell ref="A4048:L4048"/>
    <mergeCell ref="A4043:J4043"/>
    <mergeCell ref="K4043:L4043"/>
    <mergeCell ref="A4044:L4044"/>
    <mergeCell ref="A4045:E4045"/>
    <mergeCell ref="I4045:J4045"/>
    <mergeCell ref="K4045:L4045"/>
    <mergeCell ref="A4039:J4039"/>
    <mergeCell ref="K4039:L4039"/>
    <mergeCell ref="A4040:L4040"/>
    <mergeCell ref="A4041:J4041"/>
    <mergeCell ref="K4041:L4041"/>
    <mergeCell ref="A4042:J4042"/>
    <mergeCell ref="K4042:L4042"/>
    <mergeCell ref="A4036:J4036"/>
    <mergeCell ref="K4036:L4036"/>
    <mergeCell ref="A4037:L4037"/>
    <mergeCell ref="A4038:C4038"/>
    <mergeCell ref="E4038:F4038"/>
    <mergeCell ref="J4038:L4038"/>
    <mergeCell ref="A4034:C4034"/>
    <mergeCell ref="I4034:J4034"/>
    <mergeCell ref="K4034:L4034"/>
    <mergeCell ref="A4035:C4035"/>
    <mergeCell ref="I4035:J4035"/>
    <mergeCell ref="K4035:L4035"/>
    <mergeCell ref="A4030:C4030"/>
    <mergeCell ref="K4030:L4030"/>
    <mergeCell ref="A4031:J4031"/>
    <mergeCell ref="K4031:L4031"/>
    <mergeCell ref="A4032:L4032"/>
    <mergeCell ref="A4033:C4033"/>
    <mergeCell ref="I4033:J4033"/>
    <mergeCell ref="K4033:L4033"/>
    <mergeCell ref="B4027:J4027"/>
    <mergeCell ref="B4028:C4028"/>
    <mergeCell ref="D4028:E4028"/>
    <mergeCell ref="F4028:G4028"/>
    <mergeCell ref="I4028:J4028"/>
    <mergeCell ref="A4029:L4029"/>
    <mergeCell ref="A4023:J4023"/>
    <mergeCell ref="K4023:L4023"/>
    <mergeCell ref="A4024:J4024"/>
    <mergeCell ref="K4024:L4024"/>
    <mergeCell ref="A4025:L4025"/>
    <mergeCell ref="B4026:L4026"/>
    <mergeCell ref="A4019:C4019"/>
    <mergeCell ref="A4020:J4020"/>
    <mergeCell ref="K4020:L4020"/>
    <mergeCell ref="A4021:L4021"/>
    <mergeCell ref="A4022:J4022"/>
    <mergeCell ref="K4022:L4022"/>
    <mergeCell ref="A4016:E4016"/>
    <mergeCell ref="I4016:J4016"/>
    <mergeCell ref="K4016:L4016"/>
    <mergeCell ref="A4017:J4017"/>
    <mergeCell ref="K4017:L4017"/>
    <mergeCell ref="A4018:L4018"/>
    <mergeCell ref="A4013:E4013"/>
    <mergeCell ref="I4013:J4013"/>
    <mergeCell ref="K4013:L4013"/>
    <mergeCell ref="A4014:J4014"/>
    <mergeCell ref="K4014:L4014"/>
    <mergeCell ref="A4015:L4015"/>
    <mergeCell ref="A4010:J4010"/>
    <mergeCell ref="K4010:L4010"/>
    <mergeCell ref="A4011:L4011"/>
    <mergeCell ref="A4012:E4012"/>
    <mergeCell ref="I4012:J4012"/>
    <mergeCell ref="K4012:L4012"/>
    <mergeCell ref="A4006:J4006"/>
    <mergeCell ref="K4006:L4006"/>
    <mergeCell ref="A4007:L4007"/>
    <mergeCell ref="A4008:J4008"/>
    <mergeCell ref="K4008:L4008"/>
    <mergeCell ref="A4009:J4009"/>
    <mergeCell ref="K4009:L4009"/>
    <mergeCell ref="A4003:J4003"/>
    <mergeCell ref="K4003:L4003"/>
    <mergeCell ref="A4004:L4004"/>
    <mergeCell ref="A4005:C4005"/>
    <mergeCell ref="E4005:F4005"/>
    <mergeCell ref="J4005:L4005"/>
    <mergeCell ref="A4001:C4001"/>
    <mergeCell ref="I4001:J4001"/>
    <mergeCell ref="K4001:L4001"/>
    <mergeCell ref="A4002:C4002"/>
    <mergeCell ref="I4002:J4002"/>
    <mergeCell ref="K4002:L4002"/>
    <mergeCell ref="A3997:C3997"/>
    <mergeCell ref="K3997:L3997"/>
    <mergeCell ref="A3998:J3998"/>
    <mergeCell ref="K3998:L3998"/>
    <mergeCell ref="A3999:L3999"/>
    <mergeCell ref="A4000:C4000"/>
    <mergeCell ref="I4000:J4000"/>
    <mergeCell ref="K4000:L4000"/>
    <mergeCell ref="B3994:J3994"/>
    <mergeCell ref="B3995:C3995"/>
    <mergeCell ref="D3995:E3995"/>
    <mergeCell ref="F3995:G3995"/>
    <mergeCell ref="I3995:J3995"/>
    <mergeCell ref="A3996:L3996"/>
    <mergeCell ref="A3990:J3990"/>
    <mergeCell ref="K3990:L3990"/>
    <mergeCell ref="A3991:J3991"/>
    <mergeCell ref="K3991:L3991"/>
    <mergeCell ref="A3992:L3992"/>
    <mergeCell ref="B3993:L3993"/>
    <mergeCell ref="A3986:C3986"/>
    <mergeCell ref="A3987:J3987"/>
    <mergeCell ref="K3987:L3987"/>
    <mergeCell ref="A3988:L3988"/>
    <mergeCell ref="A3989:J3989"/>
    <mergeCell ref="K3989:L3989"/>
    <mergeCell ref="A3983:E3983"/>
    <mergeCell ref="I3983:J3983"/>
    <mergeCell ref="K3983:L3983"/>
    <mergeCell ref="A3984:J3984"/>
    <mergeCell ref="K3984:L3984"/>
    <mergeCell ref="A3985:L3985"/>
    <mergeCell ref="A3980:E3980"/>
    <mergeCell ref="I3980:J3980"/>
    <mergeCell ref="K3980:L3980"/>
    <mergeCell ref="A3981:J3981"/>
    <mergeCell ref="K3981:L3981"/>
    <mergeCell ref="A3982:L3982"/>
    <mergeCell ref="A3977:J3977"/>
    <mergeCell ref="K3977:L3977"/>
    <mergeCell ref="A3978:L3978"/>
    <mergeCell ref="A3979:E3979"/>
    <mergeCell ref="I3979:J3979"/>
    <mergeCell ref="K3979:L3979"/>
    <mergeCell ref="A3973:J3973"/>
    <mergeCell ref="K3973:L3973"/>
    <mergeCell ref="A3974:L3974"/>
    <mergeCell ref="A3975:J3975"/>
    <mergeCell ref="K3975:L3975"/>
    <mergeCell ref="A3976:J3976"/>
    <mergeCell ref="K3976:L3976"/>
    <mergeCell ref="A3970:J3970"/>
    <mergeCell ref="K3970:L3970"/>
    <mergeCell ref="A3971:L3971"/>
    <mergeCell ref="A3972:C3972"/>
    <mergeCell ref="E3972:F3972"/>
    <mergeCell ref="J3972:L3972"/>
    <mergeCell ref="A3968:C3968"/>
    <mergeCell ref="I3968:J3968"/>
    <mergeCell ref="K3968:L3968"/>
    <mergeCell ref="A3969:C3969"/>
    <mergeCell ref="I3969:J3969"/>
    <mergeCell ref="K3969:L3969"/>
    <mergeCell ref="A3964:C3964"/>
    <mergeCell ref="K3964:L3964"/>
    <mergeCell ref="A3965:J3965"/>
    <mergeCell ref="K3965:L3965"/>
    <mergeCell ref="A3966:L3966"/>
    <mergeCell ref="A3967:C3967"/>
    <mergeCell ref="I3967:J3967"/>
    <mergeCell ref="K3967:L3967"/>
    <mergeCell ref="B3961:J3961"/>
    <mergeCell ref="B3962:C3962"/>
    <mergeCell ref="D3962:E3962"/>
    <mergeCell ref="F3962:G3962"/>
    <mergeCell ref="I3962:J3962"/>
    <mergeCell ref="A3963:L3963"/>
    <mergeCell ref="A3957:J3957"/>
    <mergeCell ref="K3957:L3957"/>
    <mergeCell ref="A3958:J3958"/>
    <mergeCell ref="K3958:L3958"/>
    <mergeCell ref="A3959:L3959"/>
    <mergeCell ref="B3960:L3960"/>
    <mergeCell ref="A3953:C3953"/>
    <mergeCell ref="A3954:J3954"/>
    <mergeCell ref="K3954:L3954"/>
    <mergeCell ref="A3955:L3955"/>
    <mergeCell ref="A3956:J3956"/>
    <mergeCell ref="K3956:L3956"/>
    <mergeCell ref="A3950:E3950"/>
    <mergeCell ref="I3950:J3950"/>
    <mergeCell ref="K3950:L3950"/>
    <mergeCell ref="A3951:J3951"/>
    <mergeCell ref="K3951:L3951"/>
    <mergeCell ref="A3952:L3952"/>
    <mergeCell ref="A3947:E3947"/>
    <mergeCell ref="I3947:J3947"/>
    <mergeCell ref="K3947:L3947"/>
    <mergeCell ref="A3948:J3948"/>
    <mergeCell ref="K3948:L3948"/>
    <mergeCell ref="A3949:L3949"/>
    <mergeCell ref="A3944:J3944"/>
    <mergeCell ref="K3944:L3944"/>
    <mergeCell ref="A3945:L3945"/>
    <mergeCell ref="A3946:E3946"/>
    <mergeCell ref="I3946:J3946"/>
    <mergeCell ref="K3946:L3946"/>
    <mergeCell ref="A3940:J3940"/>
    <mergeCell ref="K3940:L3940"/>
    <mergeCell ref="A3941:L3941"/>
    <mergeCell ref="A3942:J3942"/>
    <mergeCell ref="K3942:L3942"/>
    <mergeCell ref="A3943:J3943"/>
    <mergeCell ref="K3943:L3943"/>
    <mergeCell ref="A3937:J3937"/>
    <mergeCell ref="K3937:L3937"/>
    <mergeCell ref="A3938:L3938"/>
    <mergeCell ref="A3939:C3939"/>
    <mergeCell ref="E3939:F3939"/>
    <mergeCell ref="J3939:L3939"/>
    <mergeCell ref="A3935:C3935"/>
    <mergeCell ref="I3935:J3935"/>
    <mergeCell ref="K3935:L3935"/>
    <mergeCell ref="A3936:C3936"/>
    <mergeCell ref="I3936:J3936"/>
    <mergeCell ref="K3936:L3936"/>
    <mergeCell ref="A3931:C3931"/>
    <mergeCell ref="K3931:L3931"/>
    <mergeCell ref="A3932:J3932"/>
    <mergeCell ref="K3932:L3932"/>
    <mergeCell ref="A3933:L3933"/>
    <mergeCell ref="A3934:C3934"/>
    <mergeCell ref="I3934:J3934"/>
    <mergeCell ref="K3934:L3934"/>
    <mergeCell ref="B3928:J3928"/>
    <mergeCell ref="B3929:C3929"/>
    <mergeCell ref="D3929:E3929"/>
    <mergeCell ref="F3929:G3929"/>
    <mergeCell ref="I3929:J3929"/>
    <mergeCell ref="A3930:L3930"/>
    <mergeCell ref="A3924:J3924"/>
    <mergeCell ref="K3924:L3924"/>
    <mergeCell ref="A3925:J3925"/>
    <mergeCell ref="K3925:L3925"/>
    <mergeCell ref="A3926:L3926"/>
    <mergeCell ref="B3927:L3927"/>
    <mergeCell ref="A3920:C3920"/>
    <mergeCell ref="A3921:J3921"/>
    <mergeCell ref="K3921:L3921"/>
    <mergeCell ref="A3922:L3922"/>
    <mergeCell ref="A3923:J3923"/>
    <mergeCell ref="K3923:L3923"/>
    <mergeCell ref="A3917:E3917"/>
    <mergeCell ref="I3917:J3917"/>
    <mergeCell ref="K3917:L3917"/>
    <mergeCell ref="A3918:J3918"/>
    <mergeCell ref="K3918:L3918"/>
    <mergeCell ref="A3919:L3919"/>
    <mergeCell ref="A3914:E3914"/>
    <mergeCell ref="I3914:J3914"/>
    <mergeCell ref="K3914:L3914"/>
    <mergeCell ref="A3915:J3915"/>
    <mergeCell ref="K3915:L3915"/>
    <mergeCell ref="A3916:L3916"/>
    <mergeCell ref="A3911:J3911"/>
    <mergeCell ref="K3911:L3911"/>
    <mergeCell ref="A3912:L3912"/>
    <mergeCell ref="A3913:E3913"/>
    <mergeCell ref="I3913:J3913"/>
    <mergeCell ref="K3913:L3913"/>
    <mergeCell ref="A3907:J3907"/>
    <mergeCell ref="K3907:L3907"/>
    <mergeCell ref="A3908:L3908"/>
    <mergeCell ref="A3909:J3909"/>
    <mergeCell ref="K3909:L3909"/>
    <mergeCell ref="A3910:J3910"/>
    <mergeCell ref="K3910:L3910"/>
    <mergeCell ref="A3904:J3904"/>
    <mergeCell ref="K3904:L3904"/>
    <mergeCell ref="A3905:L3905"/>
    <mergeCell ref="A3906:C3906"/>
    <mergeCell ref="E3906:F3906"/>
    <mergeCell ref="J3906:L3906"/>
    <mergeCell ref="A3902:C3902"/>
    <mergeCell ref="I3902:J3902"/>
    <mergeCell ref="K3902:L3902"/>
    <mergeCell ref="A3903:C3903"/>
    <mergeCell ref="I3903:J3903"/>
    <mergeCell ref="K3903:L3903"/>
    <mergeCell ref="A3898:C3898"/>
    <mergeCell ref="K3898:L3898"/>
    <mergeCell ref="A3899:J3899"/>
    <mergeCell ref="K3899:L3899"/>
    <mergeCell ref="A3900:L3900"/>
    <mergeCell ref="A3901:C3901"/>
    <mergeCell ref="I3901:J3901"/>
    <mergeCell ref="K3901:L3901"/>
    <mergeCell ref="B3895:J3895"/>
    <mergeCell ref="B3896:C3896"/>
    <mergeCell ref="D3896:E3896"/>
    <mergeCell ref="F3896:G3896"/>
    <mergeCell ref="I3896:J3896"/>
    <mergeCell ref="A3897:L3897"/>
    <mergeCell ref="A3891:J3891"/>
    <mergeCell ref="K3891:L3891"/>
    <mergeCell ref="A3892:J3892"/>
    <mergeCell ref="K3892:L3892"/>
    <mergeCell ref="A3893:L3893"/>
    <mergeCell ref="B3894:L3894"/>
    <mergeCell ref="A3887:C3887"/>
    <mergeCell ref="A3888:J3888"/>
    <mergeCell ref="K3888:L3888"/>
    <mergeCell ref="A3889:L3889"/>
    <mergeCell ref="A3890:J3890"/>
    <mergeCell ref="K3890:L3890"/>
    <mergeCell ref="A3884:E3884"/>
    <mergeCell ref="I3884:J3884"/>
    <mergeCell ref="K3884:L3884"/>
    <mergeCell ref="A3885:J3885"/>
    <mergeCell ref="K3885:L3885"/>
    <mergeCell ref="A3886:L3886"/>
    <mergeCell ref="A3881:E3881"/>
    <mergeCell ref="I3881:J3881"/>
    <mergeCell ref="K3881:L3881"/>
    <mergeCell ref="A3882:J3882"/>
    <mergeCell ref="K3882:L3882"/>
    <mergeCell ref="A3883:L3883"/>
    <mergeCell ref="A3878:J3878"/>
    <mergeCell ref="K3878:L3878"/>
    <mergeCell ref="A3879:L3879"/>
    <mergeCell ref="A3880:E3880"/>
    <mergeCell ref="I3880:J3880"/>
    <mergeCell ref="K3880:L3880"/>
    <mergeCell ref="A3874:J3874"/>
    <mergeCell ref="K3874:L3874"/>
    <mergeCell ref="A3875:L3875"/>
    <mergeCell ref="A3876:J3876"/>
    <mergeCell ref="K3876:L3876"/>
    <mergeCell ref="A3877:J3877"/>
    <mergeCell ref="K3877:L3877"/>
    <mergeCell ref="A3871:J3871"/>
    <mergeCell ref="K3871:L3871"/>
    <mergeCell ref="A3872:L3872"/>
    <mergeCell ref="A3873:C3873"/>
    <mergeCell ref="E3873:F3873"/>
    <mergeCell ref="J3873:L3873"/>
    <mergeCell ref="A3869:C3869"/>
    <mergeCell ref="I3869:J3869"/>
    <mergeCell ref="K3869:L3869"/>
    <mergeCell ref="A3870:C3870"/>
    <mergeCell ref="I3870:J3870"/>
    <mergeCell ref="K3870:L3870"/>
    <mergeCell ref="A3865:C3865"/>
    <mergeCell ref="K3865:L3865"/>
    <mergeCell ref="A3866:J3866"/>
    <mergeCell ref="K3866:L3866"/>
    <mergeCell ref="A3867:L3867"/>
    <mergeCell ref="A3868:C3868"/>
    <mergeCell ref="I3868:J3868"/>
    <mergeCell ref="K3868:L3868"/>
    <mergeCell ref="B3862:J3862"/>
    <mergeCell ref="B3863:C3863"/>
    <mergeCell ref="D3863:E3863"/>
    <mergeCell ref="F3863:G3863"/>
    <mergeCell ref="I3863:J3863"/>
    <mergeCell ref="A3864:L3864"/>
    <mergeCell ref="A3858:J3858"/>
    <mergeCell ref="K3858:L3858"/>
    <mergeCell ref="A3859:J3859"/>
    <mergeCell ref="K3859:L3859"/>
    <mergeCell ref="A3860:L3860"/>
    <mergeCell ref="B3861:L3861"/>
    <mergeCell ref="A3854:C3854"/>
    <mergeCell ref="A3855:J3855"/>
    <mergeCell ref="K3855:L3855"/>
    <mergeCell ref="A3856:L3856"/>
    <mergeCell ref="A3857:J3857"/>
    <mergeCell ref="K3857:L3857"/>
    <mergeCell ref="A3851:E3851"/>
    <mergeCell ref="I3851:J3851"/>
    <mergeCell ref="K3851:L3851"/>
    <mergeCell ref="A3852:J3852"/>
    <mergeCell ref="K3852:L3852"/>
    <mergeCell ref="A3853:L3853"/>
    <mergeCell ref="A3849:E3849"/>
    <mergeCell ref="I3849:J3849"/>
    <mergeCell ref="K3849:L3849"/>
    <mergeCell ref="A3850:E3850"/>
    <mergeCell ref="I3850:J3850"/>
    <mergeCell ref="K3850:L3850"/>
    <mergeCell ref="A3846:J3846"/>
    <mergeCell ref="K3846:L3846"/>
    <mergeCell ref="A3847:L3847"/>
    <mergeCell ref="A3848:E3848"/>
    <mergeCell ref="I3848:J3848"/>
    <mergeCell ref="K3848:L3848"/>
    <mergeCell ref="A3844:E3844"/>
    <mergeCell ref="I3844:J3844"/>
    <mergeCell ref="K3844:L3844"/>
    <mergeCell ref="A3845:E3845"/>
    <mergeCell ref="I3845:J3845"/>
    <mergeCell ref="K3845:L3845"/>
    <mergeCell ref="A3841:L3841"/>
    <mergeCell ref="A3842:E3842"/>
    <mergeCell ref="I3842:J3842"/>
    <mergeCell ref="K3842:L3842"/>
    <mergeCell ref="A3843:E3843"/>
    <mergeCell ref="I3843:J3843"/>
    <mergeCell ref="K3843:L3843"/>
    <mergeCell ref="A3838:J3838"/>
    <mergeCell ref="K3838:L3838"/>
    <mergeCell ref="A3839:J3839"/>
    <mergeCell ref="K3839:L3839"/>
    <mergeCell ref="A3840:J3840"/>
    <mergeCell ref="K3840:L3840"/>
    <mergeCell ref="A3835:C3835"/>
    <mergeCell ref="E3835:F3835"/>
    <mergeCell ref="J3835:L3835"/>
    <mergeCell ref="A3836:J3836"/>
    <mergeCell ref="K3836:L3836"/>
    <mergeCell ref="A3837:L3837"/>
    <mergeCell ref="A3832:C3832"/>
    <mergeCell ref="I3832:J3832"/>
    <mergeCell ref="K3832:L3832"/>
    <mergeCell ref="A3833:J3833"/>
    <mergeCell ref="K3833:L3833"/>
    <mergeCell ref="A3834:L3834"/>
    <mergeCell ref="A3828:L3828"/>
    <mergeCell ref="A3829:C3829"/>
    <mergeCell ref="K3829:L3829"/>
    <mergeCell ref="A3830:J3830"/>
    <mergeCell ref="K3830:L3830"/>
    <mergeCell ref="A3831:L3831"/>
    <mergeCell ref="A3824:L3824"/>
    <mergeCell ref="B3825:L3825"/>
    <mergeCell ref="B3826:J3826"/>
    <mergeCell ref="B3827:C3827"/>
    <mergeCell ref="D3827:E3827"/>
    <mergeCell ref="F3827:G3827"/>
    <mergeCell ref="I3827:J3827"/>
    <mergeCell ref="A3820:L3820"/>
    <mergeCell ref="A3821:J3821"/>
    <mergeCell ref="K3821:L3821"/>
    <mergeCell ref="A3822:J3822"/>
    <mergeCell ref="K3822:L3822"/>
    <mergeCell ref="A3823:J3823"/>
    <mergeCell ref="K3823:L3823"/>
    <mergeCell ref="A3816:J3816"/>
    <mergeCell ref="K3816:L3816"/>
    <mergeCell ref="A3817:L3817"/>
    <mergeCell ref="A3818:C3818"/>
    <mergeCell ref="A3819:J3819"/>
    <mergeCell ref="K3819:L3819"/>
    <mergeCell ref="A3813:J3813"/>
    <mergeCell ref="K3813:L3813"/>
    <mergeCell ref="A3814:L3814"/>
    <mergeCell ref="A3815:E3815"/>
    <mergeCell ref="I3815:J3815"/>
    <mergeCell ref="K3815:L3815"/>
    <mergeCell ref="A3811:E3811"/>
    <mergeCell ref="I3811:J3811"/>
    <mergeCell ref="K3811:L3811"/>
    <mergeCell ref="A3812:E3812"/>
    <mergeCell ref="I3812:J3812"/>
    <mergeCell ref="K3812:L3812"/>
    <mergeCell ref="A3808:J3808"/>
    <mergeCell ref="K3808:L3808"/>
    <mergeCell ref="A3809:L3809"/>
    <mergeCell ref="A3810:E3810"/>
    <mergeCell ref="I3810:J3810"/>
    <mergeCell ref="K3810:L3810"/>
    <mergeCell ref="A3804:J3804"/>
    <mergeCell ref="K3804:L3804"/>
    <mergeCell ref="A3805:L3805"/>
    <mergeCell ref="A3806:J3806"/>
    <mergeCell ref="K3806:L3806"/>
    <mergeCell ref="A3807:J3807"/>
    <mergeCell ref="K3807:L3807"/>
    <mergeCell ref="A3801:J3801"/>
    <mergeCell ref="K3801:L3801"/>
    <mergeCell ref="A3802:L3802"/>
    <mergeCell ref="A3803:C3803"/>
    <mergeCell ref="E3803:F3803"/>
    <mergeCell ref="J3803:L3803"/>
    <mergeCell ref="A3799:C3799"/>
    <mergeCell ref="I3799:J3799"/>
    <mergeCell ref="K3799:L3799"/>
    <mergeCell ref="A3800:C3800"/>
    <mergeCell ref="I3800:J3800"/>
    <mergeCell ref="K3800:L3800"/>
    <mergeCell ref="A3795:L3795"/>
    <mergeCell ref="A3796:C3796"/>
    <mergeCell ref="K3796:L3796"/>
    <mergeCell ref="A3797:J3797"/>
    <mergeCell ref="K3797:L3797"/>
    <mergeCell ref="A3798:L3798"/>
    <mergeCell ref="A3791:L3791"/>
    <mergeCell ref="B3792:L3792"/>
    <mergeCell ref="B3793:J3793"/>
    <mergeCell ref="B3794:C3794"/>
    <mergeCell ref="D3794:E3794"/>
    <mergeCell ref="F3794:G3794"/>
    <mergeCell ref="I3794:J3794"/>
    <mergeCell ref="A3787:L3787"/>
    <mergeCell ref="A3788:J3788"/>
    <mergeCell ref="K3788:L3788"/>
    <mergeCell ref="A3789:J3789"/>
    <mergeCell ref="K3789:L3789"/>
    <mergeCell ref="A3790:J3790"/>
    <mergeCell ref="K3790:L3790"/>
    <mergeCell ref="A3783:J3783"/>
    <mergeCell ref="K3783:L3783"/>
    <mergeCell ref="A3784:L3784"/>
    <mergeCell ref="A3785:C3785"/>
    <mergeCell ref="A3786:J3786"/>
    <mergeCell ref="K3786:L3786"/>
    <mergeCell ref="A3780:L3780"/>
    <mergeCell ref="A3781:E3781"/>
    <mergeCell ref="I3781:J3781"/>
    <mergeCell ref="K3781:L3781"/>
    <mergeCell ref="A3782:E3782"/>
    <mergeCell ref="I3782:J3782"/>
    <mergeCell ref="K3782:L3782"/>
    <mergeCell ref="A3777:L3777"/>
    <mergeCell ref="A3778:E3778"/>
    <mergeCell ref="I3778:J3778"/>
    <mergeCell ref="K3778:L3778"/>
    <mergeCell ref="A3779:J3779"/>
    <mergeCell ref="K3779:L3779"/>
    <mergeCell ref="A3774:J3774"/>
    <mergeCell ref="K3774:L3774"/>
    <mergeCell ref="A3775:J3775"/>
    <mergeCell ref="K3775:L3775"/>
    <mergeCell ref="A3776:J3776"/>
    <mergeCell ref="K3776:L3776"/>
    <mergeCell ref="A3771:C3771"/>
    <mergeCell ref="E3771:F3771"/>
    <mergeCell ref="J3771:L3771"/>
    <mergeCell ref="A3772:J3772"/>
    <mergeCell ref="K3772:L3772"/>
    <mergeCell ref="A3773:L3773"/>
    <mergeCell ref="A3768:C3768"/>
    <mergeCell ref="I3768:J3768"/>
    <mergeCell ref="K3768:L3768"/>
    <mergeCell ref="A3769:J3769"/>
    <mergeCell ref="K3769:L3769"/>
    <mergeCell ref="A3770:L3770"/>
    <mergeCell ref="A3764:L3764"/>
    <mergeCell ref="A3765:C3765"/>
    <mergeCell ref="K3765:L3765"/>
    <mergeCell ref="A3766:J3766"/>
    <mergeCell ref="K3766:L3766"/>
    <mergeCell ref="A3767:L3767"/>
    <mergeCell ref="A3760:L3760"/>
    <mergeCell ref="B3761:L3761"/>
    <mergeCell ref="B3762:J3762"/>
    <mergeCell ref="B3763:C3763"/>
    <mergeCell ref="D3763:E3763"/>
    <mergeCell ref="F3763:G3763"/>
    <mergeCell ref="I3763:J3763"/>
    <mergeCell ref="A3756:L3756"/>
    <mergeCell ref="A3757:J3757"/>
    <mergeCell ref="K3757:L3757"/>
    <mergeCell ref="A3758:J3758"/>
    <mergeCell ref="K3758:L3758"/>
    <mergeCell ref="A3759:J3759"/>
    <mergeCell ref="K3759:L3759"/>
    <mergeCell ref="A3752:J3752"/>
    <mergeCell ref="K3752:L3752"/>
    <mergeCell ref="A3753:L3753"/>
    <mergeCell ref="A3754:C3754"/>
    <mergeCell ref="A3755:J3755"/>
    <mergeCell ref="K3755:L3755"/>
    <mergeCell ref="A3749:L3749"/>
    <mergeCell ref="A3750:E3750"/>
    <mergeCell ref="I3750:J3750"/>
    <mergeCell ref="K3750:L3750"/>
    <mergeCell ref="A3751:E3751"/>
    <mergeCell ref="I3751:J3751"/>
    <mergeCell ref="K3751:L3751"/>
    <mergeCell ref="A3746:L3746"/>
    <mergeCell ref="A3747:E3747"/>
    <mergeCell ref="I3747:J3747"/>
    <mergeCell ref="K3747:L3747"/>
    <mergeCell ref="A3748:J3748"/>
    <mergeCell ref="K3748:L3748"/>
    <mergeCell ref="A3743:J3743"/>
    <mergeCell ref="K3743:L3743"/>
    <mergeCell ref="A3744:J3744"/>
    <mergeCell ref="K3744:L3744"/>
    <mergeCell ref="A3745:J3745"/>
    <mergeCell ref="K3745:L3745"/>
    <mergeCell ref="A3740:C3740"/>
    <mergeCell ref="E3740:F3740"/>
    <mergeCell ref="J3740:L3740"/>
    <mergeCell ref="A3741:J3741"/>
    <mergeCell ref="K3741:L3741"/>
    <mergeCell ref="A3742:L3742"/>
    <mergeCell ref="A3737:C3737"/>
    <mergeCell ref="I3737:J3737"/>
    <mergeCell ref="K3737:L3737"/>
    <mergeCell ref="A3738:J3738"/>
    <mergeCell ref="K3738:L3738"/>
    <mergeCell ref="A3739:L3739"/>
    <mergeCell ref="A3733:L3733"/>
    <mergeCell ref="A3734:C3734"/>
    <mergeCell ref="K3734:L3734"/>
    <mergeCell ref="A3735:J3735"/>
    <mergeCell ref="K3735:L3735"/>
    <mergeCell ref="A3736:L3736"/>
    <mergeCell ref="A3729:L3729"/>
    <mergeCell ref="B3730:L3730"/>
    <mergeCell ref="B3731:J3731"/>
    <mergeCell ref="B3732:C3732"/>
    <mergeCell ref="D3732:E3732"/>
    <mergeCell ref="F3732:G3732"/>
    <mergeCell ref="I3732:J3732"/>
    <mergeCell ref="A3725:L3725"/>
    <mergeCell ref="A3726:J3726"/>
    <mergeCell ref="K3726:L3726"/>
    <mergeCell ref="A3727:J3727"/>
    <mergeCell ref="K3727:L3727"/>
    <mergeCell ref="A3728:J3728"/>
    <mergeCell ref="K3728:L3728"/>
    <mergeCell ref="A3721:J3721"/>
    <mergeCell ref="K3721:L3721"/>
    <mergeCell ref="A3722:L3722"/>
    <mergeCell ref="A3723:C3723"/>
    <mergeCell ref="A3724:J3724"/>
    <mergeCell ref="K3724:L3724"/>
    <mergeCell ref="A3718:L3718"/>
    <mergeCell ref="A3719:E3719"/>
    <mergeCell ref="I3719:J3719"/>
    <mergeCell ref="K3719:L3719"/>
    <mergeCell ref="A3720:E3720"/>
    <mergeCell ref="I3720:J3720"/>
    <mergeCell ref="K3720:L3720"/>
    <mergeCell ref="A3715:L3715"/>
    <mergeCell ref="A3716:E3716"/>
    <mergeCell ref="I3716:J3716"/>
    <mergeCell ref="K3716:L3716"/>
    <mergeCell ref="A3717:J3717"/>
    <mergeCell ref="K3717:L3717"/>
    <mergeCell ref="A3712:J3712"/>
    <mergeCell ref="K3712:L3712"/>
    <mergeCell ref="A3713:J3713"/>
    <mergeCell ref="K3713:L3713"/>
    <mergeCell ref="A3714:J3714"/>
    <mergeCell ref="K3714:L3714"/>
    <mergeCell ref="A3709:C3709"/>
    <mergeCell ref="E3709:F3709"/>
    <mergeCell ref="J3709:L3709"/>
    <mergeCell ref="A3710:J3710"/>
    <mergeCell ref="K3710:L3710"/>
    <mergeCell ref="A3711:L3711"/>
    <mergeCell ref="A3706:C3706"/>
    <mergeCell ref="I3706:J3706"/>
    <mergeCell ref="K3706:L3706"/>
    <mergeCell ref="A3707:J3707"/>
    <mergeCell ref="K3707:L3707"/>
    <mergeCell ref="A3708:L3708"/>
    <mergeCell ref="A3702:L3702"/>
    <mergeCell ref="A3703:C3703"/>
    <mergeCell ref="K3703:L3703"/>
    <mergeCell ref="A3704:J3704"/>
    <mergeCell ref="K3704:L3704"/>
    <mergeCell ref="A3705:L3705"/>
    <mergeCell ref="A3698:L3698"/>
    <mergeCell ref="B3699:L3699"/>
    <mergeCell ref="B3700:J3700"/>
    <mergeCell ref="B3701:C3701"/>
    <mergeCell ref="D3701:E3701"/>
    <mergeCell ref="F3701:G3701"/>
    <mergeCell ref="I3701:J3701"/>
    <mergeCell ref="A3694:L3694"/>
    <mergeCell ref="A3695:J3695"/>
    <mergeCell ref="K3695:L3695"/>
    <mergeCell ref="A3696:J3696"/>
    <mergeCell ref="K3696:L3696"/>
    <mergeCell ref="A3697:J3697"/>
    <mergeCell ref="K3697:L3697"/>
    <mergeCell ref="A3690:J3690"/>
    <mergeCell ref="K3690:L3690"/>
    <mergeCell ref="A3691:L3691"/>
    <mergeCell ref="A3692:C3692"/>
    <mergeCell ref="A3693:J3693"/>
    <mergeCell ref="K3693:L3693"/>
    <mergeCell ref="A3687:L3687"/>
    <mergeCell ref="A3688:E3688"/>
    <mergeCell ref="I3688:J3688"/>
    <mergeCell ref="K3688:L3688"/>
    <mergeCell ref="A3689:E3689"/>
    <mergeCell ref="I3689:J3689"/>
    <mergeCell ref="K3689:L3689"/>
    <mergeCell ref="A3684:L3684"/>
    <mergeCell ref="A3685:E3685"/>
    <mergeCell ref="I3685:J3685"/>
    <mergeCell ref="K3685:L3685"/>
    <mergeCell ref="A3686:J3686"/>
    <mergeCell ref="K3686:L3686"/>
    <mergeCell ref="A3681:J3681"/>
    <mergeCell ref="K3681:L3681"/>
    <mergeCell ref="A3682:J3682"/>
    <mergeCell ref="K3682:L3682"/>
    <mergeCell ref="A3683:J3683"/>
    <mergeCell ref="K3683:L3683"/>
    <mergeCell ref="A3678:C3678"/>
    <mergeCell ref="E3678:F3678"/>
    <mergeCell ref="J3678:L3678"/>
    <mergeCell ref="A3679:J3679"/>
    <mergeCell ref="K3679:L3679"/>
    <mergeCell ref="A3680:L3680"/>
    <mergeCell ref="A3675:C3675"/>
    <mergeCell ref="I3675:J3675"/>
    <mergeCell ref="K3675:L3675"/>
    <mergeCell ref="A3676:J3676"/>
    <mergeCell ref="K3676:L3676"/>
    <mergeCell ref="A3677:L3677"/>
    <mergeCell ref="A3671:L3671"/>
    <mergeCell ref="A3672:C3672"/>
    <mergeCell ref="K3672:L3672"/>
    <mergeCell ref="A3673:J3673"/>
    <mergeCell ref="K3673:L3673"/>
    <mergeCell ref="A3674:L3674"/>
    <mergeCell ref="A3667:L3667"/>
    <mergeCell ref="B3668:L3668"/>
    <mergeCell ref="B3669:J3669"/>
    <mergeCell ref="B3670:C3670"/>
    <mergeCell ref="D3670:E3670"/>
    <mergeCell ref="F3670:G3670"/>
    <mergeCell ref="I3670:J3670"/>
    <mergeCell ref="A3663:L3663"/>
    <mergeCell ref="A3664:J3664"/>
    <mergeCell ref="K3664:L3664"/>
    <mergeCell ref="A3665:J3665"/>
    <mergeCell ref="K3665:L3665"/>
    <mergeCell ref="A3666:J3666"/>
    <mergeCell ref="K3666:L3666"/>
    <mergeCell ref="A3659:J3659"/>
    <mergeCell ref="K3659:L3659"/>
    <mergeCell ref="A3660:L3660"/>
    <mergeCell ref="A3661:C3661"/>
    <mergeCell ref="A3662:J3662"/>
    <mergeCell ref="K3662:L3662"/>
    <mergeCell ref="A3656:J3656"/>
    <mergeCell ref="K3656:L3656"/>
    <mergeCell ref="A3657:L3657"/>
    <mergeCell ref="A3658:E3658"/>
    <mergeCell ref="I3658:J3658"/>
    <mergeCell ref="K3658:L3658"/>
    <mergeCell ref="A3653:J3653"/>
    <mergeCell ref="K3653:L3653"/>
    <mergeCell ref="A3654:L3654"/>
    <mergeCell ref="A3655:E3655"/>
    <mergeCell ref="I3655:J3655"/>
    <mergeCell ref="K3655:L3655"/>
    <mergeCell ref="A3649:J3649"/>
    <mergeCell ref="K3649:L3649"/>
    <mergeCell ref="A3650:L3650"/>
    <mergeCell ref="A3651:J3651"/>
    <mergeCell ref="K3651:L3651"/>
    <mergeCell ref="A3652:J3652"/>
    <mergeCell ref="K3652:L3652"/>
    <mergeCell ref="A3646:J3646"/>
    <mergeCell ref="K3646:L3646"/>
    <mergeCell ref="A3647:L3647"/>
    <mergeCell ref="A3648:C3648"/>
    <mergeCell ref="E3648:F3648"/>
    <mergeCell ref="J3648:L3648"/>
    <mergeCell ref="A3644:C3644"/>
    <mergeCell ref="I3644:J3644"/>
    <mergeCell ref="K3644:L3644"/>
    <mergeCell ref="A3645:C3645"/>
    <mergeCell ref="I3645:J3645"/>
    <mergeCell ref="K3645:L3645"/>
    <mergeCell ref="A3640:C3640"/>
    <mergeCell ref="K3640:L3640"/>
    <mergeCell ref="A3641:J3641"/>
    <mergeCell ref="K3641:L3641"/>
    <mergeCell ref="A3642:L3642"/>
    <mergeCell ref="A3643:C3643"/>
    <mergeCell ref="I3643:J3643"/>
    <mergeCell ref="K3643:L3643"/>
    <mergeCell ref="B3637:J3637"/>
    <mergeCell ref="B3638:C3638"/>
    <mergeCell ref="D3638:E3638"/>
    <mergeCell ref="F3638:G3638"/>
    <mergeCell ref="I3638:J3638"/>
    <mergeCell ref="A3639:L3639"/>
    <mergeCell ref="A3633:J3633"/>
    <mergeCell ref="K3633:L3633"/>
    <mergeCell ref="A3634:J3634"/>
    <mergeCell ref="K3634:L3634"/>
    <mergeCell ref="A3635:L3635"/>
    <mergeCell ref="B3636:L3636"/>
    <mergeCell ref="A3629:C3629"/>
    <mergeCell ref="A3630:J3630"/>
    <mergeCell ref="K3630:L3630"/>
    <mergeCell ref="A3631:L3631"/>
    <mergeCell ref="A3632:J3632"/>
    <mergeCell ref="K3632:L3632"/>
    <mergeCell ref="A3626:E3626"/>
    <mergeCell ref="I3626:J3626"/>
    <mergeCell ref="K3626:L3626"/>
    <mergeCell ref="A3627:J3627"/>
    <mergeCell ref="K3627:L3627"/>
    <mergeCell ref="A3628:L3628"/>
    <mergeCell ref="A3623:E3623"/>
    <mergeCell ref="I3623:J3623"/>
    <mergeCell ref="K3623:L3623"/>
    <mergeCell ref="A3624:J3624"/>
    <mergeCell ref="K3624:L3624"/>
    <mergeCell ref="A3625:L3625"/>
    <mergeCell ref="A3621:E3621"/>
    <mergeCell ref="I3621:J3621"/>
    <mergeCell ref="K3621:L3621"/>
    <mergeCell ref="A3622:E3622"/>
    <mergeCell ref="I3622:J3622"/>
    <mergeCell ref="K3622:L3622"/>
    <mergeCell ref="A3618:J3618"/>
    <mergeCell ref="K3618:L3618"/>
    <mergeCell ref="A3619:L3619"/>
    <mergeCell ref="A3620:E3620"/>
    <mergeCell ref="I3620:J3620"/>
    <mergeCell ref="K3620:L3620"/>
    <mergeCell ref="A3614:J3614"/>
    <mergeCell ref="K3614:L3614"/>
    <mergeCell ref="A3615:L3615"/>
    <mergeCell ref="A3616:J3616"/>
    <mergeCell ref="K3616:L3616"/>
    <mergeCell ref="A3617:J3617"/>
    <mergeCell ref="K3617:L3617"/>
    <mergeCell ref="A3611:J3611"/>
    <mergeCell ref="K3611:L3611"/>
    <mergeCell ref="A3612:L3612"/>
    <mergeCell ref="A3613:C3613"/>
    <mergeCell ref="E3613:F3613"/>
    <mergeCell ref="J3613:L3613"/>
    <mergeCell ref="A3609:C3609"/>
    <mergeCell ref="I3609:J3609"/>
    <mergeCell ref="K3609:L3609"/>
    <mergeCell ref="A3610:C3610"/>
    <mergeCell ref="I3610:J3610"/>
    <mergeCell ref="K3610:L3610"/>
    <mergeCell ref="A3607:C3607"/>
    <mergeCell ref="I3607:J3607"/>
    <mergeCell ref="K3607:L3607"/>
    <mergeCell ref="A3608:C3608"/>
    <mergeCell ref="I3608:J3608"/>
    <mergeCell ref="K3608:L3608"/>
    <mergeCell ref="A3603:C3603"/>
    <mergeCell ref="K3603:L3603"/>
    <mergeCell ref="A3604:J3604"/>
    <mergeCell ref="K3604:L3604"/>
    <mergeCell ref="A3605:L3605"/>
    <mergeCell ref="A3606:C3606"/>
    <mergeCell ref="I3606:J3606"/>
    <mergeCell ref="K3606:L3606"/>
    <mergeCell ref="B3600:J3600"/>
    <mergeCell ref="B3601:C3601"/>
    <mergeCell ref="D3601:E3601"/>
    <mergeCell ref="F3601:G3601"/>
    <mergeCell ref="I3601:J3601"/>
    <mergeCell ref="A3602:L3602"/>
    <mergeCell ref="A3596:J3596"/>
    <mergeCell ref="K3596:L3596"/>
    <mergeCell ref="A3597:J3597"/>
    <mergeCell ref="K3597:L3597"/>
    <mergeCell ref="A3598:L3598"/>
    <mergeCell ref="B3599:L3599"/>
    <mergeCell ref="A3592:C3592"/>
    <mergeCell ref="A3593:J3593"/>
    <mergeCell ref="K3593:L3593"/>
    <mergeCell ref="A3594:L3594"/>
    <mergeCell ref="A3595:J3595"/>
    <mergeCell ref="K3595:L3595"/>
    <mergeCell ref="A3589:E3589"/>
    <mergeCell ref="I3589:J3589"/>
    <mergeCell ref="K3589:L3589"/>
    <mergeCell ref="A3590:J3590"/>
    <mergeCell ref="K3590:L3590"/>
    <mergeCell ref="A3591:L3591"/>
    <mergeCell ref="A3586:J3586"/>
    <mergeCell ref="K3586:L3586"/>
    <mergeCell ref="A3587:L3587"/>
    <mergeCell ref="A3588:E3588"/>
    <mergeCell ref="I3588:J3588"/>
    <mergeCell ref="K3588:L3588"/>
    <mergeCell ref="A3583:J3583"/>
    <mergeCell ref="K3583:L3583"/>
    <mergeCell ref="A3584:L3584"/>
    <mergeCell ref="A3585:E3585"/>
    <mergeCell ref="I3585:J3585"/>
    <mergeCell ref="K3585:L3585"/>
    <mergeCell ref="A3579:J3579"/>
    <mergeCell ref="K3579:L3579"/>
    <mergeCell ref="A3580:L3580"/>
    <mergeCell ref="A3581:J3581"/>
    <mergeCell ref="K3581:L3581"/>
    <mergeCell ref="A3582:J3582"/>
    <mergeCell ref="K3582:L3582"/>
    <mergeCell ref="A3576:J3576"/>
    <mergeCell ref="K3576:L3576"/>
    <mergeCell ref="A3577:L3577"/>
    <mergeCell ref="A3578:C3578"/>
    <mergeCell ref="E3578:F3578"/>
    <mergeCell ref="J3578:L3578"/>
    <mergeCell ref="A3572:C3572"/>
    <mergeCell ref="K3572:L3572"/>
    <mergeCell ref="A3573:J3573"/>
    <mergeCell ref="K3573:L3573"/>
    <mergeCell ref="A3574:L3574"/>
    <mergeCell ref="A3575:C3575"/>
    <mergeCell ref="I3575:J3575"/>
    <mergeCell ref="K3575:L3575"/>
    <mergeCell ref="B3569:J3569"/>
    <mergeCell ref="B3570:C3570"/>
    <mergeCell ref="D3570:E3570"/>
    <mergeCell ref="F3570:G3570"/>
    <mergeCell ref="I3570:J3570"/>
    <mergeCell ref="A3571:L3571"/>
    <mergeCell ref="A3565:J3565"/>
    <mergeCell ref="K3565:L3565"/>
    <mergeCell ref="A3566:J3566"/>
    <mergeCell ref="K3566:L3566"/>
    <mergeCell ref="A3567:L3567"/>
    <mergeCell ref="B3568:L3568"/>
    <mergeCell ref="A3561:C3561"/>
    <mergeCell ref="A3562:J3562"/>
    <mergeCell ref="K3562:L3562"/>
    <mergeCell ref="A3563:L3563"/>
    <mergeCell ref="A3564:J3564"/>
    <mergeCell ref="K3564:L3564"/>
    <mergeCell ref="A3558:E3558"/>
    <mergeCell ref="I3558:J3558"/>
    <mergeCell ref="K3558:L3558"/>
    <mergeCell ref="A3559:J3559"/>
    <mergeCell ref="K3559:L3559"/>
    <mergeCell ref="A3560:L3560"/>
    <mergeCell ref="A3555:J3555"/>
    <mergeCell ref="K3555:L3555"/>
    <mergeCell ref="A3556:L3556"/>
    <mergeCell ref="A3557:E3557"/>
    <mergeCell ref="I3557:J3557"/>
    <mergeCell ref="K3557:L3557"/>
    <mergeCell ref="A3552:J3552"/>
    <mergeCell ref="K3552:L3552"/>
    <mergeCell ref="A3553:L3553"/>
    <mergeCell ref="A3554:E3554"/>
    <mergeCell ref="I3554:J3554"/>
    <mergeCell ref="K3554:L3554"/>
    <mergeCell ref="A3548:J3548"/>
    <mergeCell ref="K3548:L3548"/>
    <mergeCell ref="A3549:L3549"/>
    <mergeCell ref="A3550:J3550"/>
    <mergeCell ref="K3550:L3550"/>
    <mergeCell ref="A3551:J3551"/>
    <mergeCell ref="K3551:L3551"/>
    <mergeCell ref="A3545:J3545"/>
    <mergeCell ref="K3545:L3545"/>
    <mergeCell ref="A3546:L3546"/>
    <mergeCell ref="A3547:C3547"/>
    <mergeCell ref="E3547:F3547"/>
    <mergeCell ref="J3547:L3547"/>
    <mergeCell ref="A3541:C3541"/>
    <mergeCell ref="K3541:L3541"/>
    <mergeCell ref="A3542:J3542"/>
    <mergeCell ref="K3542:L3542"/>
    <mergeCell ref="A3543:L3543"/>
    <mergeCell ref="A3544:C3544"/>
    <mergeCell ref="I3544:J3544"/>
    <mergeCell ref="K3544:L3544"/>
    <mergeCell ref="B3538:J3538"/>
    <mergeCell ref="B3539:C3539"/>
    <mergeCell ref="D3539:E3539"/>
    <mergeCell ref="F3539:G3539"/>
    <mergeCell ref="I3539:J3539"/>
    <mergeCell ref="A3540:L3540"/>
    <mergeCell ref="A3534:J3534"/>
    <mergeCell ref="K3534:L3534"/>
    <mergeCell ref="A3535:J3535"/>
    <mergeCell ref="K3535:L3535"/>
    <mergeCell ref="A3536:L3536"/>
    <mergeCell ref="B3537:L3537"/>
    <mergeCell ref="A3529:L3529"/>
    <mergeCell ref="A3530:C3530"/>
    <mergeCell ref="A3531:J3531"/>
    <mergeCell ref="K3531:L3531"/>
    <mergeCell ref="A3532:L3532"/>
    <mergeCell ref="A3533:J3533"/>
    <mergeCell ref="K3533:L3533"/>
    <mergeCell ref="A3526:L3526"/>
    <mergeCell ref="A3527:E3527"/>
    <mergeCell ref="I3527:J3527"/>
    <mergeCell ref="K3527:L3527"/>
    <mergeCell ref="A3528:J3528"/>
    <mergeCell ref="K3528:L3528"/>
    <mergeCell ref="A3523:L3523"/>
    <mergeCell ref="A3524:E3524"/>
    <mergeCell ref="I3524:J3524"/>
    <mergeCell ref="K3524:L3524"/>
    <mergeCell ref="A3525:J3525"/>
    <mergeCell ref="K3525:L3525"/>
    <mergeCell ref="A3520:J3520"/>
    <mergeCell ref="K3520:L3520"/>
    <mergeCell ref="A3521:J3521"/>
    <mergeCell ref="K3521:L3521"/>
    <mergeCell ref="A3522:J3522"/>
    <mergeCell ref="K3522:L3522"/>
    <mergeCell ref="A3517:C3517"/>
    <mergeCell ref="E3517:F3517"/>
    <mergeCell ref="J3517:L3517"/>
    <mergeCell ref="A3518:J3518"/>
    <mergeCell ref="K3518:L3518"/>
    <mergeCell ref="A3519:L3519"/>
    <mergeCell ref="A3514:C3514"/>
    <mergeCell ref="I3514:J3514"/>
    <mergeCell ref="K3514:L3514"/>
    <mergeCell ref="A3515:J3515"/>
    <mergeCell ref="K3515:L3515"/>
    <mergeCell ref="A3516:L3516"/>
    <mergeCell ref="A3512:C3512"/>
    <mergeCell ref="I3512:J3512"/>
    <mergeCell ref="K3512:L3512"/>
    <mergeCell ref="A3513:C3513"/>
    <mergeCell ref="I3513:J3513"/>
    <mergeCell ref="K3513:L3513"/>
    <mergeCell ref="A3508:L3508"/>
    <mergeCell ref="A3509:C3509"/>
    <mergeCell ref="K3509:L3509"/>
    <mergeCell ref="A3510:J3510"/>
    <mergeCell ref="K3510:L3510"/>
    <mergeCell ref="A3511:L3511"/>
    <mergeCell ref="A3504:L3504"/>
    <mergeCell ref="B3505:L3505"/>
    <mergeCell ref="B3506:J3506"/>
    <mergeCell ref="B3507:C3507"/>
    <mergeCell ref="D3507:E3507"/>
    <mergeCell ref="F3507:G3507"/>
    <mergeCell ref="I3507:J3507"/>
    <mergeCell ref="A3500:L3500"/>
    <mergeCell ref="A3501:J3501"/>
    <mergeCell ref="K3501:L3501"/>
    <mergeCell ref="A3502:J3502"/>
    <mergeCell ref="K3502:L3502"/>
    <mergeCell ref="A3503:J3503"/>
    <mergeCell ref="K3503:L3503"/>
    <mergeCell ref="A3496:J3496"/>
    <mergeCell ref="K3496:L3496"/>
    <mergeCell ref="A3497:L3497"/>
    <mergeCell ref="A3498:C3498"/>
    <mergeCell ref="A3499:J3499"/>
    <mergeCell ref="K3499:L3499"/>
    <mergeCell ref="A3494:E3494"/>
    <mergeCell ref="I3494:J3494"/>
    <mergeCell ref="K3494:L3494"/>
    <mergeCell ref="A3495:E3495"/>
    <mergeCell ref="I3495:J3495"/>
    <mergeCell ref="K3495:L3495"/>
    <mergeCell ref="A3491:E3491"/>
    <mergeCell ref="I3491:J3491"/>
    <mergeCell ref="K3491:L3491"/>
    <mergeCell ref="A3492:J3492"/>
    <mergeCell ref="K3492:L3492"/>
    <mergeCell ref="A3493:L3493"/>
    <mergeCell ref="A3489:E3489"/>
    <mergeCell ref="I3489:J3489"/>
    <mergeCell ref="K3489:L3489"/>
    <mergeCell ref="A3490:E3490"/>
    <mergeCell ref="I3490:J3490"/>
    <mergeCell ref="K3490:L3490"/>
    <mergeCell ref="A3486:J3486"/>
    <mergeCell ref="K3486:L3486"/>
    <mergeCell ref="A3487:L3487"/>
    <mergeCell ref="A3488:E3488"/>
    <mergeCell ref="I3488:J3488"/>
    <mergeCell ref="K3488:L3488"/>
    <mergeCell ref="A3482:J3482"/>
    <mergeCell ref="K3482:L3482"/>
    <mergeCell ref="A3483:L3483"/>
    <mergeCell ref="A3484:J3484"/>
    <mergeCell ref="K3484:L3484"/>
    <mergeCell ref="A3485:J3485"/>
    <mergeCell ref="K3485:L3485"/>
    <mergeCell ref="A3479:J3479"/>
    <mergeCell ref="K3479:L3479"/>
    <mergeCell ref="A3480:L3480"/>
    <mergeCell ref="A3481:C3481"/>
    <mergeCell ref="E3481:F3481"/>
    <mergeCell ref="J3481:L3481"/>
    <mergeCell ref="A3475:C3475"/>
    <mergeCell ref="K3475:L3475"/>
    <mergeCell ref="A3476:J3476"/>
    <mergeCell ref="K3476:L3476"/>
    <mergeCell ref="A3477:L3477"/>
    <mergeCell ref="A3478:C3478"/>
    <mergeCell ref="I3478:J3478"/>
    <mergeCell ref="K3478:L3478"/>
    <mergeCell ref="B3472:J3472"/>
    <mergeCell ref="B3473:C3473"/>
    <mergeCell ref="D3473:E3473"/>
    <mergeCell ref="F3473:G3473"/>
    <mergeCell ref="I3473:J3473"/>
    <mergeCell ref="A3474:L3474"/>
    <mergeCell ref="A3468:J3468"/>
    <mergeCell ref="K3468:L3468"/>
    <mergeCell ref="A3469:J3469"/>
    <mergeCell ref="K3469:L3469"/>
    <mergeCell ref="A3470:L3470"/>
    <mergeCell ref="B3471:L3471"/>
    <mergeCell ref="A3464:C3464"/>
    <mergeCell ref="A3465:J3465"/>
    <mergeCell ref="K3465:L3465"/>
    <mergeCell ref="A3466:L3466"/>
    <mergeCell ref="A3467:J3467"/>
    <mergeCell ref="K3467:L3467"/>
    <mergeCell ref="A3461:E3461"/>
    <mergeCell ref="I3461:J3461"/>
    <mergeCell ref="K3461:L3461"/>
    <mergeCell ref="A3462:J3462"/>
    <mergeCell ref="K3462:L3462"/>
    <mergeCell ref="A3463:L3463"/>
    <mergeCell ref="A3458:J3458"/>
    <mergeCell ref="K3458:L3458"/>
    <mergeCell ref="A3459:L3459"/>
    <mergeCell ref="A3460:E3460"/>
    <mergeCell ref="I3460:J3460"/>
    <mergeCell ref="K3460:L3460"/>
    <mergeCell ref="A3455:L3455"/>
    <mergeCell ref="A3456:E3456"/>
    <mergeCell ref="I3456:J3456"/>
    <mergeCell ref="K3456:L3456"/>
    <mergeCell ref="A3457:E3457"/>
    <mergeCell ref="I3457:J3457"/>
    <mergeCell ref="K3457:L3457"/>
    <mergeCell ref="A3452:J3452"/>
    <mergeCell ref="K3452:L3452"/>
    <mergeCell ref="A3453:J3453"/>
    <mergeCell ref="K3453:L3453"/>
    <mergeCell ref="A3454:J3454"/>
    <mergeCell ref="K3454:L3454"/>
    <mergeCell ref="A3449:C3449"/>
    <mergeCell ref="E3449:F3449"/>
    <mergeCell ref="J3449:L3449"/>
    <mergeCell ref="A3450:J3450"/>
    <mergeCell ref="K3450:L3450"/>
    <mergeCell ref="A3451:L3451"/>
    <mergeCell ref="A3446:C3446"/>
    <mergeCell ref="I3446:J3446"/>
    <mergeCell ref="K3446:L3446"/>
    <mergeCell ref="A3447:J3447"/>
    <mergeCell ref="K3447:L3447"/>
    <mergeCell ref="A3448:L3448"/>
    <mergeCell ref="A3442:L3442"/>
    <mergeCell ref="A3443:C3443"/>
    <mergeCell ref="K3443:L3443"/>
    <mergeCell ref="A3444:J3444"/>
    <mergeCell ref="K3444:L3444"/>
    <mergeCell ref="A3445:L3445"/>
    <mergeCell ref="A3438:L3438"/>
    <mergeCell ref="B3439:L3439"/>
    <mergeCell ref="B3440:J3440"/>
    <mergeCell ref="B3441:C3441"/>
    <mergeCell ref="D3441:E3441"/>
    <mergeCell ref="F3441:G3441"/>
    <mergeCell ref="I3441:J3441"/>
    <mergeCell ref="A3434:L3434"/>
    <mergeCell ref="A3435:J3435"/>
    <mergeCell ref="K3435:L3435"/>
    <mergeCell ref="A3436:J3436"/>
    <mergeCell ref="K3436:L3436"/>
    <mergeCell ref="A3437:J3437"/>
    <mergeCell ref="K3437:L3437"/>
    <mergeCell ref="A3430:J3430"/>
    <mergeCell ref="K3430:L3430"/>
    <mergeCell ref="A3431:L3431"/>
    <mergeCell ref="A3432:C3432"/>
    <mergeCell ref="A3433:J3433"/>
    <mergeCell ref="K3433:L3433"/>
    <mergeCell ref="A3428:E3428"/>
    <mergeCell ref="I3428:J3428"/>
    <mergeCell ref="K3428:L3428"/>
    <mergeCell ref="A3429:E3429"/>
    <mergeCell ref="I3429:J3429"/>
    <mergeCell ref="K3429:L3429"/>
    <mergeCell ref="A3426:E3426"/>
    <mergeCell ref="I3426:J3426"/>
    <mergeCell ref="K3426:L3426"/>
    <mergeCell ref="A3427:E3427"/>
    <mergeCell ref="I3427:J3427"/>
    <mergeCell ref="K3427:L3427"/>
    <mergeCell ref="A3424:E3424"/>
    <mergeCell ref="I3424:J3424"/>
    <mergeCell ref="K3424:L3424"/>
    <mergeCell ref="A3425:E3425"/>
    <mergeCell ref="I3425:J3425"/>
    <mergeCell ref="K3425:L3425"/>
    <mergeCell ref="A3421:E3421"/>
    <mergeCell ref="I3421:J3421"/>
    <mergeCell ref="K3421:L3421"/>
    <mergeCell ref="A3422:J3422"/>
    <mergeCell ref="K3422:L3422"/>
    <mergeCell ref="A3423:L3423"/>
    <mergeCell ref="A3418:J3418"/>
    <mergeCell ref="K3418:L3418"/>
    <mergeCell ref="A3419:L3419"/>
    <mergeCell ref="A3420:E3420"/>
    <mergeCell ref="I3420:J3420"/>
    <mergeCell ref="K3420:L3420"/>
    <mergeCell ref="A3414:J3414"/>
    <mergeCell ref="K3414:L3414"/>
    <mergeCell ref="A3415:L3415"/>
    <mergeCell ref="A3416:J3416"/>
    <mergeCell ref="K3416:L3416"/>
    <mergeCell ref="A3417:J3417"/>
    <mergeCell ref="K3417:L3417"/>
    <mergeCell ref="A3411:J3411"/>
    <mergeCell ref="K3411:L3411"/>
    <mergeCell ref="A3412:L3412"/>
    <mergeCell ref="A3413:C3413"/>
    <mergeCell ref="E3413:F3413"/>
    <mergeCell ref="J3413:L3413"/>
    <mergeCell ref="A3407:C3407"/>
    <mergeCell ref="K3407:L3407"/>
    <mergeCell ref="A3408:J3408"/>
    <mergeCell ref="K3408:L3408"/>
    <mergeCell ref="A3409:L3409"/>
    <mergeCell ref="A3410:C3410"/>
    <mergeCell ref="I3410:J3410"/>
    <mergeCell ref="K3410:L3410"/>
    <mergeCell ref="B3404:J3404"/>
    <mergeCell ref="B3405:C3405"/>
    <mergeCell ref="D3405:E3405"/>
    <mergeCell ref="F3405:G3405"/>
    <mergeCell ref="I3405:J3405"/>
    <mergeCell ref="A3406:L3406"/>
    <mergeCell ref="A3400:J3400"/>
    <mergeCell ref="K3400:L3400"/>
    <mergeCell ref="A3401:J3401"/>
    <mergeCell ref="K3401:L3401"/>
    <mergeCell ref="A3402:L3402"/>
    <mergeCell ref="B3403:L3403"/>
    <mergeCell ref="A3396:C3396"/>
    <mergeCell ref="A3397:J3397"/>
    <mergeCell ref="K3397:L3397"/>
    <mergeCell ref="A3398:L3398"/>
    <mergeCell ref="A3399:J3399"/>
    <mergeCell ref="K3399:L3399"/>
    <mergeCell ref="A3393:E3393"/>
    <mergeCell ref="I3393:J3393"/>
    <mergeCell ref="K3393:L3393"/>
    <mergeCell ref="A3394:J3394"/>
    <mergeCell ref="K3394:L3394"/>
    <mergeCell ref="A3395:L3395"/>
    <mergeCell ref="A3390:L3390"/>
    <mergeCell ref="A3391:E3391"/>
    <mergeCell ref="I3391:J3391"/>
    <mergeCell ref="K3391:L3391"/>
    <mergeCell ref="A3392:E3392"/>
    <mergeCell ref="I3392:J3392"/>
    <mergeCell ref="K3392:L3392"/>
    <mergeCell ref="A3387:L3387"/>
    <mergeCell ref="A3388:E3388"/>
    <mergeCell ref="I3388:J3388"/>
    <mergeCell ref="K3388:L3388"/>
    <mergeCell ref="A3389:J3389"/>
    <mergeCell ref="K3389:L3389"/>
    <mergeCell ref="A3384:J3384"/>
    <mergeCell ref="K3384:L3384"/>
    <mergeCell ref="A3385:J3385"/>
    <mergeCell ref="K3385:L3385"/>
    <mergeCell ref="A3386:J3386"/>
    <mergeCell ref="K3386:L3386"/>
    <mergeCell ref="A3381:C3381"/>
    <mergeCell ref="E3381:F3381"/>
    <mergeCell ref="J3381:L3381"/>
    <mergeCell ref="A3382:J3382"/>
    <mergeCell ref="K3382:L3382"/>
    <mergeCell ref="A3383:L3383"/>
    <mergeCell ref="A3378:C3378"/>
    <mergeCell ref="I3378:J3378"/>
    <mergeCell ref="K3378:L3378"/>
    <mergeCell ref="A3379:J3379"/>
    <mergeCell ref="K3379:L3379"/>
    <mergeCell ref="A3380:L3380"/>
    <mergeCell ref="A3374:L3374"/>
    <mergeCell ref="A3375:C3375"/>
    <mergeCell ref="K3375:L3375"/>
    <mergeCell ref="A3376:J3376"/>
    <mergeCell ref="K3376:L3376"/>
    <mergeCell ref="A3377:L3377"/>
    <mergeCell ref="A3370:L3370"/>
    <mergeCell ref="B3371:L3371"/>
    <mergeCell ref="B3372:J3372"/>
    <mergeCell ref="B3373:C3373"/>
    <mergeCell ref="D3373:E3373"/>
    <mergeCell ref="F3373:G3373"/>
    <mergeCell ref="I3373:J3373"/>
    <mergeCell ref="A3366:L3366"/>
    <mergeCell ref="A3367:J3367"/>
    <mergeCell ref="K3367:L3367"/>
    <mergeCell ref="A3368:J3368"/>
    <mergeCell ref="K3368:L3368"/>
    <mergeCell ref="A3369:J3369"/>
    <mergeCell ref="K3369:L3369"/>
    <mergeCell ref="A3362:J3362"/>
    <mergeCell ref="K3362:L3362"/>
    <mergeCell ref="A3363:L3363"/>
    <mergeCell ref="A3364:C3364"/>
    <mergeCell ref="A3365:J3365"/>
    <mergeCell ref="K3365:L3365"/>
    <mergeCell ref="A3360:E3360"/>
    <mergeCell ref="I3360:J3360"/>
    <mergeCell ref="K3360:L3360"/>
    <mergeCell ref="A3361:E3361"/>
    <mergeCell ref="I3361:J3361"/>
    <mergeCell ref="K3361:L3361"/>
    <mergeCell ref="A3357:L3357"/>
    <mergeCell ref="A3358:E3358"/>
    <mergeCell ref="I3358:J3358"/>
    <mergeCell ref="K3358:L3358"/>
    <mergeCell ref="A3359:E3359"/>
    <mergeCell ref="I3359:J3359"/>
    <mergeCell ref="K3359:L3359"/>
    <mergeCell ref="A3354:L3354"/>
    <mergeCell ref="A3355:E3355"/>
    <mergeCell ref="I3355:J3355"/>
    <mergeCell ref="K3355:L3355"/>
    <mergeCell ref="A3356:J3356"/>
    <mergeCell ref="K3356:L3356"/>
    <mergeCell ref="A3351:J3351"/>
    <mergeCell ref="K3351:L3351"/>
    <mergeCell ref="A3352:J3352"/>
    <mergeCell ref="K3352:L3352"/>
    <mergeCell ref="A3353:J3353"/>
    <mergeCell ref="K3353:L3353"/>
    <mergeCell ref="A3348:C3348"/>
    <mergeCell ref="E3348:F3348"/>
    <mergeCell ref="J3348:L3348"/>
    <mergeCell ref="A3349:J3349"/>
    <mergeCell ref="K3349:L3349"/>
    <mergeCell ref="A3350:L3350"/>
    <mergeCell ref="A3345:C3345"/>
    <mergeCell ref="I3345:J3345"/>
    <mergeCell ref="K3345:L3345"/>
    <mergeCell ref="A3346:J3346"/>
    <mergeCell ref="K3346:L3346"/>
    <mergeCell ref="A3347:L3347"/>
    <mergeCell ref="A3341:L3341"/>
    <mergeCell ref="A3342:C3342"/>
    <mergeCell ref="K3342:L3342"/>
    <mergeCell ref="A3343:J3343"/>
    <mergeCell ref="K3343:L3343"/>
    <mergeCell ref="A3344:L3344"/>
    <mergeCell ref="A3337:L3337"/>
    <mergeCell ref="B3338:L3338"/>
    <mergeCell ref="B3339:J3339"/>
    <mergeCell ref="B3340:C3340"/>
    <mergeCell ref="D3340:E3340"/>
    <mergeCell ref="F3340:G3340"/>
    <mergeCell ref="I3340:J3340"/>
    <mergeCell ref="A3333:L3333"/>
    <mergeCell ref="A3334:J3334"/>
    <mergeCell ref="K3334:L3334"/>
    <mergeCell ref="A3335:J3335"/>
    <mergeCell ref="K3335:L3335"/>
    <mergeCell ref="A3336:J3336"/>
    <mergeCell ref="K3336:L3336"/>
    <mergeCell ref="A3329:J3329"/>
    <mergeCell ref="K3329:L3329"/>
    <mergeCell ref="A3330:L3330"/>
    <mergeCell ref="A3331:C3331"/>
    <mergeCell ref="A3332:J3332"/>
    <mergeCell ref="K3332:L3332"/>
    <mergeCell ref="A3327:E3327"/>
    <mergeCell ref="I3327:J3327"/>
    <mergeCell ref="K3327:L3327"/>
    <mergeCell ref="A3328:E3328"/>
    <mergeCell ref="I3328:J3328"/>
    <mergeCell ref="K3328:L3328"/>
    <mergeCell ref="A3325:E3325"/>
    <mergeCell ref="I3325:J3325"/>
    <mergeCell ref="K3325:L3325"/>
    <mergeCell ref="A3326:E3326"/>
    <mergeCell ref="I3326:J3326"/>
    <mergeCell ref="K3326:L3326"/>
    <mergeCell ref="A3322:J3322"/>
    <mergeCell ref="K3322:L3322"/>
    <mergeCell ref="A3323:L3323"/>
    <mergeCell ref="A3324:E3324"/>
    <mergeCell ref="I3324:J3324"/>
    <mergeCell ref="K3324:L3324"/>
    <mergeCell ref="A3319:J3319"/>
    <mergeCell ref="K3319:L3319"/>
    <mergeCell ref="A3320:L3320"/>
    <mergeCell ref="A3321:E3321"/>
    <mergeCell ref="I3321:J3321"/>
    <mergeCell ref="K3321:L3321"/>
    <mergeCell ref="A3315:J3315"/>
    <mergeCell ref="K3315:L3315"/>
    <mergeCell ref="A3316:L3316"/>
    <mergeCell ref="A3317:J3317"/>
    <mergeCell ref="K3317:L3317"/>
    <mergeCell ref="A3318:J3318"/>
    <mergeCell ref="K3318:L3318"/>
    <mergeCell ref="A3312:J3312"/>
    <mergeCell ref="K3312:L3312"/>
    <mergeCell ref="A3313:L3313"/>
    <mergeCell ref="A3314:C3314"/>
    <mergeCell ref="E3314:F3314"/>
    <mergeCell ref="J3314:L3314"/>
    <mergeCell ref="A3310:C3310"/>
    <mergeCell ref="I3310:J3310"/>
    <mergeCell ref="K3310:L3310"/>
    <mergeCell ref="A3311:C3311"/>
    <mergeCell ref="I3311:J3311"/>
    <mergeCell ref="K3311:L3311"/>
    <mergeCell ref="A3306:L3306"/>
    <mergeCell ref="A3307:C3307"/>
    <mergeCell ref="K3307:L3307"/>
    <mergeCell ref="A3308:J3308"/>
    <mergeCell ref="K3308:L3308"/>
    <mergeCell ref="A3309:L3309"/>
    <mergeCell ref="A3302:L3302"/>
    <mergeCell ref="B3303:L3303"/>
    <mergeCell ref="B3304:J3304"/>
    <mergeCell ref="B3305:C3305"/>
    <mergeCell ref="D3305:E3305"/>
    <mergeCell ref="F3305:G3305"/>
    <mergeCell ref="I3305:J3305"/>
    <mergeCell ref="A3298:L3298"/>
    <mergeCell ref="A3299:J3299"/>
    <mergeCell ref="K3299:L3299"/>
    <mergeCell ref="A3300:J3300"/>
    <mergeCell ref="K3300:L3300"/>
    <mergeCell ref="A3301:J3301"/>
    <mergeCell ref="K3301:L3301"/>
    <mergeCell ref="A3294:J3294"/>
    <mergeCell ref="K3294:L3294"/>
    <mergeCell ref="A3295:L3295"/>
    <mergeCell ref="A3296:C3296"/>
    <mergeCell ref="A3297:J3297"/>
    <mergeCell ref="K3297:L3297"/>
    <mergeCell ref="A3292:E3292"/>
    <mergeCell ref="I3292:J3292"/>
    <mergeCell ref="K3292:L3292"/>
    <mergeCell ref="A3293:E3293"/>
    <mergeCell ref="I3293:J3293"/>
    <mergeCell ref="K3293:L3293"/>
    <mergeCell ref="A3289:E3289"/>
    <mergeCell ref="I3289:J3289"/>
    <mergeCell ref="K3289:L3289"/>
    <mergeCell ref="A3290:J3290"/>
    <mergeCell ref="K3290:L3290"/>
    <mergeCell ref="A3291:L3291"/>
    <mergeCell ref="A3287:E3287"/>
    <mergeCell ref="I3287:J3287"/>
    <mergeCell ref="K3287:L3287"/>
    <mergeCell ref="A3288:E3288"/>
    <mergeCell ref="I3288:J3288"/>
    <mergeCell ref="K3288:L3288"/>
    <mergeCell ref="A3284:J3284"/>
    <mergeCell ref="K3284:L3284"/>
    <mergeCell ref="A3285:L3285"/>
    <mergeCell ref="A3286:E3286"/>
    <mergeCell ref="I3286:J3286"/>
    <mergeCell ref="K3286:L3286"/>
    <mergeCell ref="A3280:J3280"/>
    <mergeCell ref="K3280:L3280"/>
    <mergeCell ref="A3281:L3281"/>
    <mergeCell ref="A3282:J3282"/>
    <mergeCell ref="K3282:L3282"/>
    <mergeCell ref="A3283:J3283"/>
    <mergeCell ref="K3283:L3283"/>
    <mergeCell ref="A3277:J3277"/>
    <mergeCell ref="K3277:L3277"/>
    <mergeCell ref="A3278:L3278"/>
    <mergeCell ref="A3279:C3279"/>
    <mergeCell ref="E3279:F3279"/>
    <mergeCell ref="J3279:L3279"/>
    <mergeCell ref="A3275:C3275"/>
    <mergeCell ref="I3275:J3275"/>
    <mergeCell ref="K3275:L3275"/>
    <mergeCell ref="A3276:C3276"/>
    <mergeCell ref="I3276:J3276"/>
    <mergeCell ref="K3276:L3276"/>
    <mergeCell ref="A3271:C3271"/>
    <mergeCell ref="K3271:L3271"/>
    <mergeCell ref="A3272:J3272"/>
    <mergeCell ref="K3272:L3272"/>
    <mergeCell ref="A3273:L3273"/>
    <mergeCell ref="A3274:C3274"/>
    <mergeCell ref="I3274:J3274"/>
    <mergeCell ref="K3274:L3274"/>
    <mergeCell ref="B3268:J3268"/>
    <mergeCell ref="B3269:C3269"/>
    <mergeCell ref="D3269:E3269"/>
    <mergeCell ref="F3269:G3269"/>
    <mergeCell ref="I3269:J3269"/>
    <mergeCell ref="A3270:L3270"/>
    <mergeCell ref="A3264:J3264"/>
    <mergeCell ref="K3264:L3264"/>
    <mergeCell ref="A3265:J3265"/>
    <mergeCell ref="K3265:L3265"/>
    <mergeCell ref="A3266:L3266"/>
    <mergeCell ref="B3267:L3267"/>
    <mergeCell ref="A3260:C3260"/>
    <mergeCell ref="A3261:J3261"/>
    <mergeCell ref="K3261:L3261"/>
    <mergeCell ref="A3262:L3262"/>
    <mergeCell ref="A3263:J3263"/>
    <mergeCell ref="K3263:L3263"/>
    <mergeCell ref="A3257:E3257"/>
    <mergeCell ref="I3257:J3257"/>
    <mergeCell ref="K3257:L3257"/>
    <mergeCell ref="A3258:J3258"/>
    <mergeCell ref="K3258:L3258"/>
    <mergeCell ref="A3259:L3259"/>
    <mergeCell ref="A3254:E3254"/>
    <mergeCell ref="I3254:J3254"/>
    <mergeCell ref="K3254:L3254"/>
    <mergeCell ref="A3255:J3255"/>
    <mergeCell ref="K3255:L3255"/>
    <mergeCell ref="A3256:L3256"/>
    <mergeCell ref="A3251:J3251"/>
    <mergeCell ref="K3251:L3251"/>
    <mergeCell ref="A3252:L3252"/>
    <mergeCell ref="A3253:E3253"/>
    <mergeCell ref="I3253:J3253"/>
    <mergeCell ref="K3253:L3253"/>
    <mergeCell ref="A3247:J3247"/>
    <mergeCell ref="K3247:L3247"/>
    <mergeCell ref="A3248:L3248"/>
    <mergeCell ref="A3249:J3249"/>
    <mergeCell ref="K3249:L3249"/>
    <mergeCell ref="A3250:J3250"/>
    <mergeCell ref="K3250:L3250"/>
    <mergeCell ref="A3244:J3244"/>
    <mergeCell ref="K3244:L3244"/>
    <mergeCell ref="A3245:L3245"/>
    <mergeCell ref="A3246:C3246"/>
    <mergeCell ref="E3246:F3246"/>
    <mergeCell ref="J3246:L3246"/>
    <mergeCell ref="A3242:C3242"/>
    <mergeCell ref="I3242:J3242"/>
    <mergeCell ref="K3242:L3242"/>
    <mergeCell ref="A3243:C3243"/>
    <mergeCell ref="I3243:J3243"/>
    <mergeCell ref="K3243:L3243"/>
    <mergeCell ref="A3238:L3238"/>
    <mergeCell ref="A3239:C3239"/>
    <mergeCell ref="K3239:L3239"/>
    <mergeCell ref="A3240:J3240"/>
    <mergeCell ref="K3240:L3240"/>
    <mergeCell ref="A3241:L3241"/>
    <mergeCell ref="A3234:L3234"/>
    <mergeCell ref="B3235:L3235"/>
    <mergeCell ref="B3236:J3236"/>
    <mergeCell ref="B3237:C3237"/>
    <mergeCell ref="D3237:E3237"/>
    <mergeCell ref="F3237:G3237"/>
    <mergeCell ref="I3237:J3237"/>
    <mergeCell ref="A3230:L3230"/>
    <mergeCell ref="A3231:J3231"/>
    <mergeCell ref="K3231:L3231"/>
    <mergeCell ref="A3232:J3232"/>
    <mergeCell ref="K3232:L3232"/>
    <mergeCell ref="A3233:J3233"/>
    <mergeCell ref="K3233:L3233"/>
    <mergeCell ref="A3226:J3226"/>
    <mergeCell ref="K3226:L3226"/>
    <mergeCell ref="A3227:L3227"/>
    <mergeCell ref="A3228:C3228"/>
    <mergeCell ref="A3229:J3229"/>
    <mergeCell ref="K3229:L3229"/>
    <mergeCell ref="A3223:J3223"/>
    <mergeCell ref="K3223:L3223"/>
    <mergeCell ref="A3224:L3224"/>
    <mergeCell ref="A3225:E3225"/>
    <mergeCell ref="I3225:J3225"/>
    <mergeCell ref="K3225:L3225"/>
    <mergeCell ref="A3221:E3221"/>
    <mergeCell ref="I3221:J3221"/>
    <mergeCell ref="K3221:L3221"/>
    <mergeCell ref="A3222:E3222"/>
    <mergeCell ref="I3222:J3222"/>
    <mergeCell ref="K3222:L3222"/>
    <mergeCell ref="A3218:L3218"/>
    <mergeCell ref="A3219:E3219"/>
    <mergeCell ref="I3219:J3219"/>
    <mergeCell ref="K3219:L3219"/>
    <mergeCell ref="A3220:E3220"/>
    <mergeCell ref="I3220:J3220"/>
    <mergeCell ref="K3220:L3220"/>
    <mergeCell ref="A3215:J3215"/>
    <mergeCell ref="K3215:L3215"/>
    <mergeCell ref="A3216:J3216"/>
    <mergeCell ref="K3216:L3216"/>
    <mergeCell ref="A3217:J3217"/>
    <mergeCell ref="K3217:L3217"/>
    <mergeCell ref="A3212:C3212"/>
    <mergeCell ref="E3212:F3212"/>
    <mergeCell ref="J3212:L3212"/>
    <mergeCell ref="A3213:J3213"/>
    <mergeCell ref="K3213:L3213"/>
    <mergeCell ref="A3214:L3214"/>
    <mergeCell ref="A3209:C3209"/>
    <mergeCell ref="I3209:J3209"/>
    <mergeCell ref="K3209:L3209"/>
    <mergeCell ref="A3210:J3210"/>
    <mergeCell ref="K3210:L3210"/>
    <mergeCell ref="A3211:L3211"/>
    <mergeCell ref="A3207:C3207"/>
    <mergeCell ref="I3207:J3207"/>
    <mergeCell ref="K3207:L3207"/>
    <mergeCell ref="A3208:C3208"/>
    <mergeCell ref="I3208:J3208"/>
    <mergeCell ref="K3208:L3208"/>
    <mergeCell ref="A3203:L3203"/>
    <mergeCell ref="A3204:C3204"/>
    <mergeCell ref="K3204:L3204"/>
    <mergeCell ref="A3205:J3205"/>
    <mergeCell ref="K3205:L3205"/>
    <mergeCell ref="A3206:L3206"/>
    <mergeCell ref="A3199:L3199"/>
    <mergeCell ref="B3200:L3200"/>
    <mergeCell ref="B3201:J3201"/>
    <mergeCell ref="B3202:C3202"/>
    <mergeCell ref="D3202:E3202"/>
    <mergeCell ref="F3202:G3202"/>
    <mergeCell ref="I3202:J3202"/>
    <mergeCell ref="A3195:L3195"/>
    <mergeCell ref="A3196:J3196"/>
    <mergeCell ref="K3196:L3196"/>
    <mergeCell ref="A3197:J3197"/>
    <mergeCell ref="K3197:L3197"/>
    <mergeCell ref="A3198:J3198"/>
    <mergeCell ref="K3198:L3198"/>
    <mergeCell ref="A3191:J3191"/>
    <mergeCell ref="K3191:L3191"/>
    <mergeCell ref="A3192:L3192"/>
    <mergeCell ref="A3193:C3193"/>
    <mergeCell ref="A3194:J3194"/>
    <mergeCell ref="K3194:L3194"/>
    <mergeCell ref="A3189:E3189"/>
    <mergeCell ref="I3189:J3189"/>
    <mergeCell ref="K3189:L3189"/>
    <mergeCell ref="A3190:E3190"/>
    <mergeCell ref="I3190:J3190"/>
    <mergeCell ref="K3190:L3190"/>
    <mergeCell ref="A3186:E3186"/>
    <mergeCell ref="I3186:J3186"/>
    <mergeCell ref="K3186:L3186"/>
    <mergeCell ref="A3187:J3187"/>
    <mergeCell ref="K3187:L3187"/>
    <mergeCell ref="A3188:L3188"/>
    <mergeCell ref="A3183:L3183"/>
    <mergeCell ref="A3184:E3184"/>
    <mergeCell ref="I3184:J3184"/>
    <mergeCell ref="K3184:L3184"/>
    <mergeCell ref="A3185:E3185"/>
    <mergeCell ref="I3185:J3185"/>
    <mergeCell ref="K3185:L3185"/>
    <mergeCell ref="A3180:J3180"/>
    <mergeCell ref="K3180:L3180"/>
    <mergeCell ref="A3181:J3181"/>
    <mergeCell ref="K3181:L3181"/>
    <mergeCell ref="A3182:J3182"/>
    <mergeCell ref="K3182:L3182"/>
    <mergeCell ref="A3177:C3177"/>
    <mergeCell ref="E3177:F3177"/>
    <mergeCell ref="J3177:L3177"/>
    <mergeCell ref="A3178:J3178"/>
    <mergeCell ref="K3178:L3178"/>
    <mergeCell ref="A3179:L3179"/>
    <mergeCell ref="A3174:C3174"/>
    <mergeCell ref="I3174:J3174"/>
    <mergeCell ref="K3174:L3174"/>
    <mergeCell ref="A3175:J3175"/>
    <mergeCell ref="K3175:L3175"/>
    <mergeCell ref="A3176:L3176"/>
    <mergeCell ref="A3172:C3172"/>
    <mergeCell ref="I3172:J3172"/>
    <mergeCell ref="K3172:L3172"/>
    <mergeCell ref="A3173:C3173"/>
    <mergeCell ref="I3173:J3173"/>
    <mergeCell ref="K3173:L3173"/>
    <mergeCell ref="A3168:L3168"/>
    <mergeCell ref="A3169:C3169"/>
    <mergeCell ref="K3169:L3169"/>
    <mergeCell ref="A3170:J3170"/>
    <mergeCell ref="K3170:L3170"/>
    <mergeCell ref="A3171:L3171"/>
    <mergeCell ref="A3164:L3164"/>
    <mergeCell ref="B3165:L3165"/>
    <mergeCell ref="B3166:J3166"/>
    <mergeCell ref="B3167:C3167"/>
    <mergeCell ref="D3167:E3167"/>
    <mergeCell ref="F3167:G3167"/>
    <mergeCell ref="I3167:J3167"/>
    <mergeCell ref="A3160:L3160"/>
    <mergeCell ref="A3161:J3161"/>
    <mergeCell ref="K3161:L3161"/>
    <mergeCell ref="A3162:J3162"/>
    <mergeCell ref="K3162:L3162"/>
    <mergeCell ref="A3163:J3163"/>
    <mergeCell ref="K3163:L3163"/>
    <mergeCell ref="A3156:J3156"/>
    <mergeCell ref="K3156:L3156"/>
    <mergeCell ref="A3157:L3157"/>
    <mergeCell ref="A3158:C3158"/>
    <mergeCell ref="A3159:J3159"/>
    <mergeCell ref="K3159:L3159"/>
    <mergeCell ref="A3154:E3154"/>
    <mergeCell ref="I3154:J3154"/>
    <mergeCell ref="K3154:L3154"/>
    <mergeCell ref="A3155:E3155"/>
    <mergeCell ref="I3155:J3155"/>
    <mergeCell ref="K3155:L3155"/>
    <mergeCell ref="A3151:E3151"/>
    <mergeCell ref="I3151:J3151"/>
    <mergeCell ref="K3151:L3151"/>
    <mergeCell ref="A3152:J3152"/>
    <mergeCell ref="K3152:L3152"/>
    <mergeCell ref="A3153:L3153"/>
    <mergeCell ref="A3148:L3148"/>
    <mergeCell ref="A3149:E3149"/>
    <mergeCell ref="I3149:J3149"/>
    <mergeCell ref="K3149:L3149"/>
    <mergeCell ref="A3150:E3150"/>
    <mergeCell ref="I3150:J3150"/>
    <mergeCell ref="K3150:L3150"/>
    <mergeCell ref="A3145:J3145"/>
    <mergeCell ref="K3145:L3145"/>
    <mergeCell ref="A3146:J3146"/>
    <mergeCell ref="K3146:L3146"/>
    <mergeCell ref="A3147:J3147"/>
    <mergeCell ref="K3147:L3147"/>
    <mergeCell ref="A3142:C3142"/>
    <mergeCell ref="E3142:F3142"/>
    <mergeCell ref="J3142:L3142"/>
    <mergeCell ref="A3143:J3143"/>
    <mergeCell ref="K3143:L3143"/>
    <mergeCell ref="A3144:L3144"/>
    <mergeCell ref="A3139:C3139"/>
    <mergeCell ref="I3139:J3139"/>
    <mergeCell ref="K3139:L3139"/>
    <mergeCell ref="A3140:J3140"/>
    <mergeCell ref="K3140:L3140"/>
    <mergeCell ref="A3141:L3141"/>
    <mergeCell ref="A3137:C3137"/>
    <mergeCell ref="I3137:J3137"/>
    <mergeCell ref="K3137:L3137"/>
    <mergeCell ref="A3138:C3138"/>
    <mergeCell ref="I3138:J3138"/>
    <mergeCell ref="K3138:L3138"/>
    <mergeCell ref="A3133:L3133"/>
    <mergeCell ref="A3134:C3134"/>
    <mergeCell ref="K3134:L3134"/>
    <mergeCell ref="A3135:J3135"/>
    <mergeCell ref="K3135:L3135"/>
    <mergeCell ref="A3136:L3136"/>
    <mergeCell ref="A3129:L3129"/>
    <mergeCell ref="B3130:L3130"/>
    <mergeCell ref="B3131:J3131"/>
    <mergeCell ref="B3132:C3132"/>
    <mergeCell ref="D3132:E3132"/>
    <mergeCell ref="F3132:G3132"/>
    <mergeCell ref="I3132:J3132"/>
    <mergeCell ref="A3125:L3125"/>
    <mergeCell ref="A3126:J3126"/>
    <mergeCell ref="K3126:L3126"/>
    <mergeCell ref="A3127:J3127"/>
    <mergeCell ref="K3127:L3127"/>
    <mergeCell ref="A3128:J3128"/>
    <mergeCell ref="K3128:L3128"/>
    <mergeCell ref="A3121:J3121"/>
    <mergeCell ref="K3121:L3121"/>
    <mergeCell ref="A3122:L3122"/>
    <mergeCell ref="A3123:C3123"/>
    <mergeCell ref="A3124:J3124"/>
    <mergeCell ref="K3124:L3124"/>
    <mergeCell ref="A3119:E3119"/>
    <mergeCell ref="I3119:J3119"/>
    <mergeCell ref="K3119:L3119"/>
    <mergeCell ref="A3120:E3120"/>
    <mergeCell ref="I3120:J3120"/>
    <mergeCell ref="K3120:L3120"/>
    <mergeCell ref="A3116:E3116"/>
    <mergeCell ref="I3116:J3116"/>
    <mergeCell ref="K3116:L3116"/>
    <mergeCell ref="A3117:J3117"/>
    <mergeCell ref="K3117:L3117"/>
    <mergeCell ref="A3118:L3118"/>
    <mergeCell ref="A3113:L3113"/>
    <mergeCell ref="A3114:E3114"/>
    <mergeCell ref="I3114:J3114"/>
    <mergeCell ref="K3114:L3114"/>
    <mergeCell ref="A3115:E3115"/>
    <mergeCell ref="I3115:J3115"/>
    <mergeCell ref="K3115:L3115"/>
    <mergeCell ref="A3110:J3110"/>
    <mergeCell ref="K3110:L3110"/>
    <mergeCell ref="A3111:J3111"/>
    <mergeCell ref="K3111:L3111"/>
    <mergeCell ref="A3112:J3112"/>
    <mergeCell ref="K3112:L3112"/>
    <mergeCell ref="A3107:C3107"/>
    <mergeCell ref="E3107:F3107"/>
    <mergeCell ref="J3107:L3107"/>
    <mergeCell ref="A3108:J3108"/>
    <mergeCell ref="K3108:L3108"/>
    <mergeCell ref="A3109:L3109"/>
    <mergeCell ref="A3104:C3104"/>
    <mergeCell ref="I3104:J3104"/>
    <mergeCell ref="K3104:L3104"/>
    <mergeCell ref="A3105:J3105"/>
    <mergeCell ref="K3105:L3105"/>
    <mergeCell ref="A3106:L3106"/>
    <mergeCell ref="A3102:C3102"/>
    <mergeCell ref="I3102:J3102"/>
    <mergeCell ref="K3102:L3102"/>
    <mergeCell ref="A3103:C3103"/>
    <mergeCell ref="I3103:J3103"/>
    <mergeCell ref="K3103:L3103"/>
    <mergeCell ref="A3098:L3098"/>
    <mergeCell ref="A3099:C3099"/>
    <mergeCell ref="K3099:L3099"/>
    <mergeCell ref="A3100:J3100"/>
    <mergeCell ref="K3100:L3100"/>
    <mergeCell ref="A3101:L3101"/>
    <mergeCell ref="A3094:L3094"/>
    <mergeCell ref="B3095:L3095"/>
    <mergeCell ref="B3096:J3096"/>
    <mergeCell ref="B3097:C3097"/>
    <mergeCell ref="D3097:E3097"/>
    <mergeCell ref="F3097:G3097"/>
    <mergeCell ref="I3097:J3097"/>
    <mergeCell ref="A3090:L3090"/>
    <mergeCell ref="A3091:J3091"/>
    <mergeCell ref="K3091:L3091"/>
    <mergeCell ref="A3092:J3092"/>
    <mergeCell ref="K3092:L3092"/>
    <mergeCell ref="A3093:J3093"/>
    <mergeCell ref="K3093:L3093"/>
    <mergeCell ref="A3086:J3086"/>
    <mergeCell ref="K3086:L3086"/>
    <mergeCell ref="A3087:L3087"/>
    <mergeCell ref="A3088:C3088"/>
    <mergeCell ref="A3089:J3089"/>
    <mergeCell ref="K3089:L3089"/>
    <mergeCell ref="A3084:E3084"/>
    <mergeCell ref="I3084:J3084"/>
    <mergeCell ref="K3084:L3084"/>
    <mergeCell ref="A3085:E3085"/>
    <mergeCell ref="I3085:J3085"/>
    <mergeCell ref="K3085:L3085"/>
    <mergeCell ref="A3081:E3081"/>
    <mergeCell ref="I3081:J3081"/>
    <mergeCell ref="K3081:L3081"/>
    <mergeCell ref="A3082:J3082"/>
    <mergeCell ref="K3082:L3082"/>
    <mergeCell ref="A3083:L3083"/>
    <mergeCell ref="A3078:L3078"/>
    <mergeCell ref="A3079:E3079"/>
    <mergeCell ref="I3079:J3079"/>
    <mergeCell ref="K3079:L3079"/>
    <mergeCell ref="A3080:E3080"/>
    <mergeCell ref="I3080:J3080"/>
    <mergeCell ref="K3080:L3080"/>
    <mergeCell ref="A3075:J3075"/>
    <mergeCell ref="K3075:L3075"/>
    <mergeCell ref="A3076:J3076"/>
    <mergeCell ref="K3076:L3076"/>
    <mergeCell ref="A3077:J3077"/>
    <mergeCell ref="K3077:L3077"/>
    <mergeCell ref="A3072:C3072"/>
    <mergeCell ref="E3072:F3072"/>
    <mergeCell ref="J3072:L3072"/>
    <mergeCell ref="A3073:J3073"/>
    <mergeCell ref="K3073:L3073"/>
    <mergeCell ref="A3074:L3074"/>
    <mergeCell ref="A3069:C3069"/>
    <mergeCell ref="I3069:J3069"/>
    <mergeCell ref="K3069:L3069"/>
    <mergeCell ref="A3070:J3070"/>
    <mergeCell ref="K3070:L3070"/>
    <mergeCell ref="A3071:L3071"/>
    <mergeCell ref="A3067:C3067"/>
    <mergeCell ref="I3067:J3067"/>
    <mergeCell ref="K3067:L3067"/>
    <mergeCell ref="A3068:C3068"/>
    <mergeCell ref="I3068:J3068"/>
    <mergeCell ref="K3068:L3068"/>
    <mergeCell ref="A3063:L3063"/>
    <mergeCell ref="A3064:C3064"/>
    <mergeCell ref="K3064:L3064"/>
    <mergeCell ref="A3065:J3065"/>
    <mergeCell ref="K3065:L3065"/>
    <mergeCell ref="A3066:L3066"/>
    <mergeCell ref="A3059:L3059"/>
    <mergeCell ref="B3060:L3060"/>
    <mergeCell ref="B3061:J3061"/>
    <mergeCell ref="B3062:C3062"/>
    <mergeCell ref="D3062:E3062"/>
    <mergeCell ref="F3062:G3062"/>
    <mergeCell ref="I3062:J3062"/>
    <mergeCell ref="A3055:L3055"/>
    <mergeCell ref="A3056:J3056"/>
    <mergeCell ref="K3056:L3056"/>
    <mergeCell ref="A3057:J3057"/>
    <mergeCell ref="K3057:L3057"/>
    <mergeCell ref="A3058:J3058"/>
    <mergeCell ref="K3058:L3058"/>
    <mergeCell ref="A3051:J3051"/>
    <mergeCell ref="K3051:L3051"/>
    <mergeCell ref="A3052:L3052"/>
    <mergeCell ref="A3053:C3053"/>
    <mergeCell ref="A3054:J3054"/>
    <mergeCell ref="K3054:L3054"/>
    <mergeCell ref="A3049:E3049"/>
    <mergeCell ref="I3049:J3049"/>
    <mergeCell ref="K3049:L3049"/>
    <mergeCell ref="A3050:E3050"/>
    <mergeCell ref="I3050:J3050"/>
    <mergeCell ref="K3050:L3050"/>
    <mergeCell ref="A3046:E3046"/>
    <mergeCell ref="I3046:J3046"/>
    <mergeCell ref="K3046:L3046"/>
    <mergeCell ref="A3047:J3047"/>
    <mergeCell ref="K3047:L3047"/>
    <mergeCell ref="A3048:L3048"/>
    <mergeCell ref="A3043:L3043"/>
    <mergeCell ref="A3044:E3044"/>
    <mergeCell ref="I3044:J3044"/>
    <mergeCell ref="K3044:L3044"/>
    <mergeCell ref="A3045:E3045"/>
    <mergeCell ref="I3045:J3045"/>
    <mergeCell ref="K3045:L3045"/>
    <mergeCell ref="A3040:J3040"/>
    <mergeCell ref="K3040:L3040"/>
    <mergeCell ref="A3041:J3041"/>
    <mergeCell ref="K3041:L3041"/>
    <mergeCell ref="A3042:J3042"/>
    <mergeCell ref="K3042:L3042"/>
    <mergeCell ref="A3037:C3037"/>
    <mergeCell ref="E3037:F3037"/>
    <mergeCell ref="J3037:L3037"/>
    <mergeCell ref="A3038:J3038"/>
    <mergeCell ref="K3038:L3038"/>
    <mergeCell ref="A3039:L3039"/>
    <mergeCell ref="A3034:C3034"/>
    <mergeCell ref="I3034:J3034"/>
    <mergeCell ref="K3034:L3034"/>
    <mergeCell ref="A3035:J3035"/>
    <mergeCell ref="K3035:L3035"/>
    <mergeCell ref="A3036:L3036"/>
    <mergeCell ref="A3032:C3032"/>
    <mergeCell ref="I3032:J3032"/>
    <mergeCell ref="K3032:L3032"/>
    <mergeCell ref="A3033:C3033"/>
    <mergeCell ref="I3033:J3033"/>
    <mergeCell ref="K3033:L3033"/>
    <mergeCell ref="A3028:L3028"/>
    <mergeCell ref="A3029:C3029"/>
    <mergeCell ref="K3029:L3029"/>
    <mergeCell ref="A3030:J3030"/>
    <mergeCell ref="K3030:L3030"/>
    <mergeCell ref="A3031:L3031"/>
    <mergeCell ref="A3024:L3024"/>
    <mergeCell ref="B3025:L3025"/>
    <mergeCell ref="B3026:J3026"/>
    <mergeCell ref="B3027:C3027"/>
    <mergeCell ref="D3027:E3027"/>
    <mergeCell ref="F3027:G3027"/>
    <mergeCell ref="I3027:J3027"/>
    <mergeCell ref="A3020:L3020"/>
    <mergeCell ref="A3021:J3021"/>
    <mergeCell ref="K3021:L3021"/>
    <mergeCell ref="A3022:J3022"/>
    <mergeCell ref="K3022:L3022"/>
    <mergeCell ref="A3023:J3023"/>
    <mergeCell ref="K3023:L3023"/>
    <mergeCell ref="A3016:J3016"/>
    <mergeCell ref="K3016:L3016"/>
    <mergeCell ref="A3017:L3017"/>
    <mergeCell ref="A3018:C3018"/>
    <mergeCell ref="A3019:J3019"/>
    <mergeCell ref="K3019:L3019"/>
    <mergeCell ref="A3014:E3014"/>
    <mergeCell ref="I3014:J3014"/>
    <mergeCell ref="K3014:L3014"/>
    <mergeCell ref="A3015:E3015"/>
    <mergeCell ref="I3015:J3015"/>
    <mergeCell ref="K3015:L3015"/>
    <mergeCell ref="A3011:E3011"/>
    <mergeCell ref="I3011:J3011"/>
    <mergeCell ref="K3011:L3011"/>
    <mergeCell ref="A3012:J3012"/>
    <mergeCell ref="K3012:L3012"/>
    <mergeCell ref="A3013:L3013"/>
    <mergeCell ref="A3008:L3008"/>
    <mergeCell ref="A3009:E3009"/>
    <mergeCell ref="I3009:J3009"/>
    <mergeCell ref="K3009:L3009"/>
    <mergeCell ref="A3010:E3010"/>
    <mergeCell ref="I3010:J3010"/>
    <mergeCell ref="K3010:L3010"/>
    <mergeCell ref="A3005:J3005"/>
    <mergeCell ref="K3005:L3005"/>
    <mergeCell ref="A3006:J3006"/>
    <mergeCell ref="K3006:L3006"/>
    <mergeCell ref="A3007:J3007"/>
    <mergeCell ref="K3007:L3007"/>
    <mergeCell ref="A3002:C3002"/>
    <mergeCell ref="E3002:F3002"/>
    <mergeCell ref="J3002:L3002"/>
    <mergeCell ref="A3003:J3003"/>
    <mergeCell ref="K3003:L3003"/>
    <mergeCell ref="A3004:L3004"/>
    <mergeCell ref="A2999:C2999"/>
    <mergeCell ref="I2999:J2999"/>
    <mergeCell ref="K2999:L2999"/>
    <mergeCell ref="A3000:J3000"/>
    <mergeCell ref="K3000:L3000"/>
    <mergeCell ref="A3001:L3001"/>
    <mergeCell ref="A2997:C2997"/>
    <mergeCell ref="I2997:J2997"/>
    <mergeCell ref="K2997:L2997"/>
    <mergeCell ref="A2998:C2998"/>
    <mergeCell ref="I2998:J2998"/>
    <mergeCell ref="K2998:L2998"/>
    <mergeCell ref="A2993:L2993"/>
    <mergeCell ref="A2994:C2994"/>
    <mergeCell ref="K2994:L2994"/>
    <mergeCell ref="A2995:J2995"/>
    <mergeCell ref="K2995:L2995"/>
    <mergeCell ref="A2996:L2996"/>
    <mergeCell ref="A2989:L2989"/>
    <mergeCell ref="B2990:L2990"/>
    <mergeCell ref="B2991:J2991"/>
    <mergeCell ref="B2992:C2992"/>
    <mergeCell ref="D2992:E2992"/>
    <mergeCell ref="F2992:G2992"/>
    <mergeCell ref="I2992:J2992"/>
    <mergeCell ref="A2985:L2985"/>
    <mergeCell ref="A2986:J2986"/>
    <mergeCell ref="K2986:L2986"/>
    <mergeCell ref="A2987:J2987"/>
    <mergeCell ref="K2987:L2987"/>
    <mergeCell ref="A2988:J2988"/>
    <mergeCell ref="K2988:L2988"/>
    <mergeCell ref="A2981:J2981"/>
    <mergeCell ref="K2981:L2981"/>
    <mergeCell ref="A2982:L2982"/>
    <mergeCell ref="A2983:C2983"/>
    <mergeCell ref="A2984:J2984"/>
    <mergeCell ref="K2984:L2984"/>
    <mergeCell ref="A2978:J2978"/>
    <mergeCell ref="K2978:L2978"/>
    <mergeCell ref="A2979:L2979"/>
    <mergeCell ref="A2980:E2980"/>
    <mergeCell ref="I2980:J2980"/>
    <mergeCell ref="K2980:L2980"/>
    <mergeCell ref="A2976:E2976"/>
    <mergeCell ref="I2976:J2976"/>
    <mergeCell ref="K2976:L2976"/>
    <mergeCell ref="A2977:E2977"/>
    <mergeCell ref="I2977:J2977"/>
    <mergeCell ref="K2977:L2977"/>
    <mergeCell ref="A2974:E2974"/>
    <mergeCell ref="I2974:J2974"/>
    <mergeCell ref="K2974:L2974"/>
    <mergeCell ref="A2975:E2975"/>
    <mergeCell ref="I2975:J2975"/>
    <mergeCell ref="K2975:L2975"/>
    <mergeCell ref="A2971:L2971"/>
    <mergeCell ref="A2972:E2972"/>
    <mergeCell ref="I2972:J2972"/>
    <mergeCell ref="K2972:L2972"/>
    <mergeCell ref="A2973:E2973"/>
    <mergeCell ref="I2973:J2973"/>
    <mergeCell ref="K2973:L2973"/>
    <mergeCell ref="A2968:J2968"/>
    <mergeCell ref="K2968:L2968"/>
    <mergeCell ref="A2969:J2969"/>
    <mergeCell ref="K2969:L2969"/>
    <mergeCell ref="A2970:J2970"/>
    <mergeCell ref="K2970:L2970"/>
    <mergeCell ref="A2965:C2965"/>
    <mergeCell ref="E2965:F2965"/>
    <mergeCell ref="J2965:L2965"/>
    <mergeCell ref="A2966:J2966"/>
    <mergeCell ref="K2966:L2966"/>
    <mergeCell ref="A2967:L2967"/>
    <mergeCell ref="A2962:C2962"/>
    <mergeCell ref="I2962:J2962"/>
    <mergeCell ref="K2962:L2962"/>
    <mergeCell ref="A2963:J2963"/>
    <mergeCell ref="K2963:L2963"/>
    <mergeCell ref="A2964:L2964"/>
    <mergeCell ref="A2960:C2960"/>
    <mergeCell ref="I2960:J2960"/>
    <mergeCell ref="K2960:L2960"/>
    <mergeCell ref="A2961:C2961"/>
    <mergeCell ref="I2961:J2961"/>
    <mergeCell ref="K2961:L2961"/>
    <mergeCell ref="A2956:L2956"/>
    <mergeCell ref="A2957:C2957"/>
    <mergeCell ref="K2957:L2957"/>
    <mergeCell ref="A2958:J2958"/>
    <mergeCell ref="K2958:L2958"/>
    <mergeCell ref="A2959:L2959"/>
    <mergeCell ref="A2952:L2952"/>
    <mergeCell ref="B2953:L2953"/>
    <mergeCell ref="B2954:J2954"/>
    <mergeCell ref="B2955:C2955"/>
    <mergeCell ref="D2955:E2955"/>
    <mergeCell ref="F2955:G2955"/>
    <mergeCell ref="I2955:J2955"/>
    <mergeCell ref="A2948:L2948"/>
    <mergeCell ref="A2949:J2949"/>
    <mergeCell ref="K2949:L2949"/>
    <mergeCell ref="A2950:J2950"/>
    <mergeCell ref="K2950:L2950"/>
    <mergeCell ref="A2951:J2951"/>
    <mergeCell ref="K2951:L2951"/>
    <mergeCell ref="A2944:J2944"/>
    <mergeCell ref="K2944:L2944"/>
    <mergeCell ref="A2945:L2945"/>
    <mergeCell ref="A2946:C2946"/>
    <mergeCell ref="A2947:J2947"/>
    <mergeCell ref="K2947:L2947"/>
    <mergeCell ref="A2941:J2941"/>
    <mergeCell ref="K2941:L2941"/>
    <mergeCell ref="A2942:L2942"/>
    <mergeCell ref="A2943:E2943"/>
    <mergeCell ref="I2943:J2943"/>
    <mergeCell ref="K2943:L2943"/>
    <mergeCell ref="A2939:E2939"/>
    <mergeCell ref="I2939:J2939"/>
    <mergeCell ref="K2939:L2939"/>
    <mergeCell ref="A2940:E2940"/>
    <mergeCell ref="I2940:J2940"/>
    <mergeCell ref="K2940:L2940"/>
    <mergeCell ref="A2937:E2937"/>
    <mergeCell ref="I2937:J2937"/>
    <mergeCell ref="K2937:L2937"/>
    <mergeCell ref="A2938:E2938"/>
    <mergeCell ref="I2938:J2938"/>
    <mergeCell ref="K2938:L2938"/>
    <mergeCell ref="A2934:L2934"/>
    <mergeCell ref="A2935:E2935"/>
    <mergeCell ref="I2935:J2935"/>
    <mergeCell ref="K2935:L2935"/>
    <mergeCell ref="A2936:E2936"/>
    <mergeCell ref="I2936:J2936"/>
    <mergeCell ref="K2936:L2936"/>
    <mergeCell ref="A2931:J2931"/>
    <mergeCell ref="K2931:L2931"/>
    <mergeCell ref="A2932:J2932"/>
    <mergeCell ref="K2932:L2932"/>
    <mergeCell ref="A2933:J2933"/>
    <mergeCell ref="K2933:L2933"/>
    <mergeCell ref="A2928:C2928"/>
    <mergeCell ref="E2928:F2928"/>
    <mergeCell ref="J2928:L2928"/>
    <mergeCell ref="A2929:J2929"/>
    <mergeCell ref="K2929:L2929"/>
    <mergeCell ref="A2930:L2930"/>
    <mergeCell ref="A2925:C2925"/>
    <mergeCell ref="I2925:J2925"/>
    <mergeCell ref="K2925:L2925"/>
    <mergeCell ref="A2926:J2926"/>
    <mergeCell ref="K2926:L2926"/>
    <mergeCell ref="A2927:L2927"/>
    <mergeCell ref="A2923:C2923"/>
    <mergeCell ref="I2923:J2923"/>
    <mergeCell ref="K2923:L2923"/>
    <mergeCell ref="A2924:C2924"/>
    <mergeCell ref="I2924:J2924"/>
    <mergeCell ref="K2924:L2924"/>
    <mergeCell ref="A2919:L2919"/>
    <mergeCell ref="A2920:C2920"/>
    <mergeCell ref="K2920:L2920"/>
    <mergeCell ref="A2921:J2921"/>
    <mergeCell ref="K2921:L2921"/>
    <mergeCell ref="A2922:L2922"/>
    <mergeCell ref="A2915:L2915"/>
    <mergeCell ref="B2916:L2916"/>
    <mergeCell ref="B2917:J2917"/>
    <mergeCell ref="B2918:C2918"/>
    <mergeCell ref="D2918:E2918"/>
    <mergeCell ref="F2918:G2918"/>
    <mergeCell ref="I2918:J2918"/>
    <mergeCell ref="A2911:L2911"/>
    <mergeCell ref="A2912:J2912"/>
    <mergeCell ref="K2912:L2912"/>
    <mergeCell ref="A2913:J2913"/>
    <mergeCell ref="K2913:L2913"/>
    <mergeCell ref="A2914:J2914"/>
    <mergeCell ref="K2914:L2914"/>
    <mergeCell ref="A2907:J2907"/>
    <mergeCell ref="K2907:L2907"/>
    <mergeCell ref="A2908:L2908"/>
    <mergeCell ref="A2909:C2909"/>
    <mergeCell ref="A2910:J2910"/>
    <mergeCell ref="K2910:L2910"/>
    <mergeCell ref="A2904:L2904"/>
    <mergeCell ref="A2905:E2905"/>
    <mergeCell ref="I2905:J2905"/>
    <mergeCell ref="K2905:L2905"/>
    <mergeCell ref="A2906:E2906"/>
    <mergeCell ref="I2906:J2906"/>
    <mergeCell ref="K2906:L2906"/>
    <mergeCell ref="A2901:L2901"/>
    <mergeCell ref="A2902:E2902"/>
    <mergeCell ref="I2902:J2902"/>
    <mergeCell ref="K2902:L2902"/>
    <mergeCell ref="A2903:J2903"/>
    <mergeCell ref="K2903:L2903"/>
    <mergeCell ref="A2898:J2898"/>
    <mergeCell ref="K2898:L2898"/>
    <mergeCell ref="A2899:J2899"/>
    <mergeCell ref="K2899:L2899"/>
    <mergeCell ref="A2900:J2900"/>
    <mergeCell ref="K2900:L2900"/>
    <mergeCell ref="A2895:C2895"/>
    <mergeCell ref="E2895:F2895"/>
    <mergeCell ref="J2895:L2895"/>
    <mergeCell ref="A2896:J2896"/>
    <mergeCell ref="K2896:L2896"/>
    <mergeCell ref="A2897:L2897"/>
    <mergeCell ref="A2892:C2892"/>
    <mergeCell ref="I2892:J2892"/>
    <mergeCell ref="K2892:L2892"/>
    <mergeCell ref="A2893:J2893"/>
    <mergeCell ref="K2893:L2893"/>
    <mergeCell ref="A2894:L2894"/>
    <mergeCell ref="A2888:L2888"/>
    <mergeCell ref="A2889:C2889"/>
    <mergeCell ref="K2889:L2889"/>
    <mergeCell ref="A2890:J2890"/>
    <mergeCell ref="K2890:L2890"/>
    <mergeCell ref="A2891:L2891"/>
    <mergeCell ref="A2884:L2884"/>
    <mergeCell ref="B2885:L2885"/>
    <mergeCell ref="B2886:J2886"/>
    <mergeCell ref="B2887:C2887"/>
    <mergeCell ref="D2887:E2887"/>
    <mergeCell ref="F2887:G2887"/>
    <mergeCell ref="I2887:J2887"/>
    <mergeCell ref="A2880:L2880"/>
    <mergeCell ref="A2881:J2881"/>
    <mergeCell ref="K2881:L2881"/>
    <mergeCell ref="A2882:J2882"/>
    <mergeCell ref="K2882:L2882"/>
    <mergeCell ref="A2883:J2883"/>
    <mergeCell ref="K2883:L2883"/>
    <mergeCell ref="A2876:J2876"/>
    <mergeCell ref="K2876:L2876"/>
    <mergeCell ref="A2877:L2877"/>
    <mergeCell ref="A2878:C2878"/>
    <mergeCell ref="A2879:J2879"/>
    <mergeCell ref="K2879:L2879"/>
    <mergeCell ref="A2874:E2874"/>
    <mergeCell ref="I2874:J2874"/>
    <mergeCell ref="K2874:L2874"/>
    <mergeCell ref="A2875:E2875"/>
    <mergeCell ref="I2875:J2875"/>
    <mergeCell ref="K2875:L2875"/>
    <mergeCell ref="A2871:E2871"/>
    <mergeCell ref="I2871:J2871"/>
    <mergeCell ref="K2871:L2871"/>
    <mergeCell ref="A2872:J2872"/>
    <mergeCell ref="K2872:L2872"/>
    <mergeCell ref="A2873:L2873"/>
    <mergeCell ref="A2868:J2868"/>
    <mergeCell ref="K2868:L2868"/>
    <mergeCell ref="A2869:L2869"/>
    <mergeCell ref="A2870:E2870"/>
    <mergeCell ref="I2870:J2870"/>
    <mergeCell ref="K2870:L2870"/>
    <mergeCell ref="A2864:J2864"/>
    <mergeCell ref="K2864:L2864"/>
    <mergeCell ref="A2865:L2865"/>
    <mergeCell ref="A2866:J2866"/>
    <mergeCell ref="K2866:L2866"/>
    <mergeCell ref="A2867:J2867"/>
    <mergeCell ref="K2867:L2867"/>
    <mergeCell ref="A2861:J2861"/>
    <mergeCell ref="K2861:L2861"/>
    <mergeCell ref="A2862:L2862"/>
    <mergeCell ref="A2863:C2863"/>
    <mergeCell ref="E2863:F2863"/>
    <mergeCell ref="J2863:L2863"/>
    <mergeCell ref="A2857:C2857"/>
    <mergeCell ref="K2857:L2857"/>
    <mergeCell ref="A2858:J2858"/>
    <mergeCell ref="K2858:L2858"/>
    <mergeCell ref="A2859:L2859"/>
    <mergeCell ref="A2860:C2860"/>
    <mergeCell ref="I2860:J2860"/>
    <mergeCell ref="K2860:L2860"/>
    <mergeCell ref="B2854:J2854"/>
    <mergeCell ref="B2855:C2855"/>
    <mergeCell ref="D2855:E2855"/>
    <mergeCell ref="F2855:G2855"/>
    <mergeCell ref="I2855:J2855"/>
    <mergeCell ref="A2856:L2856"/>
    <mergeCell ref="A2850:J2850"/>
    <mergeCell ref="K2850:L2850"/>
    <mergeCell ref="A2851:J2851"/>
    <mergeCell ref="K2851:L2851"/>
    <mergeCell ref="A2852:L2852"/>
    <mergeCell ref="B2853:L2853"/>
    <mergeCell ref="A2846:C2846"/>
    <mergeCell ref="A2847:J2847"/>
    <mergeCell ref="K2847:L2847"/>
    <mergeCell ref="A2848:L2848"/>
    <mergeCell ref="A2849:J2849"/>
    <mergeCell ref="K2849:L2849"/>
    <mergeCell ref="A2843:E2843"/>
    <mergeCell ref="I2843:J2843"/>
    <mergeCell ref="K2843:L2843"/>
    <mergeCell ref="A2844:J2844"/>
    <mergeCell ref="K2844:L2844"/>
    <mergeCell ref="A2845:L2845"/>
    <mergeCell ref="A2840:J2840"/>
    <mergeCell ref="K2840:L2840"/>
    <mergeCell ref="A2841:L2841"/>
    <mergeCell ref="A2842:E2842"/>
    <mergeCell ref="I2842:J2842"/>
    <mergeCell ref="K2842:L2842"/>
    <mergeCell ref="A2837:L2837"/>
    <mergeCell ref="A2838:E2838"/>
    <mergeCell ref="I2838:J2838"/>
    <mergeCell ref="K2838:L2838"/>
    <mergeCell ref="A2839:E2839"/>
    <mergeCell ref="I2839:J2839"/>
    <mergeCell ref="K2839:L2839"/>
    <mergeCell ref="A2834:J2834"/>
    <mergeCell ref="K2834:L2834"/>
    <mergeCell ref="A2835:J2835"/>
    <mergeCell ref="K2835:L2835"/>
    <mergeCell ref="A2836:J2836"/>
    <mergeCell ref="K2836:L2836"/>
    <mergeCell ref="A2831:C2831"/>
    <mergeCell ref="E2831:F2831"/>
    <mergeCell ref="J2831:L2831"/>
    <mergeCell ref="A2832:J2832"/>
    <mergeCell ref="K2832:L2832"/>
    <mergeCell ref="A2833:L2833"/>
    <mergeCell ref="A2828:C2828"/>
    <mergeCell ref="I2828:J2828"/>
    <mergeCell ref="K2828:L2828"/>
    <mergeCell ref="A2829:J2829"/>
    <mergeCell ref="K2829:L2829"/>
    <mergeCell ref="A2830:L2830"/>
    <mergeCell ref="A2824:L2824"/>
    <mergeCell ref="A2825:C2825"/>
    <mergeCell ref="K2825:L2825"/>
    <mergeCell ref="A2826:J2826"/>
    <mergeCell ref="K2826:L2826"/>
    <mergeCell ref="A2827:L2827"/>
    <mergeCell ref="A2820:L2820"/>
    <mergeCell ref="B2821:L2821"/>
    <mergeCell ref="B2822:J2822"/>
    <mergeCell ref="B2823:C2823"/>
    <mergeCell ref="D2823:E2823"/>
    <mergeCell ref="F2823:G2823"/>
    <mergeCell ref="I2823:J2823"/>
    <mergeCell ref="A2816:L2816"/>
    <mergeCell ref="A2817:J2817"/>
    <mergeCell ref="K2817:L2817"/>
    <mergeCell ref="A2818:J2818"/>
    <mergeCell ref="K2818:L2818"/>
    <mergeCell ref="A2819:J2819"/>
    <mergeCell ref="K2819:L2819"/>
    <mergeCell ref="A2812:J2812"/>
    <mergeCell ref="K2812:L2812"/>
    <mergeCell ref="A2813:L2813"/>
    <mergeCell ref="A2814:C2814"/>
    <mergeCell ref="A2815:J2815"/>
    <mergeCell ref="K2815:L2815"/>
    <mergeCell ref="A2809:J2809"/>
    <mergeCell ref="K2809:L2809"/>
    <mergeCell ref="A2810:L2810"/>
    <mergeCell ref="A2811:E2811"/>
    <mergeCell ref="I2811:J2811"/>
    <mergeCell ref="K2811:L2811"/>
    <mergeCell ref="A2807:E2807"/>
    <mergeCell ref="I2807:J2807"/>
    <mergeCell ref="K2807:L2807"/>
    <mergeCell ref="A2808:E2808"/>
    <mergeCell ref="I2808:J2808"/>
    <mergeCell ref="K2808:L2808"/>
    <mergeCell ref="A2804:J2804"/>
    <mergeCell ref="K2804:L2804"/>
    <mergeCell ref="A2805:L2805"/>
    <mergeCell ref="A2806:E2806"/>
    <mergeCell ref="I2806:J2806"/>
    <mergeCell ref="K2806:L2806"/>
    <mergeCell ref="A2800:J2800"/>
    <mergeCell ref="K2800:L2800"/>
    <mergeCell ref="A2801:L2801"/>
    <mergeCell ref="A2802:J2802"/>
    <mergeCell ref="K2802:L2802"/>
    <mergeCell ref="A2803:J2803"/>
    <mergeCell ref="K2803:L2803"/>
    <mergeCell ref="A2797:J2797"/>
    <mergeCell ref="K2797:L2797"/>
    <mergeCell ref="A2798:L2798"/>
    <mergeCell ref="A2799:C2799"/>
    <mergeCell ref="E2799:F2799"/>
    <mergeCell ref="J2799:L2799"/>
    <mergeCell ref="A2795:C2795"/>
    <mergeCell ref="I2795:J2795"/>
    <mergeCell ref="K2795:L2795"/>
    <mergeCell ref="A2796:C2796"/>
    <mergeCell ref="I2796:J2796"/>
    <mergeCell ref="K2796:L2796"/>
    <mergeCell ref="A2791:C2791"/>
    <mergeCell ref="K2791:L2791"/>
    <mergeCell ref="A2792:J2792"/>
    <mergeCell ref="K2792:L2792"/>
    <mergeCell ref="A2793:L2793"/>
    <mergeCell ref="A2794:C2794"/>
    <mergeCell ref="I2794:J2794"/>
    <mergeCell ref="K2794:L2794"/>
    <mergeCell ref="B2788:J2788"/>
    <mergeCell ref="B2789:C2789"/>
    <mergeCell ref="D2789:E2789"/>
    <mergeCell ref="F2789:G2789"/>
    <mergeCell ref="I2789:J2789"/>
    <mergeCell ref="A2790:L2790"/>
    <mergeCell ref="A2784:J2784"/>
    <mergeCell ref="K2784:L2784"/>
    <mergeCell ref="A2785:J2785"/>
    <mergeCell ref="K2785:L2785"/>
    <mergeCell ref="A2786:L2786"/>
    <mergeCell ref="B2787:L2787"/>
    <mergeCell ref="A2780:C2780"/>
    <mergeCell ref="A2781:J2781"/>
    <mergeCell ref="K2781:L2781"/>
    <mergeCell ref="A2782:L2782"/>
    <mergeCell ref="A2783:J2783"/>
    <mergeCell ref="K2783:L2783"/>
    <mergeCell ref="A2777:E2777"/>
    <mergeCell ref="I2777:J2777"/>
    <mergeCell ref="K2777:L2777"/>
    <mergeCell ref="A2778:J2778"/>
    <mergeCell ref="K2778:L2778"/>
    <mergeCell ref="A2779:L2779"/>
    <mergeCell ref="A2774:E2774"/>
    <mergeCell ref="I2774:J2774"/>
    <mergeCell ref="K2774:L2774"/>
    <mergeCell ref="A2775:J2775"/>
    <mergeCell ref="K2775:L2775"/>
    <mergeCell ref="A2776:L2776"/>
    <mergeCell ref="A2771:L2771"/>
    <mergeCell ref="A2772:E2772"/>
    <mergeCell ref="I2772:J2772"/>
    <mergeCell ref="K2772:L2772"/>
    <mergeCell ref="A2773:E2773"/>
    <mergeCell ref="I2773:J2773"/>
    <mergeCell ref="K2773:L2773"/>
    <mergeCell ref="A2768:J2768"/>
    <mergeCell ref="K2768:L2768"/>
    <mergeCell ref="A2769:J2769"/>
    <mergeCell ref="K2769:L2769"/>
    <mergeCell ref="A2770:J2770"/>
    <mergeCell ref="K2770:L2770"/>
    <mergeCell ref="A2765:C2765"/>
    <mergeCell ref="E2765:F2765"/>
    <mergeCell ref="J2765:L2765"/>
    <mergeCell ref="A2766:J2766"/>
    <mergeCell ref="K2766:L2766"/>
    <mergeCell ref="A2767:L2767"/>
    <mergeCell ref="A2762:C2762"/>
    <mergeCell ref="I2762:J2762"/>
    <mergeCell ref="K2762:L2762"/>
    <mergeCell ref="A2763:J2763"/>
    <mergeCell ref="K2763:L2763"/>
    <mergeCell ref="A2764:L2764"/>
    <mergeCell ref="A2760:C2760"/>
    <mergeCell ref="I2760:J2760"/>
    <mergeCell ref="K2760:L2760"/>
    <mergeCell ref="A2761:C2761"/>
    <mergeCell ref="I2761:J2761"/>
    <mergeCell ref="K2761:L2761"/>
    <mergeCell ref="A2756:L2756"/>
    <mergeCell ref="A2757:C2757"/>
    <mergeCell ref="K2757:L2757"/>
    <mergeCell ref="A2758:J2758"/>
    <mergeCell ref="K2758:L2758"/>
    <mergeCell ref="A2759:L2759"/>
    <mergeCell ref="A2752:L2752"/>
    <mergeCell ref="B2753:L2753"/>
    <mergeCell ref="B2754:J2754"/>
    <mergeCell ref="B2755:C2755"/>
    <mergeCell ref="D2755:E2755"/>
    <mergeCell ref="F2755:G2755"/>
    <mergeCell ref="I2755:J2755"/>
    <mergeCell ref="A2748:L2748"/>
    <mergeCell ref="A2749:J2749"/>
    <mergeCell ref="K2749:L2749"/>
    <mergeCell ref="A2750:J2750"/>
    <mergeCell ref="K2750:L2750"/>
    <mergeCell ref="A2751:J2751"/>
    <mergeCell ref="K2751:L2751"/>
    <mergeCell ref="A2744:J2744"/>
    <mergeCell ref="K2744:L2744"/>
    <mergeCell ref="A2745:L2745"/>
    <mergeCell ref="A2746:C2746"/>
    <mergeCell ref="A2747:J2747"/>
    <mergeCell ref="K2747:L2747"/>
    <mergeCell ref="A2742:E2742"/>
    <mergeCell ref="I2742:J2742"/>
    <mergeCell ref="K2742:L2742"/>
    <mergeCell ref="A2743:E2743"/>
    <mergeCell ref="I2743:J2743"/>
    <mergeCell ref="K2743:L2743"/>
    <mergeCell ref="A2739:E2739"/>
    <mergeCell ref="I2739:J2739"/>
    <mergeCell ref="K2739:L2739"/>
    <mergeCell ref="A2740:J2740"/>
    <mergeCell ref="K2740:L2740"/>
    <mergeCell ref="A2741:L2741"/>
    <mergeCell ref="A2736:J2736"/>
    <mergeCell ref="K2736:L2736"/>
    <mergeCell ref="A2737:L2737"/>
    <mergeCell ref="A2738:E2738"/>
    <mergeCell ref="I2738:J2738"/>
    <mergeCell ref="K2738:L2738"/>
    <mergeCell ref="A2732:J2732"/>
    <mergeCell ref="K2732:L2732"/>
    <mergeCell ref="A2733:L2733"/>
    <mergeCell ref="A2734:J2734"/>
    <mergeCell ref="K2734:L2734"/>
    <mergeCell ref="A2735:J2735"/>
    <mergeCell ref="K2735:L2735"/>
    <mergeCell ref="A2729:J2729"/>
    <mergeCell ref="K2729:L2729"/>
    <mergeCell ref="A2730:L2730"/>
    <mergeCell ref="A2731:C2731"/>
    <mergeCell ref="E2731:F2731"/>
    <mergeCell ref="J2731:L2731"/>
    <mergeCell ref="A2725:C2725"/>
    <mergeCell ref="K2725:L2725"/>
    <mergeCell ref="A2726:J2726"/>
    <mergeCell ref="K2726:L2726"/>
    <mergeCell ref="A2727:L2727"/>
    <mergeCell ref="A2728:C2728"/>
    <mergeCell ref="I2728:J2728"/>
    <mergeCell ref="K2728:L2728"/>
    <mergeCell ref="B2722:J2722"/>
    <mergeCell ref="B2723:C2723"/>
    <mergeCell ref="D2723:E2723"/>
    <mergeCell ref="F2723:G2723"/>
    <mergeCell ref="I2723:J2723"/>
    <mergeCell ref="A2724:L2724"/>
    <mergeCell ref="A2718:J2718"/>
    <mergeCell ref="K2718:L2718"/>
    <mergeCell ref="A2719:J2719"/>
    <mergeCell ref="K2719:L2719"/>
    <mergeCell ref="A2720:L2720"/>
    <mergeCell ref="B2721:L2721"/>
    <mergeCell ref="A2714:C2714"/>
    <mergeCell ref="A2715:J2715"/>
    <mergeCell ref="K2715:L2715"/>
    <mergeCell ref="A2716:L2716"/>
    <mergeCell ref="A2717:J2717"/>
    <mergeCell ref="K2717:L2717"/>
    <mergeCell ref="A2711:E2711"/>
    <mergeCell ref="I2711:J2711"/>
    <mergeCell ref="K2711:L2711"/>
    <mergeCell ref="A2712:J2712"/>
    <mergeCell ref="K2712:L2712"/>
    <mergeCell ref="A2713:L2713"/>
    <mergeCell ref="A2708:J2708"/>
    <mergeCell ref="K2708:L2708"/>
    <mergeCell ref="A2709:L2709"/>
    <mergeCell ref="A2710:E2710"/>
    <mergeCell ref="I2710:J2710"/>
    <mergeCell ref="K2710:L2710"/>
    <mergeCell ref="A2705:L2705"/>
    <mergeCell ref="A2706:E2706"/>
    <mergeCell ref="I2706:J2706"/>
    <mergeCell ref="K2706:L2706"/>
    <mergeCell ref="A2707:E2707"/>
    <mergeCell ref="I2707:J2707"/>
    <mergeCell ref="K2707:L2707"/>
    <mergeCell ref="A2702:J2702"/>
    <mergeCell ref="K2702:L2702"/>
    <mergeCell ref="A2703:J2703"/>
    <mergeCell ref="K2703:L2703"/>
    <mergeCell ref="A2704:J2704"/>
    <mergeCell ref="K2704:L2704"/>
    <mergeCell ref="A2699:C2699"/>
    <mergeCell ref="E2699:F2699"/>
    <mergeCell ref="J2699:L2699"/>
    <mergeCell ref="A2700:J2700"/>
    <mergeCell ref="K2700:L2700"/>
    <mergeCell ref="A2701:L2701"/>
    <mergeCell ref="A2696:C2696"/>
    <mergeCell ref="I2696:J2696"/>
    <mergeCell ref="K2696:L2696"/>
    <mergeCell ref="A2697:J2697"/>
    <mergeCell ref="K2697:L2697"/>
    <mergeCell ref="A2698:L2698"/>
    <mergeCell ref="A2692:L2692"/>
    <mergeCell ref="A2693:C2693"/>
    <mergeCell ref="K2693:L2693"/>
    <mergeCell ref="A2694:J2694"/>
    <mergeCell ref="K2694:L2694"/>
    <mergeCell ref="A2695:L2695"/>
    <mergeCell ref="A2688:L2688"/>
    <mergeCell ref="B2689:L2689"/>
    <mergeCell ref="B2690:J2690"/>
    <mergeCell ref="B2691:C2691"/>
    <mergeCell ref="D2691:E2691"/>
    <mergeCell ref="F2691:G2691"/>
    <mergeCell ref="I2691:J2691"/>
    <mergeCell ref="A2684:L2684"/>
    <mergeCell ref="A2685:J2685"/>
    <mergeCell ref="K2685:L2685"/>
    <mergeCell ref="A2686:J2686"/>
    <mergeCell ref="K2686:L2686"/>
    <mergeCell ref="A2687:J2687"/>
    <mergeCell ref="K2687:L2687"/>
    <mergeCell ref="A2680:J2680"/>
    <mergeCell ref="K2680:L2680"/>
    <mergeCell ref="A2681:L2681"/>
    <mergeCell ref="A2682:C2682"/>
    <mergeCell ref="A2683:J2683"/>
    <mergeCell ref="K2683:L2683"/>
    <mergeCell ref="A2678:E2678"/>
    <mergeCell ref="I2678:J2678"/>
    <mergeCell ref="K2678:L2678"/>
    <mergeCell ref="A2679:E2679"/>
    <mergeCell ref="I2679:J2679"/>
    <mergeCell ref="K2679:L2679"/>
    <mergeCell ref="A2675:E2675"/>
    <mergeCell ref="I2675:J2675"/>
    <mergeCell ref="K2675:L2675"/>
    <mergeCell ref="A2676:J2676"/>
    <mergeCell ref="K2676:L2676"/>
    <mergeCell ref="A2677:L2677"/>
    <mergeCell ref="A2672:J2672"/>
    <mergeCell ref="K2672:L2672"/>
    <mergeCell ref="A2673:L2673"/>
    <mergeCell ref="A2674:E2674"/>
    <mergeCell ref="I2674:J2674"/>
    <mergeCell ref="K2674:L2674"/>
    <mergeCell ref="A2668:J2668"/>
    <mergeCell ref="K2668:L2668"/>
    <mergeCell ref="A2669:L2669"/>
    <mergeCell ref="A2670:J2670"/>
    <mergeCell ref="K2670:L2670"/>
    <mergeCell ref="A2671:J2671"/>
    <mergeCell ref="K2671:L2671"/>
    <mergeCell ref="A2665:J2665"/>
    <mergeCell ref="K2665:L2665"/>
    <mergeCell ref="A2666:L2666"/>
    <mergeCell ref="A2667:C2667"/>
    <mergeCell ref="E2667:F2667"/>
    <mergeCell ref="J2667:L2667"/>
    <mergeCell ref="A2661:C2661"/>
    <mergeCell ref="K2661:L2661"/>
    <mergeCell ref="A2662:J2662"/>
    <mergeCell ref="K2662:L2662"/>
    <mergeCell ref="A2663:L2663"/>
    <mergeCell ref="A2664:C2664"/>
    <mergeCell ref="I2664:J2664"/>
    <mergeCell ref="K2664:L2664"/>
    <mergeCell ref="B2658:J2658"/>
    <mergeCell ref="B2659:C2659"/>
    <mergeCell ref="D2659:E2659"/>
    <mergeCell ref="F2659:G2659"/>
    <mergeCell ref="I2659:J2659"/>
    <mergeCell ref="A2660:L2660"/>
    <mergeCell ref="A2654:J2654"/>
    <mergeCell ref="K2654:L2654"/>
    <mergeCell ref="A2655:J2655"/>
    <mergeCell ref="K2655:L2655"/>
    <mergeCell ref="A2656:L2656"/>
    <mergeCell ref="B2657:L2657"/>
    <mergeCell ref="A2650:C2650"/>
    <mergeCell ref="A2651:J2651"/>
    <mergeCell ref="K2651:L2651"/>
    <mergeCell ref="A2652:L2652"/>
    <mergeCell ref="A2653:J2653"/>
    <mergeCell ref="K2653:L2653"/>
    <mergeCell ref="A2647:E2647"/>
    <mergeCell ref="I2647:J2647"/>
    <mergeCell ref="K2647:L2647"/>
    <mergeCell ref="A2648:J2648"/>
    <mergeCell ref="K2648:L2648"/>
    <mergeCell ref="A2649:L2649"/>
    <mergeCell ref="A2645:E2645"/>
    <mergeCell ref="I2645:J2645"/>
    <mergeCell ref="K2645:L2645"/>
    <mergeCell ref="A2646:E2646"/>
    <mergeCell ref="I2646:J2646"/>
    <mergeCell ref="K2646:L2646"/>
    <mergeCell ref="A2643:E2643"/>
    <mergeCell ref="I2643:J2643"/>
    <mergeCell ref="K2643:L2643"/>
    <mergeCell ref="A2644:E2644"/>
    <mergeCell ref="I2644:J2644"/>
    <mergeCell ref="K2644:L2644"/>
    <mergeCell ref="A2640:E2640"/>
    <mergeCell ref="I2640:J2640"/>
    <mergeCell ref="K2640:L2640"/>
    <mergeCell ref="A2641:J2641"/>
    <mergeCell ref="K2641:L2641"/>
    <mergeCell ref="A2642:L2642"/>
    <mergeCell ref="A2638:E2638"/>
    <mergeCell ref="I2638:J2638"/>
    <mergeCell ref="K2638:L2638"/>
    <mergeCell ref="A2639:E2639"/>
    <mergeCell ref="I2639:J2639"/>
    <mergeCell ref="K2639:L2639"/>
    <mergeCell ref="A2635:J2635"/>
    <mergeCell ref="K2635:L2635"/>
    <mergeCell ref="A2636:L2636"/>
    <mergeCell ref="A2637:E2637"/>
    <mergeCell ref="I2637:J2637"/>
    <mergeCell ref="K2637:L2637"/>
    <mergeCell ref="A2631:J2631"/>
    <mergeCell ref="K2631:L2631"/>
    <mergeCell ref="A2632:L2632"/>
    <mergeCell ref="A2633:J2633"/>
    <mergeCell ref="K2633:L2633"/>
    <mergeCell ref="A2634:J2634"/>
    <mergeCell ref="K2634:L2634"/>
    <mergeCell ref="A2628:J2628"/>
    <mergeCell ref="K2628:L2628"/>
    <mergeCell ref="A2629:L2629"/>
    <mergeCell ref="A2630:C2630"/>
    <mergeCell ref="E2630:F2630"/>
    <mergeCell ref="J2630:L2630"/>
    <mergeCell ref="A2624:C2624"/>
    <mergeCell ref="K2624:L2624"/>
    <mergeCell ref="A2625:J2625"/>
    <mergeCell ref="K2625:L2625"/>
    <mergeCell ref="A2626:L2626"/>
    <mergeCell ref="A2627:C2627"/>
    <mergeCell ref="I2627:J2627"/>
    <mergeCell ref="K2627:L2627"/>
    <mergeCell ref="B2621:J2621"/>
    <mergeCell ref="B2622:C2622"/>
    <mergeCell ref="D2622:E2622"/>
    <mergeCell ref="F2622:G2622"/>
    <mergeCell ref="I2622:J2622"/>
    <mergeCell ref="A2623:L2623"/>
    <mergeCell ref="A2617:J2617"/>
    <mergeCell ref="K2617:L2617"/>
    <mergeCell ref="A2618:J2618"/>
    <mergeCell ref="K2618:L2618"/>
    <mergeCell ref="A2619:L2619"/>
    <mergeCell ref="B2620:L2620"/>
    <mergeCell ref="A2613:C2613"/>
    <mergeCell ref="A2614:J2614"/>
    <mergeCell ref="K2614:L2614"/>
    <mergeCell ref="A2615:L2615"/>
    <mergeCell ref="A2616:J2616"/>
    <mergeCell ref="K2616:L2616"/>
    <mergeCell ref="A2610:E2610"/>
    <mergeCell ref="I2610:J2610"/>
    <mergeCell ref="K2610:L2610"/>
    <mergeCell ref="A2611:J2611"/>
    <mergeCell ref="K2611:L2611"/>
    <mergeCell ref="A2612:L2612"/>
    <mergeCell ref="A2607:J2607"/>
    <mergeCell ref="K2607:L2607"/>
    <mergeCell ref="A2608:L2608"/>
    <mergeCell ref="A2609:E2609"/>
    <mergeCell ref="I2609:J2609"/>
    <mergeCell ref="K2609:L2609"/>
    <mergeCell ref="A2605:E2605"/>
    <mergeCell ref="I2605:J2605"/>
    <mergeCell ref="K2605:L2605"/>
    <mergeCell ref="A2606:E2606"/>
    <mergeCell ref="I2606:J2606"/>
    <mergeCell ref="K2606:L2606"/>
    <mergeCell ref="A2603:E2603"/>
    <mergeCell ref="I2603:J2603"/>
    <mergeCell ref="K2603:L2603"/>
    <mergeCell ref="A2604:E2604"/>
    <mergeCell ref="I2604:J2604"/>
    <mergeCell ref="K2604:L2604"/>
    <mergeCell ref="A2601:E2601"/>
    <mergeCell ref="I2601:J2601"/>
    <mergeCell ref="K2601:L2601"/>
    <mergeCell ref="A2602:E2602"/>
    <mergeCell ref="I2602:J2602"/>
    <mergeCell ref="K2602:L2602"/>
    <mergeCell ref="A2599:E2599"/>
    <mergeCell ref="I2599:J2599"/>
    <mergeCell ref="K2599:L2599"/>
    <mergeCell ref="A2600:E2600"/>
    <mergeCell ref="I2600:J2600"/>
    <mergeCell ref="K2600:L2600"/>
    <mergeCell ref="A2597:E2597"/>
    <mergeCell ref="I2597:J2597"/>
    <mergeCell ref="K2597:L2597"/>
    <mergeCell ref="A2598:E2598"/>
    <mergeCell ref="I2598:J2598"/>
    <mergeCell ref="K2598:L2598"/>
    <mergeCell ref="A2595:E2595"/>
    <mergeCell ref="I2595:J2595"/>
    <mergeCell ref="K2595:L2595"/>
    <mergeCell ref="A2596:E2596"/>
    <mergeCell ref="I2596:J2596"/>
    <mergeCell ref="K2596:L2596"/>
    <mergeCell ref="A2593:E2593"/>
    <mergeCell ref="I2593:J2593"/>
    <mergeCell ref="K2593:L2593"/>
    <mergeCell ref="A2594:E2594"/>
    <mergeCell ref="I2594:J2594"/>
    <mergeCell ref="K2594:L2594"/>
    <mergeCell ref="A2591:E2591"/>
    <mergeCell ref="I2591:J2591"/>
    <mergeCell ref="K2591:L2591"/>
    <mergeCell ref="A2592:E2592"/>
    <mergeCell ref="I2592:J2592"/>
    <mergeCell ref="K2592:L2592"/>
    <mergeCell ref="A2589:E2589"/>
    <mergeCell ref="I2589:J2589"/>
    <mergeCell ref="K2589:L2589"/>
    <mergeCell ref="A2590:E2590"/>
    <mergeCell ref="I2590:J2590"/>
    <mergeCell ref="K2590:L2590"/>
    <mergeCell ref="A2587:E2587"/>
    <mergeCell ref="I2587:J2587"/>
    <mergeCell ref="K2587:L2587"/>
    <mergeCell ref="A2588:E2588"/>
    <mergeCell ref="I2588:J2588"/>
    <mergeCell ref="K2588:L2588"/>
    <mergeCell ref="A2585:E2585"/>
    <mergeCell ref="I2585:J2585"/>
    <mergeCell ref="K2585:L2585"/>
    <mergeCell ref="A2586:E2586"/>
    <mergeCell ref="I2586:J2586"/>
    <mergeCell ref="K2586:L2586"/>
    <mergeCell ref="A2582:J2582"/>
    <mergeCell ref="K2582:L2582"/>
    <mergeCell ref="A2583:L2583"/>
    <mergeCell ref="A2584:E2584"/>
    <mergeCell ref="I2584:J2584"/>
    <mergeCell ref="K2584:L2584"/>
    <mergeCell ref="A2578:J2578"/>
    <mergeCell ref="K2578:L2578"/>
    <mergeCell ref="A2579:L2579"/>
    <mergeCell ref="A2580:J2580"/>
    <mergeCell ref="K2580:L2580"/>
    <mergeCell ref="A2581:J2581"/>
    <mergeCell ref="K2581:L2581"/>
    <mergeCell ref="A2575:J2575"/>
    <mergeCell ref="K2575:L2575"/>
    <mergeCell ref="A2576:L2576"/>
    <mergeCell ref="A2577:C2577"/>
    <mergeCell ref="E2577:F2577"/>
    <mergeCell ref="J2577:L2577"/>
    <mergeCell ref="A2573:C2573"/>
    <mergeCell ref="I2573:J2573"/>
    <mergeCell ref="K2573:L2573"/>
    <mergeCell ref="A2574:C2574"/>
    <mergeCell ref="I2574:J2574"/>
    <mergeCell ref="K2574:L2574"/>
    <mergeCell ref="A2571:C2571"/>
    <mergeCell ref="I2571:J2571"/>
    <mergeCell ref="K2571:L2571"/>
    <mergeCell ref="A2572:C2572"/>
    <mergeCell ref="I2572:J2572"/>
    <mergeCell ref="K2572:L2572"/>
    <mergeCell ref="A2569:C2569"/>
    <mergeCell ref="I2569:J2569"/>
    <mergeCell ref="K2569:L2569"/>
    <mergeCell ref="A2570:C2570"/>
    <mergeCell ref="I2570:J2570"/>
    <mergeCell ref="K2570:L2570"/>
    <mergeCell ref="A2567:C2567"/>
    <mergeCell ref="I2567:J2567"/>
    <mergeCell ref="K2567:L2567"/>
    <mergeCell ref="A2568:C2568"/>
    <mergeCell ref="I2568:J2568"/>
    <mergeCell ref="K2568:L2568"/>
    <mergeCell ref="A2563:C2563"/>
    <mergeCell ref="K2563:L2563"/>
    <mergeCell ref="A2564:J2564"/>
    <mergeCell ref="K2564:L2564"/>
    <mergeCell ref="A2565:L2565"/>
    <mergeCell ref="A2566:C2566"/>
    <mergeCell ref="I2566:J2566"/>
    <mergeCell ref="K2566:L2566"/>
    <mergeCell ref="B2560:J2560"/>
    <mergeCell ref="B2561:C2561"/>
    <mergeCell ref="D2561:E2561"/>
    <mergeCell ref="F2561:G2561"/>
    <mergeCell ref="I2561:J2561"/>
    <mergeCell ref="A2562:L2562"/>
    <mergeCell ref="A2556:J2556"/>
    <mergeCell ref="K2556:L2556"/>
    <mergeCell ref="A2557:J2557"/>
    <mergeCell ref="K2557:L2557"/>
    <mergeCell ref="A2558:L2558"/>
    <mergeCell ref="B2559:L2559"/>
    <mergeCell ref="A2552:C2552"/>
    <mergeCell ref="A2553:J2553"/>
    <mergeCell ref="K2553:L2553"/>
    <mergeCell ref="A2554:L2554"/>
    <mergeCell ref="A2555:J2555"/>
    <mergeCell ref="K2555:L2555"/>
    <mergeCell ref="A2549:E2549"/>
    <mergeCell ref="I2549:J2549"/>
    <mergeCell ref="K2549:L2549"/>
    <mergeCell ref="A2550:J2550"/>
    <mergeCell ref="K2550:L2550"/>
    <mergeCell ref="A2551:L2551"/>
    <mergeCell ref="A2547:E2547"/>
    <mergeCell ref="I2547:J2547"/>
    <mergeCell ref="K2547:L2547"/>
    <mergeCell ref="A2548:E2548"/>
    <mergeCell ref="I2548:J2548"/>
    <mergeCell ref="K2548:L2548"/>
    <mergeCell ref="A2544:J2544"/>
    <mergeCell ref="K2544:L2544"/>
    <mergeCell ref="A2545:L2545"/>
    <mergeCell ref="A2546:E2546"/>
    <mergeCell ref="I2546:J2546"/>
    <mergeCell ref="K2546:L2546"/>
    <mergeCell ref="A2542:E2542"/>
    <mergeCell ref="I2542:J2542"/>
    <mergeCell ref="K2542:L2542"/>
    <mergeCell ref="A2543:E2543"/>
    <mergeCell ref="I2543:J2543"/>
    <mergeCell ref="K2543:L2543"/>
    <mergeCell ref="A2540:E2540"/>
    <mergeCell ref="I2540:J2540"/>
    <mergeCell ref="K2540:L2540"/>
    <mergeCell ref="A2541:E2541"/>
    <mergeCell ref="I2541:J2541"/>
    <mergeCell ref="K2541:L2541"/>
    <mergeCell ref="A2537:J2537"/>
    <mergeCell ref="K2537:L2537"/>
    <mergeCell ref="A2538:L2538"/>
    <mergeCell ref="A2539:E2539"/>
    <mergeCell ref="I2539:J2539"/>
    <mergeCell ref="K2539:L2539"/>
    <mergeCell ref="A2533:J2533"/>
    <mergeCell ref="K2533:L2533"/>
    <mergeCell ref="A2534:L2534"/>
    <mergeCell ref="A2535:J2535"/>
    <mergeCell ref="K2535:L2535"/>
    <mergeCell ref="A2536:J2536"/>
    <mergeCell ref="K2536:L2536"/>
    <mergeCell ref="A2530:J2530"/>
    <mergeCell ref="K2530:L2530"/>
    <mergeCell ref="A2531:L2531"/>
    <mergeCell ref="A2532:C2532"/>
    <mergeCell ref="E2532:F2532"/>
    <mergeCell ref="J2532:L2532"/>
    <mergeCell ref="A2528:C2528"/>
    <mergeCell ref="I2528:J2528"/>
    <mergeCell ref="K2528:L2528"/>
    <mergeCell ref="A2529:C2529"/>
    <mergeCell ref="I2529:J2529"/>
    <mergeCell ref="K2529:L2529"/>
    <mergeCell ref="A2524:C2524"/>
    <mergeCell ref="K2524:L2524"/>
    <mergeCell ref="A2525:J2525"/>
    <mergeCell ref="K2525:L2525"/>
    <mergeCell ref="A2526:L2526"/>
    <mergeCell ref="A2527:C2527"/>
    <mergeCell ref="I2527:J2527"/>
    <mergeCell ref="K2527:L2527"/>
    <mergeCell ref="B2521:J2521"/>
    <mergeCell ref="B2522:C2522"/>
    <mergeCell ref="D2522:E2522"/>
    <mergeCell ref="F2522:G2522"/>
    <mergeCell ref="I2522:J2522"/>
    <mergeCell ref="A2523:L2523"/>
    <mergeCell ref="A2517:J2517"/>
    <mergeCell ref="K2517:L2517"/>
    <mergeCell ref="A2518:J2518"/>
    <mergeCell ref="K2518:L2518"/>
    <mergeCell ref="A2519:L2519"/>
    <mergeCell ref="B2520:L2520"/>
    <mergeCell ref="A2513:C2513"/>
    <mergeCell ref="A2514:J2514"/>
    <mergeCell ref="K2514:L2514"/>
    <mergeCell ref="A2515:L2515"/>
    <mergeCell ref="A2516:J2516"/>
    <mergeCell ref="K2516:L2516"/>
    <mergeCell ref="A2510:E2510"/>
    <mergeCell ref="I2510:J2510"/>
    <mergeCell ref="K2510:L2510"/>
    <mergeCell ref="A2511:J2511"/>
    <mergeCell ref="K2511:L2511"/>
    <mergeCell ref="A2512:L2512"/>
    <mergeCell ref="A2507:E2507"/>
    <mergeCell ref="I2507:J2507"/>
    <mergeCell ref="K2507:L2507"/>
    <mergeCell ref="A2508:J2508"/>
    <mergeCell ref="K2508:L2508"/>
    <mergeCell ref="A2509:L2509"/>
    <mergeCell ref="A2505:E2505"/>
    <mergeCell ref="I2505:J2505"/>
    <mergeCell ref="K2505:L2505"/>
    <mergeCell ref="A2506:E2506"/>
    <mergeCell ref="I2506:J2506"/>
    <mergeCell ref="K2506:L2506"/>
    <mergeCell ref="A2503:E2503"/>
    <mergeCell ref="I2503:J2503"/>
    <mergeCell ref="K2503:L2503"/>
    <mergeCell ref="A2504:E2504"/>
    <mergeCell ref="I2504:J2504"/>
    <mergeCell ref="K2504:L2504"/>
    <mergeCell ref="A2500:L2500"/>
    <mergeCell ref="A2501:E2501"/>
    <mergeCell ref="I2501:J2501"/>
    <mergeCell ref="K2501:L2501"/>
    <mergeCell ref="A2502:E2502"/>
    <mergeCell ref="I2502:J2502"/>
    <mergeCell ref="K2502:L2502"/>
    <mergeCell ref="A2497:J2497"/>
    <mergeCell ref="K2497:L2497"/>
    <mergeCell ref="A2498:J2498"/>
    <mergeCell ref="K2498:L2498"/>
    <mergeCell ref="A2499:J2499"/>
    <mergeCell ref="K2499:L2499"/>
    <mergeCell ref="A2494:C2494"/>
    <mergeCell ref="E2494:F2494"/>
    <mergeCell ref="J2494:L2494"/>
    <mergeCell ref="A2495:J2495"/>
    <mergeCell ref="K2495:L2495"/>
    <mergeCell ref="A2496:L2496"/>
    <mergeCell ref="A2491:C2491"/>
    <mergeCell ref="I2491:J2491"/>
    <mergeCell ref="K2491:L2491"/>
    <mergeCell ref="A2492:J2492"/>
    <mergeCell ref="K2492:L2492"/>
    <mergeCell ref="A2493:L2493"/>
    <mergeCell ref="A2489:C2489"/>
    <mergeCell ref="I2489:J2489"/>
    <mergeCell ref="K2489:L2489"/>
    <mergeCell ref="A2490:C2490"/>
    <mergeCell ref="I2490:J2490"/>
    <mergeCell ref="K2490:L2490"/>
    <mergeCell ref="A2485:L2485"/>
    <mergeCell ref="A2486:C2486"/>
    <mergeCell ref="K2486:L2486"/>
    <mergeCell ref="A2487:J2487"/>
    <mergeCell ref="K2487:L2487"/>
    <mergeCell ref="A2488:L2488"/>
    <mergeCell ref="A2481:L2481"/>
    <mergeCell ref="B2482:L2482"/>
    <mergeCell ref="B2483:J2483"/>
    <mergeCell ref="B2484:C2484"/>
    <mergeCell ref="D2484:E2484"/>
    <mergeCell ref="F2484:G2484"/>
    <mergeCell ref="I2484:J2484"/>
    <mergeCell ref="A2477:L2477"/>
    <mergeCell ref="A2478:J2478"/>
    <mergeCell ref="K2478:L2478"/>
    <mergeCell ref="A2479:J2479"/>
    <mergeCell ref="K2479:L2479"/>
    <mergeCell ref="A2480:J2480"/>
    <mergeCell ref="K2480:L2480"/>
    <mergeCell ref="A2473:J2473"/>
    <mergeCell ref="K2473:L2473"/>
    <mergeCell ref="A2474:L2474"/>
    <mergeCell ref="A2475:C2475"/>
    <mergeCell ref="A2476:J2476"/>
    <mergeCell ref="K2476:L2476"/>
    <mergeCell ref="A2470:J2470"/>
    <mergeCell ref="K2470:L2470"/>
    <mergeCell ref="A2471:L2471"/>
    <mergeCell ref="A2472:E2472"/>
    <mergeCell ref="I2472:J2472"/>
    <mergeCell ref="K2472:L2472"/>
    <mergeCell ref="A2467:L2467"/>
    <mergeCell ref="A2468:E2468"/>
    <mergeCell ref="I2468:J2468"/>
    <mergeCell ref="K2468:L2468"/>
    <mergeCell ref="A2469:E2469"/>
    <mergeCell ref="I2469:J2469"/>
    <mergeCell ref="K2469:L2469"/>
    <mergeCell ref="A2464:J2464"/>
    <mergeCell ref="K2464:L2464"/>
    <mergeCell ref="A2465:J2465"/>
    <mergeCell ref="K2465:L2465"/>
    <mergeCell ref="A2466:J2466"/>
    <mergeCell ref="K2466:L2466"/>
    <mergeCell ref="A2461:C2461"/>
    <mergeCell ref="E2461:F2461"/>
    <mergeCell ref="J2461:L2461"/>
    <mergeCell ref="A2462:J2462"/>
    <mergeCell ref="K2462:L2462"/>
    <mergeCell ref="A2463:L2463"/>
    <mergeCell ref="A2458:C2458"/>
    <mergeCell ref="I2458:J2458"/>
    <mergeCell ref="K2458:L2458"/>
    <mergeCell ref="A2459:J2459"/>
    <mergeCell ref="K2459:L2459"/>
    <mergeCell ref="A2460:L2460"/>
    <mergeCell ref="A2456:C2456"/>
    <mergeCell ref="I2456:J2456"/>
    <mergeCell ref="K2456:L2456"/>
    <mergeCell ref="A2457:C2457"/>
    <mergeCell ref="I2457:J2457"/>
    <mergeCell ref="K2457:L2457"/>
    <mergeCell ref="A2452:L2452"/>
    <mergeCell ref="A2453:C2453"/>
    <mergeCell ref="K2453:L2453"/>
    <mergeCell ref="A2454:J2454"/>
    <mergeCell ref="K2454:L2454"/>
    <mergeCell ref="A2455:L2455"/>
    <mergeCell ref="A2448:L2448"/>
    <mergeCell ref="B2449:L2449"/>
    <mergeCell ref="B2450:J2450"/>
    <mergeCell ref="B2451:C2451"/>
    <mergeCell ref="D2451:E2451"/>
    <mergeCell ref="F2451:G2451"/>
    <mergeCell ref="I2451:J2451"/>
    <mergeCell ref="A2444:L2444"/>
    <mergeCell ref="A2445:J2445"/>
    <mergeCell ref="K2445:L2445"/>
    <mergeCell ref="A2446:J2446"/>
    <mergeCell ref="K2446:L2446"/>
    <mergeCell ref="A2447:J2447"/>
    <mergeCell ref="K2447:L2447"/>
    <mergeCell ref="A2440:J2440"/>
    <mergeCell ref="K2440:L2440"/>
    <mergeCell ref="A2441:L2441"/>
    <mergeCell ref="A2442:C2442"/>
    <mergeCell ref="A2443:J2443"/>
    <mergeCell ref="K2443:L2443"/>
    <mergeCell ref="A2437:J2437"/>
    <mergeCell ref="K2437:L2437"/>
    <mergeCell ref="A2438:L2438"/>
    <mergeCell ref="A2439:E2439"/>
    <mergeCell ref="I2439:J2439"/>
    <mergeCell ref="K2439:L2439"/>
    <mergeCell ref="A2434:L2434"/>
    <mergeCell ref="A2435:E2435"/>
    <mergeCell ref="I2435:J2435"/>
    <mergeCell ref="K2435:L2435"/>
    <mergeCell ref="A2436:E2436"/>
    <mergeCell ref="I2436:J2436"/>
    <mergeCell ref="K2436:L2436"/>
    <mergeCell ref="A2431:J2431"/>
    <mergeCell ref="K2431:L2431"/>
    <mergeCell ref="A2432:J2432"/>
    <mergeCell ref="K2432:L2432"/>
    <mergeCell ref="A2433:J2433"/>
    <mergeCell ref="K2433:L2433"/>
    <mergeCell ref="A2428:C2428"/>
    <mergeCell ref="E2428:F2428"/>
    <mergeCell ref="J2428:L2428"/>
    <mergeCell ref="A2429:J2429"/>
    <mergeCell ref="K2429:L2429"/>
    <mergeCell ref="A2430:L2430"/>
    <mergeCell ref="A2425:J2425"/>
    <mergeCell ref="K2425:L2425"/>
    <mergeCell ref="A2426:L2426"/>
    <mergeCell ref="A2427:C2427"/>
    <mergeCell ref="E2427:F2427"/>
    <mergeCell ref="J2427:L2427"/>
    <mergeCell ref="A2423:C2423"/>
    <mergeCell ref="I2423:J2423"/>
    <mergeCell ref="K2423:L2423"/>
    <mergeCell ref="A2424:C2424"/>
    <mergeCell ref="I2424:J2424"/>
    <mergeCell ref="K2424:L2424"/>
    <mergeCell ref="A2419:C2419"/>
    <mergeCell ref="K2419:L2419"/>
    <mergeCell ref="A2420:J2420"/>
    <mergeCell ref="K2420:L2420"/>
    <mergeCell ref="A2421:L2421"/>
    <mergeCell ref="A2422:C2422"/>
    <mergeCell ref="I2422:J2422"/>
    <mergeCell ref="K2422:L2422"/>
    <mergeCell ref="B2416:J2416"/>
    <mergeCell ref="B2417:C2417"/>
    <mergeCell ref="D2417:E2417"/>
    <mergeCell ref="F2417:G2417"/>
    <mergeCell ref="I2417:J2417"/>
    <mergeCell ref="A2418:L2418"/>
    <mergeCell ref="A2412:J2412"/>
    <mergeCell ref="K2412:L2412"/>
    <mergeCell ref="A2413:J2413"/>
    <mergeCell ref="K2413:L2413"/>
    <mergeCell ref="A2414:L2414"/>
    <mergeCell ref="B2415:L2415"/>
    <mergeCell ref="A2408:C2408"/>
    <mergeCell ref="A2409:J2409"/>
    <mergeCell ref="K2409:L2409"/>
    <mergeCell ref="A2410:L2410"/>
    <mergeCell ref="A2411:J2411"/>
    <mergeCell ref="K2411:L2411"/>
    <mergeCell ref="A2405:E2405"/>
    <mergeCell ref="I2405:J2405"/>
    <mergeCell ref="K2405:L2405"/>
    <mergeCell ref="A2406:J2406"/>
    <mergeCell ref="K2406:L2406"/>
    <mergeCell ref="A2407:L2407"/>
    <mergeCell ref="A2402:J2402"/>
    <mergeCell ref="K2402:L2402"/>
    <mergeCell ref="A2403:L2403"/>
    <mergeCell ref="A2404:E2404"/>
    <mergeCell ref="I2404:J2404"/>
    <mergeCell ref="K2404:L2404"/>
    <mergeCell ref="A2399:J2399"/>
    <mergeCell ref="K2399:L2399"/>
    <mergeCell ref="A2400:L2400"/>
    <mergeCell ref="A2401:E2401"/>
    <mergeCell ref="I2401:J2401"/>
    <mergeCell ref="K2401:L2401"/>
    <mergeCell ref="A2395:J2395"/>
    <mergeCell ref="K2395:L2395"/>
    <mergeCell ref="A2396:L2396"/>
    <mergeCell ref="A2397:J2397"/>
    <mergeCell ref="K2397:L2397"/>
    <mergeCell ref="A2398:J2398"/>
    <mergeCell ref="K2398:L2398"/>
    <mergeCell ref="A2392:J2392"/>
    <mergeCell ref="K2392:L2392"/>
    <mergeCell ref="A2393:L2393"/>
    <mergeCell ref="A2394:C2394"/>
    <mergeCell ref="E2394:F2394"/>
    <mergeCell ref="J2394:L2394"/>
    <mergeCell ref="A2388:C2388"/>
    <mergeCell ref="K2388:L2388"/>
    <mergeCell ref="A2389:J2389"/>
    <mergeCell ref="K2389:L2389"/>
    <mergeCell ref="A2390:L2390"/>
    <mergeCell ref="A2391:C2391"/>
    <mergeCell ref="I2391:J2391"/>
    <mergeCell ref="K2391:L2391"/>
    <mergeCell ref="B2385:J2385"/>
    <mergeCell ref="B2386:C2386"/>
    <mergeCell ref="D2386:E2386"/>
    <mergeCell ref="F2386:G2386"/>
    <mergeCell ref="I2386:J2386"/>
    <mergeCell ref="A2387:L2387"/>
    <mergeCell ref="A2381:J2381"/>
    <mergeCell ref="K2381:L2381"/>
    <mergeCell ref="A2382:J2382"/>
    <mergeCell ref="K2382:L2382"/>
    <mergeCell ref="A2383:L2383"/>
    <mergeCell ref="B2384:L2384"/>
    <mergeCell ref="A2377:C2377"/>
    <mergeCell ref="A2378:J2378"/>
    <mergeCell ref="K2378:L2378"/>
    <mergeCell ref="A2379:L2379"/>
    <mergeCell ref="A2380:J2380"/>
    <mergeCell ref="K2380:L2380"/>
    <mergeCell ref="A2374:E2374"/>
    <mergeCell ref="I2374:J2374"/>
    <mergeCell ref="K2374:L2374"/>
    <mergeCell ref="A2375:J2375"/>
    <mergeCell ref="K2375:L2375"/>
    <mergeCell ref="A2376:L2376"/>
    <mergeCell ref="A2371:J2371"/>
    <mergeCell ref="K2371:L2371"/>
    <mergeCell ref="A2372:L2372"/>
    <mergeCell ref="A2373:E2373"/>
    <mergeCell ref="I2373:J2373"/>
    <mergeCell ref="K2373:L2373"/>
    <mergeCell ref="A2369:E2369"/>
    <mergeCell ref="I2369:J2369"/>
    <mergeCell ref="K2369:L2369"/>
    <mergeCell ref="A2370:E2370"/>
    <mergeCell ref="I2370:J2370"/>
    <mergeCell ref="K2370:L2370"/>
    <mergeCell ref="A2367:E2367"/>
    <mergeCell ref="I2367:J2367"/>
    <mergeCell ref="K2367:L2367"/>
    <mergeCell ref="A2368:E2368"/>
    <mergeCell ref="I2368:J2368"/>
    <mergeCell ref="K2368:L2368"/>
    <mergeCell ref="A2364:J2364"/>
    <mergeCell ref="K2364:L2364"/>
    <mergeCell ref="A2365:L2365"/>
    <mergeCell ref="A2366:E2366"/>
    <mergeCell ref="I2366:J2366"/>
    <mergeCell ref="K2366:L2366"/>
    <mergeCell ref="A2360:J2360"/>
    <mergeCell ref="K2360:L2360"/>
    <mergeCell ref="A2361:L2361"/>
    <mergeCell ref="A2362:J2362"/>
    <mergeCell ref="K2362:L2362"/>
    <mergeCell ref="A2363:J2363"/>
    <mergeCell ref="K2363:L2363"/>
    <mergeCell ref="A2357:J2357"/>
    <mergeCell ref="K2357:L2357"/>
    <mergeCell ref="A2358:L2358"/>
    <mergeCell ref="A2359:C2359"/>
    <mergeCell ref="E2359:F2359"/>
    <mergeCell ref="J2359:L2359"/>
    <mergeCell ref="A2355:C2355"/>
    <mergeCell ref="I2355:J2355"/>
    <mergeCell ref="K2355:L2355"/>
    <mergeCell ref="A2356:C2356"/>
    <mergeCell ref="I2356:J2356"/>
    <mergeCell ref="K2356:L2356"/>
    <mergeCell ref="A2351:C2351"/>
    <mergeCell ref="K2351:L2351"/>
    <mergeCell ref="A2352:J2352"/>
    <mergeCell ref="K2352:L2352"/>
    <mergeCell ref="A2353:L2353"/>
    <mergeCell ref="A2354:C2354"/>
    <mergeCell ref="I2354:J2354"/>
    <mergeCell ref="K2354:L2354"/>
    <mergeCell ref="B2348:J2348"/>
    <mergeCell ref="B2349:C2349"/>
    <mergeCell ref="D2349:E2349"/>
    <mergeCell ref="F2349:G2349"/>
    <mergeCell ref="I2349:J2349"/>
    <mergeCell ref="A2350:L2350"/>
    <mergeCell ref="A2344:J2344"/>
    <mergeCell ref="K2344:L2344"/>
    <mergeCell ref="A2345:J2345"/>
    <mergeCell ref="K2345:L2345"/>
    <mergeCell ref="A2346:L2346"/>
    <mergeCell ref="B2347:L2347"/>
    <mergeCell ref="A2340:C2340"/>
    <mergeCell ref="A2341:J2341"/>
    <mergeCell ref="K2341:L2341"/>
    <mergeCell ref="A2342:L2342"/>
    <mergeCell ref="A2343:J2343"/>
    <mergeCell ref="K2343:L2343"/>
    <mergeCell ref="A2337:E2337"/>
    <mergeCell ref="I2337:J2337"/>
    <mergeCell ref="K2337:L2337"/>
    <mergeCell ref="A2338:J2338"/>
    <mergeCell ref="K2338:L2338"/>
    <mergeCell ref="A2339:L2339"/>
    <mergeCell ref="A2334:E2334"/>
    <mergeCell ref="I2334:J2334"/>
    <mergeCell ref="K2334:L2334"/>
    <mergeCell ref="A2335:J2335"/>
    <mergeCell ref="K2335:L2335"/>
    <mergeCell ref="A2336:L2336"/>
    <mergeCell ref="A2331:J2331"/>
    <mergeCell ref="K2331:L2331"/>
    <mergeCell ref="A2332:L2332"/>
    <mergeCell ref="A2333:E2333"/>
    <mergeCell ref="I2333:J2333"/>
    <mergeCell ref="K2333:L2333"/>
    <mergeCell ref="A2327:J2327"/>
    <mergeCell ref="K2327:L2327"/>
    <mergeCell ref="A2328:L2328"/>
    <mergeCell ref="A2329:J2329"/>
    <mergeCell ref="K2329:L2329"/>
    <mergeCell ref="A2330:J2330"/>
    <mergeCell ref="K2330:L2330"/>
    <mergeCell ref="A2324:J2324"/>
    <mergeCell ref="K2324:L2324"/>
    <mergeCell ref="A2325:L2325"/>
    <mergeCell ref="A2326:C2326"/>
    <mergeCell ref="E2326:F2326"/>
    <mergeCell ref="J2326:L2326"/>
    <mergeCell ref="A2320:C2320"/>
    <mergeCell ref="K2320:L2320"/>
    <mergeCell ref="A2321:J2321"/>
    <mergeCell ref="K2321:L2321"/>
    <mergeCell ref="A2322:L2322"/>
    <mergeCell ref="A2323:C2323"/>
    <mergeCell ref="I2323:J2323"/>
    <mergeCell ref="K2323:L2323"/>
    <mergeCell ref="B2317:J2317"/>
    <mergeCell ref="B2318:C2318"/>
    <mergeCell ref="D2318:E2318"/>
    <mergeCell ref="F2318:G2318"/>
    <mergeCell ref="I2318:J2318"/>
    <mergeCell ref="A2319:L2319"/>
    <mergeCell ref="A2313:J2313"/>
    <mergeCell ref="K2313:L2313"/>
    <mergeCell ref="A2314:J2314"/>
    <mergeCell ref="K2314:L2314"/>
    <mergeCell ref="A2315:L2315"/>
    <mergeCell ref="B2316:L2316"/>
    <mergeCell ref="A2309:C2309"/>
    <mergeCell ref="A2310:J2310"/>
    <mergeCell ref="K2310:L2310"/>
    <mergeCell ref="A2311:L2311"/>
    <mergeCell ref="A2312:J2312"/>
    <mergeCell ref="K2312:L2312"/>
    <mergeCell ref="A2306:E2306"/>
    <mergeCell ref="I2306:J2306"/>
    <mergeCell ref="K2306:L2306"/>
    <mergeCell ref="A2307:J2307"/>
    <mergeCell ref="K2307:L2307"/>
    <mergeCell ref="A2308:L2308"/>
    <mergeCell ref="A2304:E2304"/>
    <mergeCell ref="I2304:J2304"/>
    <mergeCell ref="K2304:L2304"/>
    <mergeCell ref="A2305:E2305"/>
    <mergeCell ref="I2305:J2305"/>
    <mergeCell ref="K2305:L2305"/>
    <mergeCell ref="A2302:E2302"/>
    <mergeCell ref="I2302:J2302"/>
    <mergeCell ref="K2302:L2302"/>
    <mergeCell ref="A2303:E2303"/>
    <mergeCell ref="I2303:J2303"/>
    <mergeCell ref="K2303:L2303"/>
    <mergeCell ref="A2300:E2300"/>
    <mergeCell ref="I2300:J2300"/>
    <mergeCell ref="K2300:L2300"/>
    <mergeCell ref="A2301:E2301"/>
    <mergeCell ref="I2301:J2301"/>
    <mergeCell ref="K2301:L2301"/>
    <mergeCell ref="A2298:E2298"/>
    <mergeCell ref="I2298:J2298"/>
    <mergeCell ref="K2298:L2298"/>
    <mergeCell ref="A2299:E2299"/>
    <mergeCell ref="I2299:J2299"/>
    <mergeCell ref="K2299:L2299"/>
    <mergeCell ref="A2295:J2295"/>
    <mergeCell ref="K2295:L2295"/>
    <mergeCell ref="A2296:L2296"/>
    <mergeCell ref="A2297:E2297"/>
    <mergeCell ref="I2297:J2297"/>
    <mergeCell ref="K2297:L2297"/>
    <mergeCell ref="A2293:E2293"/>
    <mergeCell ref="I2293:J2293"/>
    <mergeCell ref="K2293:L2293"/>
    <mergeCell ref="A2294:E2294"/>
    <mergeCell ref="I2294:J2294"/>
    <mergeCell ref="K2294:L2294"/>
    <mergeCell ref="A2291:E2291"/>
    <mergeCell ref="I2291:J2291"/>
    <mergeCell ref="K2291:L2291"/>
    <mergeCell ref="A2292:E2292"/>
    <mergeCell ref="I2292:J2292"/>
    <mergeCell ref="K2292:L2292"/>
    <mergeCell ref="A2289:E2289"/>
    <mergeCell ref="I2289:J2289"/>
    <mergeCell ref="K2289:L2289"/>
    <mergeCell ref="A2290:E2290"/>
    <mergeCell ref="I2290:J2290"/>
    <mergeCell ref="K2290:L2290"/>
    <mergeCell ref="A2287:E2287"/>
    <mergeCell ref="I2287:J2287"/>
    <mergeCell ref="K2287:L2287"/>
    <mergeCell ref="A2288:E2288"/>
    <mergeCell ref="I2288:J2288"/>
    <mergeCell ref="K2288:L2288"/>
    <mergeCell ref="A2285:E2285"/>
    <mergeCell ref="I2285:J2285"/>
    <mergeCell ref="K2285:L2285"/>
    <mergeCell ref="A2286:E2286"/>
    <mergeCell ref="I2286:J2286"/>
    <mergeCell ref="K2286:L2286"/>
    <mergeCell ref="A2282:J2282"/>
    <mergeCell ref="K2282:L2282"/>
    <mergeCell ref="A2283:L2283"/>
    <mergeCell ref="A2284:E2284"/>
    <mergeCell ref="I2284:J2284"/>
    <mergeCell ref="K2284:L2284"/>
    <mergeCell ref="A2278:J2278"/>
    <mergeCell ref="K2278:L2278"/>
    <mergeCell ref="A2279:L2279"/>
    <mergeCell ref="A2280:J2280"/>
    <mergeCell ref="K2280:L2280"/>
    <mergeCell ref="A2281:J2281"/>
    <mergeCell ref="K2281:L2281"/>
    <mergeCell ref="A2275:J2275"/>
    <mergeCell ref="K2275:L2275"/>
    <mergeCell ref="A2276:L2276"/>
    <mergeCell ref="A2277:C2277"/>
    <mergeCell ref="E2277:F2277"/>
    <mergeCell ref="J2277:L2277"/>
    <mergeCell ref="A2271:C2271"/>
    <mergeCell ref="K2271:L2271"/>
    <mergeCell ref="A2272:J2272"/>
    <mergeCell ref="K2272:L2272"/>
    <mergeCell ref="A2273:L2273"/>
    <mergeCell ref="A2274:C2274"/>
    <mergeCell ref="I2274:J2274"/>
    <mergeCell ref="K2274:L2274"/>
    <mergeCell ref="B2268:J2268"/>
    <mergeCell ref="B2269:C2269"/>
    <mergeCell ref="D2269:E2269"/>
    <mergeCell ref="F2269:G2269"/>
    <mergeCell ref="I2269:J2269"/>
    <mergeCell ref="A2270:L2270"/>
    <mergeCell ref="A2264:J2264"/>
    <mergeCell ref="K2264:L2264"/>
    <mergeCell ref="A2265:J2265"/>
    <mergeCell ref="K2265:L2265"/>
    <mergeCell ref="A2266:L2266"/>
    <mergeCell ref="B2267:L2267"/>
    <mergeCell ref="A2260:C2260"/>
    <mergeCell ref="A2261:J2261"/>
    <mergeCell ref="K2261:L2261"/>
    <mergeCell ref="A2262:L2262"/>
    <mergeCell ref="A2263:J2263"/>
    <mergeCell ref="K2263:L2263"/>
    <mergeCell ref="A2257:E2257"/>
    <mergeCell ref="I2257:J2257"/>
    <mergeCell ref="K2257:L2257"/>
    <mergeCell ref="A2258:J2258"/>
    <mergeCell ref="K2258:L2258"/>
    <mergeCell ref="A2259:L2259"/>
    <mergeCell ref="A2254:J2254"/>
    <mergeCell ref="K2254:L2254"/>
    <mergeCell ref="A2255:L2255"/>
    <mergeCell ref="A2256:E2256"/>
    <mergeCell ref="I2256:J2256"/>
    <mergeCell ref="K2256:L2256"/>
    <mergeCell ref="A2252:E2252"/>
    <mergeCell ref="I2252:J2252"/>
    <mergeCell ref="K2252:L2252"/>
    <mergeCell ref="A2253:E2253"/>
    <mergeCell ref="I2253:J2253"/>
    <mergeCell ref="K2253:L2253"/>
    <mergeCell ref="A2249:J2249"/>
    <mergeCell ref="K2249:L2249"/>
    <mergeCell ref="A2250:L2250"/>
    <mergeCell ref="A2251:E2251"/>
    <mergeCell ref="I2251:J2251"/>
    <mergeCell ref="K2251:L2251"/>
    <mergeCell ref="A2245:J2245"/>
    <mergeCell ref="K2245:L2245"/>
    <mergeCell ref="A2246:L2246"/>
    <mergeCell ref="A2247:J2247"/>
    <mergeCell ref="K2247:L2247"/>
    <mergeCell ref="A2248:J2248"/>
    <mergeCell ref="K2248:L2248"/>
    <mergeCell ref="A2242:J2242"/>
    <mergeCell ref="K2242:L2242"/>
    <mergeCell ref="A2243:L2243"/>
    <mergeCell ref="A2244:C2244"/>
    <mergeCell ref="E2244:F2244"/>
    <mergeCell ref="J2244:L2244"/>
    <mergeCell ref="A2238:C2238"/>
    <mergeCell ref="K2238:L2238"/>
    <mergeCell ref="A2239:J2239"/>
    <mergeCell ref="K2239:L2239"/>
    <mergeCell ref="A2240:L2240"/>
    <mergeCell ref="A2241:C2241"/>
    <mergeCell ref="I2241:J2241"/>
    <mergeCell ref="K2241:L2241"/>
    <mergeCell ref="B2235:J2235"/>
    <mergeCell ref="B2236:C2236"/>
    <mergeCell ref="D2236:E2236"/>
    <mergeCell ref="F2236:G2236"/>
    <mergeCell ref="I2236:J2236"/>
    <mergeCell ref="A2237:L2237"/>
    <mergeCell ref="A2231:J2231"/>
    <mergeCell ref="K2231:L2231"/>
    <mergeCell ref="A2232:J2232"/>
    <mergeCell ref="K2232:L2232"/>
    <mergeCell ref="A2233:L2233"/>
    <mergeCell ref="B2234:L2234"/>
    <mergeCell ref="A2227:C2227"/>
    <mergeCell ref="A2228:J2228"/>
    <mergeCell ref="K2228:L2228"/>
    <mergeCell ref="A2229:L2229"/>
    <mergeCell ref="A2230:J2230"/>
    <mergeCell ref="K2230:L2230"/>
    <mergeCell ref="A2224:E2224"/>
    <mergeCell ref="I2224:J2224"/>
    <mergeCell ref="K2224:L2224"/>
    <mergeCell ref="A2225:J2225"/>
    <mergeCell ref="K2225:L2225"/>
    <mergeCell ref="A2226:L2226"/>
    <mergeCell ref="A2221:E2221"/>
    <mergeCell ref="I2221:J2221"/>
    <mergeCell ref="K2221:L2221"/>
    <mergeCell ref="A2222:J2222"/>
    <mergeCell ref="K2222:L2222"/>
    <mergeCell ref="A2223:L2223"/>
    <mergeCell ref="A2219:E2219"/>
    <mergeCell ref="I2219:J2219"/>
    <mergeCell ref="K2219:L2219"/>
    <mergeCell ref="A2220:E2220"/>
    <mergeCell ref="I2220:J2220"/>
    <mergeCell ref="K2220:L2220"/>
    <mergeCell ref="A2216:L2216"/>
    <mergeCell ref="A2217:E2217"/>
    <mergeCell ref="I2217:J2217"/>
    <mergeCell ref="K2217:L2217"/>
    <mergeCell ref="A2218:E2218"/>
    <mergeCell ref="I2218:J2218"/>
    <mergeCell ref="K2218:L2218"/>
    <mergeCell ref="A2213:J2213"/>
    <mergeCell ref="K2213:L2213"/>
    <mergeCell ref="A2214:J2214"/>
    <mergeCell ref="K2214:L2214"/>
    <mergeCell ref="A2215:J2215"/>
    <mergeCell ref="K2215:L2215"/>
    <mergeCell ref="A2210:C2210"/>
    <mergeCell ref="E2210:F2210"/>
    <mergeCell ref="J2210:L2210"/>
    <mergeCell ref="A2211:J2211"/>
    <mergeCell ref="K2211:L2211"/>
    <mergeCell ref="A2212:L2212"/>
    <mergeCell ref="A2207:C2207"/>
    <mergeCell ref="I2207:J2207"/>
    <mergeCell ref="K2207:L2207"/>
    <mergeCell ref="A2208:J2208"/>
    <mergeCell ref="K2208:L2208"/>
    <mergeCell ref="A2209:L2209"/>
    <mergeCell ref="A2205:C2205"/>
    <mergeCell ref="I2205:J2205"/>
    <mergeCell ref="K2205:L2205"/>
    <mergeCell ref="A2206:C2206"/>
    <mergeCell ref="I2206:J2206"/>
    <mergeCell ref="K2206:L2206"/>
    <mergeCell ref="A2201:L2201"/>
    <mergeCell ref="A2202:C2202"/>
    <mergeCell ref="K2202:L2202"/>
    <mergeCell ref="A2203:J2203"/>
    <mergeCell ref="K2203:L2203"/>
    <mergeCell ref="A2204:L2204"/>
    <mergeCell ref="A2197:L2197"/>
    <mergeCell ref="B2198:L2198"/>
    <mergeCell ref="B2199:J2199"/>
    <mergeCell ref="B2200:C2200"/>
    <mergeCell ref="D2200:E2200"/>
    <mergeCell ref="F2200:G2200"/>
    <mergeCell ref="I2200:J2200"/>
    <mergeCell ref="A2193:L2193"/>
    <mergeCell ref="A2194:J2194"/>
    <mergeCell ref="K2194:L2194"/>
    <mergeCell ref="A2195:J2195"/>
    <mergeCell ref="K2195:L2195"/>
    <mergeCell ref="A2196:J2196"/>
    <mergeCell ref="K2196:L2196"/>
    <mergeCell ref="A2189:J2189"/>
    <mergeCell ref="K2189:L2189"/>
    <mergeCell ref="A2190:L2190"/>
    <mergeCell ref="A2191:C2191"/>
    <mergeCell ref="A2192:J2192"/>
    <mergeCell ref="K2192:L2192"/>
    <mergeCell ref="A2186:J2186"/>
    <mergeCell ref="K2186:L2186"/>
    <mergeCell ref="A2187:L2187"/>
    <mergeCell ref="A2188:E2188"/>
    <mergeCell ref="I2188:J2188"/>
    <mergeCell ref="K2188:L2188"/>
    <mergeCell ref="A2184:E2184"/>
    <mergeCell ref="I2184:J2184"/>
    <mergeCell ref="K2184:L2184"/>
    <mergeCell ref="A2185:E2185"/>
    <mergeCell ref="I2185:J2185"/>
    <mergeCell ref="K2185:L2185"/>
    <mergeCell ref="A2181:J2181"/>
    <mergeCell ref="K2181:L2181"/>
    <mergeCell ref="A2182:L2182"/>
    <mergeCell ref="A2183:E2183"/>
    <mergeCell ref="I2183:J2183"/>
    <mergeCell ref="K2183:L2183"/>
    <mergeCell ref="A2177:J2177"/>
    <mergeCell ref="K2177:L2177"/>
    <mergeCell ref="A2178:L2178"/>
    <mergeCell ref="A2179:J2179"/>
    <mergeCell ref="K2179:L2179"/>
    <mergeCell ref="A2180:J2180"/>
    <mergeCell ref="K2180:L2180"/>
    <mergeCell ref="A2174:J2174"/>
    <mergeCell ref="K2174:L2174"/>
    <mergeCell ref="A2175:L2175"/>
    <mergeCell ref="A2176:C2176"/>
    <mergeCell ref="E2176:F2176"/>
    <mergeCell ref="J2176:L2176"/>
    <mergeCell ref="A2172:C2172"/>
    <mergeCell ref="I2172:J2172"/>
    <mergeCell ref="K2172:L2172"/>
    <mergeCell ref="A2173:C2173"/>
    <mergeCell ref="I2173:J2173"/>
    <mergeCell ref="K2173:L2173"/>
    <mergeCell ref="A2168:C2168"/>
    <mergeCell ref="K2168:L2168"/>
    <mergeCell ref="A2169:J2169"/>
    <mergeCell ref="K2169:L2169"/>
    <mergeCell ref="A2170:L2170"/>
    <mergeCell ref="A2171:C2171"/>
    <mergeCell ref="I2171:J2171"/>
    <mergeCell ref="K2171:L2171"/>
    <mergeCell ref="B2165:J2165"/>
    <mergeCell ref="B2166:C2166"/>
    <mergeCell ref="D2166:E2166"/>
    <mergeCell ref="F2166:G2166"/>
    <mergeCell ref="I2166:J2166"/>
    <mergeCell ref="A2167:L2167"/>
    <mergeCell ref="A2161:J2161"/>
    <mergeCell ref="K2161:L2161"/>
    <mergeCell ref="A2162:J2162"/>
    <mergeCell ref="K2162:L2162"/>
    <mergeCell ref="A2163:L2163"/>
    <mergeCell ref="B2164:L2164"/>
    <mergeCell ref="A2157:C2157"/>
    <mergeCell ref="A2158:J2158"/>
    <mergeCell ref="K2158:L2158"/>
    <mergeCell ref="A2159:L2159"/>
    <mergeCell ref="A2160:J2160"/>
    <mergeCell ref="K2160:L2160"/>
    <mergeCell ref="A2154:E2154"/>
    <mergeCell ref="I2154:J2154"/>
    <mergeCell ref="K2154:L2154"/>
    <mergeCell ref="A2155:J2155"/>
    <mergeCell ref="K2155:L2155"/>
    <mergeCell ref="A2156:L2156"/>
    <mergeCell ref="A2151:E2151"/>
    <mergeCell ref="I2151:J2151"/>
    <mergeCell ref="K2151:L2151"/>
    <mergeCell ref="A2152:J2152"/>
    <mergeCell ref="K2152:L2152"/>
    <mergeCell ref="A2153:L2153"/>
    <mergeCell ref="A2149:E2149"/>
    <mergeCell ref="I2149:J2149"/>
    <mergeCell ref="K2149:L2149"/>
    <mergeCell ref="A2150:E2150"/>
    <mergeCell ref="I2150:J2150"/>
    <mergeCell ref="K2150:L2150"/>
    <mergeCell ref="A2146:L2146"/>
    <mergeCell ref="A2147:E2147"/>
    <mergeCell ref="I2147:J2147"/>
    <mergeCell ref="K2147:L2147"/>
    <mergeCell ref="A2148:E2148"/>
    <mergeCell ref="I2148:J2148"/>
    <mergeCell ref="K2148:L2148"/>
    <mergeCell ref="A2143:J2143"/>
    <mergeCell ref="K2143:L2143"/>
    <mergeCell ref="A2144:J2144"/>
    <mergeCell ref="K2144:L2144"/>
    <mergeCell ref="A2145:J2145"/>
    <mergeCell ref="K2145:L2145"/>
    <mergeCell ref="A2140:C2140"/>
    <mergeCell ref="E2140:F2140"/>
    <mergeCell ref="J2140:L2140"/>
    <mergeCell ref="A2141:J2141"/>
    <mergeCell ref="K2141:L2141"/>
    <mergeCell ref="A2142:L2142"/>
    <mergeCell ref="A2137:C2137"/>
    <mergeCell ref="I2137:J2137"/>
    <mergeCell ref="K2137:L2137"/>
    <mergeCell ref="A2138:J2138"/>
    <mergeCell ref="K2138:L2138"/>
    <mergeCell ref="A2139:L2139"/>
    <mergeCell ref="A2135:C2135"/>
    <mergeCell ref="I2135:J2135"/>
    <mergeCell ref="K2135:L2135"/>
    <mergeCell ref="A2136:C2136"/>
    <mergeCell ref="I2136:J2136"/>
    <mergeCell ref="K2136:L2136"/>
    <mergeCell ref="A2131:L2131"/>
    <mergeCell ref="A2132:C2132"/>
    <mergeCell ref="K2132:L2132"/>
    <mergeCell ref="A2133:J2133"/>
    <mergeCell ref="K2133:L2133"/>
    <mergeCell ref="A2134:L2134"/>
    <mergeCell ref="A2127:L2127"/>
    <mergeCell ref="B2128:L2128"/>
    <mergeCell ref="B2129:J2129"/>
    <mergeCell ref="B2130:C2130"/>
    <mergeCell ref="D2130:E2130"/>
    <mergeCell ref="F2130:G2130"/>
    <mergeCell ref="I2130:J2130"/>
    <mergeCell ref="A2123:L2123"/>
    <mergeCell ref="A2124:J2124"/>
    <mergeCell ref="K2124:L2124"/>
    <mergeCell ref="A2125:J2125"/>
    <mergeCell ref="K2125:L2125"/>
    <mergeCell ref="A2126:J2126"/>
    <mergeCell ref="K2126:L2126"/>
    <mergeCell ref="A2119:J2119"/>
    <mergeCell ref="K2119:L2119"/>
    <mergeCell ref="A2120:L2120"/>
    <mergeCell ref="A2121:C2121"/>
    <mergeCell ref="A2122:J2122"/>
    <mergeCell ref="K2122:L2122"/>
    <mergeCell ref="A2116:J2116"/>
    <mergeCell ref="K2116:L2116"/>
    <mergeCell ref="A2117:L2117"/>
    <mergeCell ref="A2118:E2118"/>
    <mergeCell ref="I2118:J2118"/>
    <mergeCell ref="K2118:L2118"/>
    <mergeCell ref="A2114:E2114"/>
    <mergeCell ref="I2114:J2114"/>
    <mergeCell ref="K2114:L2114"/>
    <mergeCell ref="A2115:E2115"/>
    <mergeCell ref="I2115:J2115"/>
    <mergeCell ref="K2115:L2115"/>
    <mergeCell ref="A2111:L2111"/>
    <mergeCell ref="A2112:E2112"/>
    <mergeCell ref="I2112:J2112"/>
    <mergeCell ref="K2112:L2112"/>
    <mergeCell ref="A2113:E2113"/>
    <mergeCell ref="I2113:J2113"/>
    <mergeCell ref="K2113:L2113"/>
    <mergeCell ref="A2108:J2108"/>
    <mergeCell ref="K2108:L2108"/>
    <mergeCell ref="A2109:J2109"/>
    <mergeCell ref="K2109:L2109"/>
    <mergeCell ref="A2110:J2110"/>
    <mergeCell ref="K2110:L2110"/>
    <mergeCell ref="A2105:C2105"/>
    <mergeCell ref="E2105:F2105"/>
    <mergeCell ref="J2105:L2105"/>
    <mergeCell ref="A2106:J2106"/>
    <mergeCell ref="K2106:L2106"/>
    <mergeCell ref="A2107:L2107"/>
    <mergeCell ref="A2102:C2102"/>
    <mergeCell ref="I2102:J2102"/>
    <mergeCell ref="K2102:L2102"/>
    <mergeCell ref="A2103:J2103"/>
    <mergeCell ref="K2103:L2103"/>
    <mergeCell ref="A2104:L2104"/>
    <mergeCell ref="A2100:C2100"/>
    <mergeCell ref="I2100:J2100"/>
    <mergeCell ref="K2100:L2100"/>
    <mergeCell ref="A2101:C2101"/>
    <mergeCell ref="I2101:J2101"/>
    <mergeCell ref="K2101:L2101"/>
    <mergeCell ref="A2098:C2098"/>
    <mergeCell ref="I2098:J2098"/>
    <mergeCell ref="K2098:L2098"/>
    <mergeCell ref="A2099:C2099"/>
    <mergeCell ref="I2099:J2099"/>
    <mergeCell ref="K2099:L2099"/>
    <mergeCell ref="A2094:L2094"/>
    <mergeCell ref="A2095:C2095"/>
    <mergeCell ref="K2095:L2095"/>
    <mergeCell ref="A2096:J2096"/>
    <mergeCell ref="K2096:L2096"/>
    <mergeCell ref="A2097:L2097"/>
    <mergeCell ref="A2090:L2090"/>
    <mergeCell ref="B2091:L2091"/>
    <mergeCell ref="B2092:J2092"/>
    <mergeCell ref="B2093:C2093"/>
    <mergeCell ref="D2093:E2093"/>
    <mergeCell ref="F2093:G2093"/>
    <mergeCell ref="I2093:J2093"/>
    <mergeCell ref="A2086:L2086"/>
    <mergeCell ref="A2087:J2087"/>
    <mergeCell ref="K2087:L2087"/>
    <mergeCell ref="A2088:J2088"/>
    <mergeCell ref="K2088:L2088"/>
    <mergeCell ref="A2089:J2089"/>
    <mergeCell ref="K2089:L2089"/>
    <mergeCell ref="A2082:J2082"/>
    <mergeCell ref="K2082:L2082"/>
    <mergeCell ref="A2083:L2083"/>
    <mergeCell ref="A2084:C2084"/>
    <mergeCell ref="A2085:J2085"/>
    <mergeCell ref="K2085:L2085"/>
    <mergeCell ref="A2080:E2080"/>
    <mergeCell ref="I2080:J2080"/>
    <mergeCell ref="K2080:L2080"/>
    <mergeCell ref="A2081:E2081"/>
    <mergeCell ref="I2081:J2081"/>
    <mergeCell ref="K2081:L2081"/>
    <mergeCell ref="A2077:E2077"/>
    <mergeCell ref="I2077:J2077"/>
    <mergeCell ref="K2077:L2077"/>
    <mergeCell ref="A2078:J2078"/>
    <mergeCell ref="K2078:L2078"/>
    <mergeCell ref="A2079:L2079"/>
    <mergeCell ref="A2074:L2074"/>
    <mergeCell ref="A2075:E2075"/>
    <mergeCell ref="I2075:J2075"/>
    <mergeCell ref="K2075:L2075"/>
    <mergeCell ref="A2076:E2076"/>
    <mergeCell ref="I2076:J2076"/>
    <mergeCell ref="K2076:L2076"/>
    <mergeCell ref="A2071:J2071"/>
    <mergeCell ref="K2071:L2071"/>
    <mergeCell ref="A2072:J2072"/>
    <mergeCell ref="K2072:L2072"/>
    <mergeCell ref="A2073:J2073"/>
    <mergeCell ref="K2073:L2073"/>
    <mergeCell ref="A2068:C2068"/>
    <mergeCell ref="E2068:F2068"/>
    <mergeCell ref="J2068:L2068"/>
    <mergeCell ref="A2069:J2069"/>
    <mergeCell ref="K2069:L2069"/>
    <mergeCell ref="A2070:L2070"/>
    <mergeCell ref="A2065:C2065"/>
    <mergeCell ref="I2065:J2065"/>
    <mergeCell ref="K2065:L2065"/>
    <mergeCell ref="A2066:J2066"/>
    <mergeCell ref="K2066:L2066"/>
    <mergeCell ref="A2067:L2067"/>
    <mergeCell ref="A2061:L2061"/>
    <mergeCell ref="A2062:C2062"/>
    <mergeCell ref="K2062:L2062"/>
    <mergeCell ref="A2063:J2063"/>
    <mergeCell ref="K2063:L2063"/>
    <mergeCell ref="A2064:L2064"/>
    <mergeCell ref="A2057:L2057"/>
    <mergeCell ref="B2058:L2058"/>
    <mergeCell ref="B2059:J2059"/>
    <mergeCell ref="B2060:C2060"/>
    <mergeCell ref="D2060:E2060"/>
    <mergeCell ref="F2060:G2060"/>
    <mergeCell ref="I2060:J2060"/>
    <mergeCell ref="A2053:L2053"/>
    <mergeCell ref="A2054:J2054"/>
    <mergeCell ref="K2054:L2054"/>
    <mergeCell ref="A2055:J2055"/>
    <mergeCell ref="K2055:L2055"/>
    <mergeCell ref="A2056:J2056"/>
    <mergeCell ref="K2056:L2056"/>
    <mergeCell ref="A2049:J2049"/>
    <mergeCell ref="K2049:L2049"/>
    <mergeCell ref="A2050:L2050"/>
    <mergeCell ref="A2051:C2051"/>
    <mergeCell ref="A2052:J2052"/>
    <mergeCell ref="K2052:L2052"/>
    <mergeCell ref="A2046:L2046"/>
    <mergeCell ref="A2047:E2047"/>
    <mergeCell ref="I2047:J2047"/>
    <mergeCell ref="K2047:L2047"/>
    <mergeCell ref="A2048:E2048"/>
    <mergeCell ref="I2048:J2048"/>
    <mergeCell ref="K2048:L2048"/>
    <mergeCell ref="A2043:L2043"/>
    <mergeCell ref="A2044:E2044"/>
    <mergeCell ref="I2044:J2044"/>
    <mergeCell ref="K2044:L2044"/>
    <mergeCell ref="A2045:J2045"/>
    <mergeCell ref="K2045:L2045"/>
    <mergeCell ref="A2040:J2040"/>
    <mergeCell ref="K2040:L2040"/>
    <mergeCell ref="A2041:J2041"/>
    <mergeCell ref="K2041:L2041"/>
    <mergeCell ref="A2042:J2042"/>
    <mergeCell ref="K2042:L2042"/>
    <mergeCell ref="A2037:C2037"/>
    <mergeCell ref="E2037:F2037"/>
    <mergeCell ref="J2037:L2037"/>
    <mergeCell ref="A2038:J2038"/>
    <mergeCell ref="K2038:L2038"/>
    <mergeCell ref="A2039:L2039"/>
    <mergeCell ref="A2034:C2034"/>
    <mergeCell ref="I2034:J2034"/>
    <mergeCell ref="K2034:L2034"/>
    <mergeCell ref="A2035:J2035"/>
    <mergeCell ref="K2035:L2035"/>
    <mergeCell ref="A2036:L2036"/>
    <mergeCell ref="A2030:L2030"/>
    <mergeCell ref="A2031:C2031"/>
    <mergeCell ref="K2031:L2031"/>
    <mergeCell ref="A2032:J2032"/>
    <mergeCell ref="K2032:L2032"/>
    <mergeCell ref="A2033:L2033"/>
    <mergeCell ref="A2026:L2026"/>
    <mergeCell ref="B2027:L2027"/>
    <mergeCell ref="B2028:J2028"/>
    <mergeCell ref="B2029:C2029"/>
    <mergeCell ref="D2029:E2029"/>
    <mergeCell ref="F2029:G2029"/>
    <mergeCell ref="I2029:J2029"/>
    <mergeCell ref="A2022:L2022"/>
    <mergeCell ref="A2023:J2023"/>
    <mergeCell ref="K2023:L2023"/>
    <mergeCell ref="A2024:J2024"/>
    <mergeCell ref="K2024:L2024"/>
    <mergeCell ref="A2025:J2025"/>
    <mergeCell ref="K2025:L2025"/>
    <mergeCell ref="A2018:J2018"/>
    <mergeCell ref="K2018:L2018"/>
    <mergeCell ref="A2019:L2019"/>
    <mergeCell ref="A2020:C2020"/>
    <mergeCell ref="A2021:J2021"/>
    <mergeCell ref="K2021:L2021"/>
    <mergeCell ref="A2015:J2015"/>
    <mergeCell ref="K2015:L2015"/>
    <mergeCell ref="A2016:L2016"/>
    <mergeCell ref="A2017:E2017"/>
    <mergeCell ref="I2017:J2017"/>
    <mergeCell ref="K2017:L2017"/>
    <mergeCell ref="A2013:E2013"/>
    <mergeCell ref="I2013:J2013"/>
    <mergeCell ref="K2013:L2013"/>
    <mergeCell ref="A2014:E2014"/>
    <mergeCell ref="I2014:J2014"/>
    <mergeCell ref="K2014:L2014"/>
    <mergeCell ref="A2010:J2010"/>
    <mergeCell ref="K2010:L2010"/>
    <mergeCell ref="A2011:L2011"/>
    <mergeCell ref="A2012:E2012"/>
    <mergeCell ref="I2012:J2012"/>
    <mergeCell ref="K2012:L2012"/>
    <mergeCell ref="A2006:J2006"/>
    <mergeCell ref="K2006:L2006"/>
    <mergeCell ref="A2007:L2007"/>
    <mergeCell ref="A2008:J2008"/>
    <mergeCell ref="K2008:L2008"/>
    <mergeCell ref="A2009:J2009"/>
    <mergeCell ref="K2009:L2009"/>
    <mergeCell ref="A2003:J2003"/>
    <mergeCell ref="K2003:L2003"/>
    <mergeCell ref="A2004:L2004"/>
    <mergeCell ref="A2005:C2005"/>
    <mergeCell ref="E2005:F2005"/>
    <mergeCell ref="J2005:L2005"/>
    <mergeCell ref="A2001:C2001"/>
    <mergeCell ref="I2001:J2001"/>
    <mergeCell ref="K2001:L2001"/>
    <mergeCell ref="A2002:C2002"/>
    <mergeCell ref="I2002:J2002"/>
    <mergeCell ref="K2002:L2002"/>
    <mergeCell ref="A1997:C1997"/>
    <mergeCell ref="K1997:L1997"/>
    <mergeCell ref="A1998:J1998"/>
    <mergeCell ref="K1998:L1998"/>
    <mergeCell ref="A1999:L1999"/>
    <mergeCell ref="A2000:C2000"/>
    <mergeCell ref="I2000:J2000"/>
    <mergeCell ref="K2000:L2000"/>
    <mergeCell ref="B1994:J1994"/>
    <mergeCell ref="B1995:C1995"/>
    <mergeCell ref="D1995:E1995"/>
    <mergeCell ref="F1995:G1995"/>
    <mergeCell ref="I1995:J1995"/>
    <mergeCell ref="A1996:L1996"/>
    <mergeCell ref="A1990:J1990"/>
    <mergeCell ref="K1990:L1990"/>
    <mergeCell ref="A1991:J1991"/>
    <mergeCell ref="K1991:L1991"/>
    <mergeCell ref="A1992:L1992"/>
    <mergeCell ref="B1993:L1993"/>
    <mergeCell ref="A1986:C1986"/>
    <mergeCell ref="A1987:J1987"/>
    <mergeCell ref="K1987:L1987"/>
    <mergeCell ref="A1988:L1988"/>
    <mergeCell ref="A1989:J1989"/>
    <mergeCell ref="K1989:L1989"/>
    <mergeCell ref="A1983:E1983"/>
    <mergeCell ref="I1983:J1983"/>
    <mergeCell ref="K1983:L1983"/>
    <mergeCell ref="A1984:J1984"/>
    <mergeCell ref="K1984:L1984"/>
    <mergeCell ref="A1985:L1985"/>
    <mergeCell ref="A1980:J1980"/>
    <mergeCell ref="K1980:L1980"/>
    <mergeCell ref="A1981:L1981"/>
    <mergeCell ref="A1982:E1982"/>
    <mergeCell ref="I1982:J1982"/>
    <mergeCell ref="K1982:L1982"/>
    <mergeCell ref="A1978:E1978"/>
    <mergeCell ref="I1978:J1978"/>
    <mergeCell ref="K1978:L1978"/>
    <mergeCell ref="A1979:E1979"/>
    <mergeCell ref="I1979:J1979"/>
    <mergeCell ref="K1979:L1979"/>
    <mergeCell ref="A1976:E1976"/>
    <mergeCell ref="I1976:J1976"/>
    <mergeCell ref="K1976:L1976"/>
    <mergeCell ref="A1977:E1977"/>
    <mergeCell ref="I1977:J1977"/>
    <mergeCell ref="K1977:L1977"/>
    <mergeCell ref="A1974:E1974"/>
    <mergeCell ref="I1974:J1974"/>
    <mergeCell ref="K1974:L1974"/>
    <mergeCell ref="A1975:E1975"/>
    <mergeCell ref="I1975:J1975"/>
    <mergeCell ref="K1975:L1975"/>
    <mergeCell ref="A1972:E1972"/>
    <mergeCell ref="I1972:J1972"/>
    <mergeCell ref="K1972:L1972"/>
    <mergeCell ref="A1973:E1973"/>
    <mergeCell ref="I1973:J1973"/>
    <mergeCell ref="K1973:L1973"/>
    <mergeCell ref="A1970:E1970"/>
    <mergeCell ref="I1970:J1970"/>
    <mergeCell ref="K1970:L1970"/>
    <mergeCell ref="A1971:E1971"/>
    <mergeCell ref="I1971:J1971"/>
    <mergeCell ref="K1971:L1971"/>
    <mergeCell ref="A1968:E1968"/>
    <mergeCell ref="I1968:J1968"/>
    <mergeCell ref="K1968:L1968"/>
    <mergeCell ref="A1969:E1969"/>
    <mergeCell ref="I1969:J1969"/>
    <mergeCell ref="K1969:L1969"/>
    <mergeCell ref="A1965:L1965"/>
    <mergeCell ref="A1966:E1966"/>
    <mergeCell ref="I1966:J1966"/>
    <mergeCell ref="K1966:L1966"/>
    <mergeCell ref="A1967:E1967"/>
    <mergeCell ref="I1967:J1967"/>
    <mergeCell ref="K1967:L1967"/>
    <mergeCell ref="A1962:J1962"/>
    <mergeCell ref="K1962:L1962"/>
    <mergeCell ref="A1963:J1963"/>
    <mergeCell ref="K1963:L1963"/>
    <mergeCell ref="A1964:J1964"/>
    <mergeCell ref="K1964:L1964"/>
    <mergeCell ref="A1959:C1959"/>
    <mergeCell ref="E1959:F1959"/>
    <mergeCell ref="J1959:L1959"/>
    <mergeCell ref="A1960:J1960"/>
    <mergeCell ref="K1960:L1960"/>
    <mergeCell ref="A1961:L1961"/>
    <mergeCell ref="A1956:C1956"/>
    <mergeCell ref="I1956:J1956"/>
    <mergeCell ref="K1956:L1956"/>
    <mergeCell ref="A1957:J1957"/>
    <mergeCell ref="K1957:L1957"/>
    <mergeCell ref="A1958:L1958"/>
    <mergeCell ref="A1954:C1954"/>
    <mergeCell ref="I1954:J1954"/>
    <mergeCell ref="K1954:L1954"/>
    <mergeCell ref="A1955:C1955"/>
    <mergeCell ref="I1955:J1955"/>
    <mergeCell ref="K1955:L1955"/>
    <mergeCell ref="A1952:C1952"/>
    <mergeCell ref="I1952:J1952"/>
    <mergeCell ref="K1952:L1952"/>
    <mergeCell ref="A1953:C1953"/>
    <mergeCell ref="I1953:J1953"/>
    <mergeCell ref="K1953:L1953"/>
    <mergeCell ref="A1948:C1948"/>
    <mergeCell ref="K1948:L1948"/>
    <mergeCell ref="A1949:J1949"/>
    <mergeCell ref="K1949:L1949"/>
    <mergeCell ref="A1950:L1950"/>
    <mergeCell ref="A1951:C1951"/>
    <mergeCell ref="I1951:J1951"/>
    <mergeCell ref="K1951:L1951"/>
    <mergeCell ref="B1945:J1945"/>
    <mergeCell ref="B1946:C1946"/>
    <mergeCell ref="D1946:E1946"/>
    <mergeCell ref="F1946:G1946"/>
    <mergeCell ref="I1946:J1946"/>
    <mergeCell ref="A1947:L1947"/>
    <mergeCell ref="A1941:J1941"/>
    <mergeCell ref="K1941:L1941"/>
    <mergeCell ref="A1942:J1942"/>
    <mergeCell ref="K1942:L1942"/>
    <mergeCell ref="A1943:L1943"/>
    <mergeCell ref="B1944:L1944"/>
    <mergeCell ref="A1937:C1937"/>
    <mergeCell ref="A1938:J1938"/>
    <mergeCell ref="K1938:L1938"/>
    <mergeCell ref="A1939:L1939"/>
    <mergeCell ref="A1940:J1940"/>
    <mergeCell ref="K1940:L1940"/>
    <mergeCell ref="A1934:E1934"/>
    <mergeCell ref="I1934:J1934"/>
    <mergeCell ref="K1934:L1934"/>
    <mergeCell ref="A1935:J1935"/>
    <mergeCell ref="K1935:L1935"/>
    <mergeCell ref="A1936:L1936"/>
    <mergeCell ref="A1932:E1932"/>
    <mergeCell ref="I1932:J1932"/>
    <mergeCell ref="K1932:L1932"/>
    <mergeCell ref="A1933:E1933"/>
    <mergeCell ref="I1933:J1933"/>
    <mergeCell ref="K1933:L1933"/>
    <mergeCell ref="A1930:E1930"/>
    <mergeCell ref="I1930:J1930"/>
    <mergeCell ref="K1930:L1930"/>
    <mergeCell ref="A1931:E1931"/>
    <mergeCell ref="I1931:J1931"/>
    <mergeCell ref="K1931:L1931"/>
    <mergeCell ref="A1928:E1928"/>
    <mergeCell ref="I1928:J1928"/>
    <mergeCell ref="K1928:L1928"/>
    <mergeCell ref="A1929:E1929"/>
    <mergeCell ref="I1929:J1929"/>
    <mergeCell ref="K1929:L1929"/>
    <mergeCell ref="A1926:E1926"/>
    <mergeCell ref="I1926:J1926"/>
    <mergeCell ref="K1926:L1926"/>
    <mergeCell ref="A1927:E1927"/>
    <mergeCell ref="I1927:J1927"/>
    <mergeCell ref="K1927:L1927"/>
    <mergeCell ref="A1924:E1924"/>
    <mergeCell ref="I1924:J1924"/>
    <mergeCell ref="K1924:L1924"/>
    <mergeCell ref="A1925:E1925"/>
    <mergeCell ref="I1925:J1925"/>
    <mergeCell ref="K1925:L1925"/>
    <mergeCell ref="A1922:E1922"/>
    <mergeCell ref="I1922:J1922"/>
    <mergeCell ref="K1922:L1922"/>
    <mergeCell ref="A1923:E1923"/>
    <mergeCell ref="I1923:J1923"/>
    <mergeCell ref="K1923:L1923"/>
    <mergeCell ref="A1919:E1919"/>
    <mergeCell ref="I1919:J1919"/>
    <mergeCell ref="K1919:L1919"/>
    <mergeCell ref="A1920:J1920"/>
    <mergeCell ref="K1920:L1920"/>
    <mergeCell ref="A1921:L1921"/>
    <mergeCell ref="A1916:J1916"/>
    <mergeCell ref="K1916:L1916"/>
    <mergeCell ref="A1917:L1917"/>
    <mergeCell ref="A1918:E1918"/>
    <mergeCell ref="I1918:J1918"/>
    <mergeCell ref="K1918:L1918"/>
    <mergeCell ref="A1912:J1912"/>
    <mergeCell ref="K1912:L1912"/>
    <mergeCell ref="A1913:L1913"/>
    <mergeCell ref="A1914:J1914"/>
    <mergeCell ref="K1914:L1914"/>
    <mergeCell ref="A1915:J1915"/>
    <mergeCell ref="K1915:L1915"/>
    <mergeCell ref="A1909:J1909"/>
    <mergeCell ref="K1909:L1909"/>
    <mergeCell ref="A1910:L1910"/>
    <mergeCell ref="A1911:C1911"/>
    <mergeCell ref="E1911:F1911"/>
    <mergeCell ref="J1911:L1911"/>
    <mergeCell ref="A1905:C1905"/>
    <mergeCell ref="K1905:L1905"/>
    <mergeCell ref="A1906:J1906"/>
    <mergeCell ref="K1906:L1906"/>
    <mergeCell ref="A1907:L1907"/>
    <mergeCell ref="A1908:C1908"/>
    <mergeCell ref="I1908:J1908"/>
    <mergeCell ref="K1908:L1908"/>
    <mergeCell ref="B1902:J1902"/>
    <mergeCell ref="B1903:C1903"/>
    <mergeCell ref="D1903:E1903"/>
    <mergeCell ref="F1903:G1903"/>
    <mergeCell ref="I1903:J1903"/>
    <mergeCell ref="A1904:L1904"/>
    <mergeCell ref="A1898:J1898"/>
    <mergeCell ref="K1898:L1898"/>
    <mergeCell ref="A1899:J1899"/>
    <mergeCell ref="K1899:L1899"/>
    <mergeCell ref="A1900:L1900"/>
    <mergeCell ref="B1901:L1901"/>
    <mergeCell ref="A1894:C1894"/>
    <mergeCell ref="A1895:J1895"/>
    <mergeCell ref="K1895:L1895"/>
    <mergeCell ref="A1896:L1896"/>
    <mergeCell ref="A1897:J1897"/>
    <mergeCell ref="K1897:L1897"/>
    <mergeCell ref="A1891:E1891"/>
    <mergeCell ref="I1891:J1891"/>
    <mergeCell ref="K1891:L1891"/>
    <mergeCell ref="A1892:J1892"/>
    <mergeCell ref="K1892:L1892"/>
    <mergeCell ref="A1893:L1893"/>
    <mergeCell ref="A1888:E1888"/>
    <mergeCell ref="I1888:J1888"/>
    <mergeCell ref="K1888:L1888"/>
    <mergeCell ref="A1889:J1889"/>
    <mergeCell ref="K1889:L1889"/>
    <mergeCell ref="A1890:L1890"/>
    <mergeCell ref="A1885:J1885"/>
    <mergeCell ref="K1885:L1885"/>
    <mergeCell ref="A1886:L1886"/>
    <mergeCell ref="A1887:E1887"/>
    <mergeCell ref="I1887:J1887"/>
    <mergeCell ref="K1887:L1887"/>
    <mergeCell ref="A1881:J1881"/>
    <mergeCell ref="K1881:L1881"/>
    <mergeCell ref="A1882:L1882"/>
    <mergeCell ref="A1883:J1883"/>
    <mergeCell ref="K1883:L1883"/>
    <mergeCell ref="A1884:J1884"/>
    <mergeCell ref="K1884:L1884"/>
    <mergeCell ref="A1878:J1878"/>
    <mergeCell ref="K1878:L1878"/>
    <mergeCell ref="A1879:L1879"/>
    <mergeCell ref="A1880:C1880"/>
    <mergeCell ref="E1880:F1880"/>
    <mergeCell ref="J1880:L1880"/>
    <mergeCell ref="A1876:C1876"/>
    <mergeCell ref="I1876:J1876"/>
    <mergeCell ref="K1876:L1876"/>
    <mergeCell ref="A1877:C1877"/>
    <mergeCell ref="I1877:J1877"/>
    <mergeCell ref="K1877:L1877"/>
    <mergeCell ref="A1872:C1872"/>
    <mergeCell ref="K1872:L1872"/>
    <mergeCell ref="A1873:J1873"/>
    <mergeCell ref="K1873:L1873"/>
    <mergeCell ref="A1874:L1874"/>
    <mergeCell ref="A1875:C1875"/>
    <mergeCell ref="I1875:J1875"/>
    <mergeCell ref="K1875:L1875"/>
    <mergeCell ref="B1869:J1869"/>
    <mergeCell ref="B1870:C1870"/>
    <mergeCell ref="D1870:E1870"/>
    <mergeCell ref="F1870:G1870"/>
    <mergeCell ref="I1870:J1870"/>
    <mergeCell ref="A1871:L1871"/>
    <mergeCell ref="A1865:J1865"/>
    <mergeCell ref="K1865:L1865"/>
    <mergeCell ref="A1866:J1866"/>
    <mergeCell ref="K1866:L1866"/>
    <mergeCell ref="A1867:L1867"/>
    <mergeCell ref="B1868:L1868"/>
    <mergeCell ref="A1861:C1861"/>
    <mergeCell ref="A1862:J1862"/>
    <mergeCell ref="K1862:L1862"/>
    <mergeCell ref="A1863:L1863"/>
    <mergeCell ref="A1864:J1864"/>
    <mergeCell ref="K1864:L1864"/>
    <mergeCell ref="A1858:E1858"/>
    <mergeCell ref="I1858:J1858"/>
    <mergeCell ref="K1858:L1858"/>
    <mergeCell ref="A1859:J1859"/>
    <mergeCell ref="K1859:L1859"/>
    <mergeCell ref="A1860:L1860"/>
    <mergeCell ref="A1855:E1855"/>
    <mergeCell ref="I1855:J1855"/>
    <mergeCell ref="K1855:L1855"/>
    <mergeCell ref="A1856:J1856"/>
    <mergeCell ref="K1856:L1856"/>
    <mergeCell ref="A1857:L1857"/>
    <mergeCell ref="A1852:J1852"/>
    <mergeCell ref="K1852:L1852"/>
    <mergeCell ref="A1853:L1853"/>
    <mergeCell ref="A1854:E1854"/>
    <mergeCell ref="I1854:J1854"/>
    <mergeCell ref="K1854:L1854"/>
    <mergeCell ref="A1848:J1848"/>
    <mergeCell ref="K1848:L1848"/>
    <mergeCell ref="A1849:L1849"/>
    <mergeCell ref="A1850:J1850"/>
    <mergeCell ref="K1850:L1850"/>
    <mergeCell ref="A1851:J1851"/>
    <mergeCell ref="K1851:L1851"/>
    <mergeCell ref="A1845:J1845"/>
    <mergeCell ref="K1845:L1845"/>
    <mergeCell ref="A1846:L1846"/>
    <mergeCell ref="A1847:C1847"/>
    <mergeCell ref="E1847:F1847"/>
    <mergeCell ref="J1847:L1847"/>
    <mergeCell ref="A1843:C1843"/>
    <mergeCell ref="I1843:J1843"/>
    <mergeCell ref="K1843:L1843"/>
    <mergeCell ref="A1844:C1844"/>
    <mergeCell ref="I1844:J1844"/>
    <mergeCell ref="K1844:L1844"/>
    <mergeCell ref="A1839:C1839"/>
    <mergeCell ref="K1839:L1839"/>
    <mergeCell ref="A1840:J1840"/>
    <mergeCell ref="K1840:L1840"/>
    <mergeCell ref="A1841:L1841"/>
    <mergeCell ref="A1842:C1842"/>
    <mergeCell ref="I1842:J1842"/>
    <mergeCell ref="K1842:L1842"/>
    <mergeCell ref="B1836:J1836"/>
    <mergeCell ref="B1837:C1837"/>
    <mergeCell ref="D1837:E1837"/>
    <mergeCell ref="F1837:G1837"/>
    <mergeCell ref="I1837:J1837"/>
    <mergeCell ref="A1838:L1838"/>
    <mergeCell ref="A1832:J1832"/>
    <mergeCell ref="K1832:L1832"/>
    <mergeCell ref="A1833:J1833"/>
    <mergeCell ref="K1833:L1833"/>
    <mergeCell ref="A1834:L1834"/>
    <mergeCell ref="B1835:L1835"/>
    <mergeCell ref="A1828:C1828"/>
    <mergeCell ref="A1829:J1829"/>
    <mergeCell ref="K1829:L1829"/>
    <mergeCell ref="A1830:L1830"/>
    <mergeCell ref="A1831:J1831"/>
    <mergeCell ref="K1831:L1831"/>
    <mergeCell ref="A1825:E1825"/>
    <mergeCell ref="I1825:J1825"/>
    <mergeCell ref="K1825:L1825"/>
    <mergeCell ref="A1826:J1826"/>
    <mergeCell ref="K1826:L1826"/>
    <mergeCell ref="A1827:L1827"/>
    <mergeCell ref="A1822:E1822"/>
    <mergeCell ref="I1822:J1822"/>
    <mergeCell ref="K1822:L1822"/>
    <mergeCell ref="A1823:J1823"/>
    <mergeCell ref="K1823:L1823"/>
    <mergeCell ref="A1824:L1824"/>
    <mergeCell ref="A1820:E1820"/>
    <mergeCell ref="I1820:J1820"/>
    <mergeCell ref="K1820:L1820"/>
    <mergeCell ref="A1821:E1821"/>
    <mergeCell ref="I1821:J1821"/>
    <mergeCell ref="K1821:L1821"/>
    <mergeCell ref="A1817:L1817"/>
    <mergeCell ref="A1818:E1818"/>
    <mergeCell ref="I1818:J1818"/>
    <mergeCell ref="K1818:L1818"/>
    <mergeCell ref="A1819:E1819"/>
    <mergeCell ref="I1819:J1819"/>
    <mergeCell ref="K1819:L1819"/>
    <mergeCell ref="A1814:J1814"/>
    <mergeCell ref="K1814:L1814"/>
    <mergeCell ref="A1815:J1815"/>
    <mergeCell ref="K1815:L1815"/>
    <mergeCell ref="A1816:J1816"/>
    <mergeCell ref="K1816:L1816"/>
    <mergeCell ref="A1811:C1811"/>
    <mergeCell ref="E1811:F1811"/>
    <mergeCell ref="J1811:L1811"/>
    <mergeCell ref="A1812:J1812"/>
    <mergeCell ref="K1812:L1812"/>
    <mergeCell ref="A1813:L1813"/>
    <mergeCell ref="A1808:C1808"/>
    <mergeCell ref="I1808:J1808"/>
    <mergeCell ref="K1808:L1808"/>
    <mergeCell ref="A1809:J1809"/>
    <mergeCell ref="K1809:L1809"/>
    <mergeCell ref="A1810:L1810"/>
    <mergeCell ref="A1806:C1806"/>
    <mergeCell ref="I1806:J1806"/>
    <mergeCell ref="K1806:L1806"/>
    <mergeCell ref="A1807:C1807"/>
    <mergeCell ref="I1807:J1807"/>
    <mergeCell ref="K1807:L1807"/>
    <mergeCell ref="A1802:L1802"/>
    <mergeCell ref="A1803:C1803"/>
    <mergeCell ref="K1803:L1803"/>
    <mergeCell ref="A1804:J1804"/>
    <mergeCell ref="K1804:L1804"/>
    <mergeCell ref="A1805:L1805"/>
    <mergeCell ref="A1798:L1798"/>
    <mergeCell ref="B1799:L1799"/>
    <mergeCell ref="B1800:J1800"/>
    <mergeCell ref="B1801:C1801"/>
    <mergeCell ref="D1801:E1801"/>
    <mergeCell ref="F1801:G1801"/>
    <mergeCell ref="I1801:J1801"/>
    <mergeCell ref="A1794:L1794"/>
    <mergeCell ref="A1795:J1795"/>
    <mergeCell ref="K1795:L1795"/>
    <mergeCell ref="A1796:J1796"/>
    <mergeCell ref="K1796:L1796"/>
    <mergeCell ref="A1797:J1797"/>
    <mergeCell ref="K1797:L1797"/>
    <mergeCell ref="A1790:J1790"/>
    <mergeCell ref="K1790:L1790"/>
    <mergeCell ref="A1791:L1791"/>
    <mergeCell ref="A1792:C1792"/>
    <mergeCell ref="A1793:J1793"/>
    <mergeCell ref="K1793:L1793"/>
    <mergeCell ref="A1787:J1787"/>
    <mergeCell ref="K1787:L1787"/>
    <mergeCell ref="A1788:L1788"/>
    <mergeCell ref="A1789:E1789"/>
    <mergeCell ref="I1789:J1789"/>
    <mergeCell ref="K1789:L1789"/>
    <mergeCell ref="A1785:E1785"/>
    <mergeCell ref="I1785:J1785"/>
    <mergeCell ref="K1785:L1785"/>
    <mergeCell ref="A1786:E1786"/>
    <mergeCell ref="I1786:J1786"/>
    <mergeCell ref="K1786:L1786"/>
    <mergeCell ref="A1783:E1783"/>
    <mergeCell ref="I1783:J1783"/>
    <mergeCell ref="K1783:L1783"/>
    <mergeCell ref="A1784:E1784"/>
    <mergeCell ref="I1784:J1784"/>
    <mergeCell ref="K1784:L1784"/>
    <mergeCell ref="A1780:J1780"/>
    <mergeCell ref="K1780:L1780"/>
    <mergeCell ref="A1781:L1781"/>
    <mergeCell ref="A1782:E1782"/>
    <mergeCell ref="I1782:J1782"/>
    <mergeCell ref="K1782:L1782"/>
    <mergeCell ref="A1776:J1776"/>
    <mergeCell ref="K1776:L1776"/>
    <mergeCell ref="A1777:L1777"/>
    <mergeCell ref="A1778:J1778"/>
    <mergeCell ref="K1778:L1778"/>
    <mergeCell ref="A1779:J1779"/>
    <mergeCell ref="K1779:L1779"/>
    <mergeCell ref="A1773:J1773"/>
    <mergeCell ref="K1773:L1773"/>
    <mergeCell ref="A1774:L1774"/>
    <mergeCell ref="A1775:C1775"/>
    <mergeCell ref="E1775:F1775"/>
    <mergeCell ref="J1775:L1775"/>
    <mergeCell ref="A1771:C1771"/>
    <mergeCell ref="I1771:J1771"/>
    <mergeCell ref="K1771:L1771"/>
    <mergeCell ref="A1772:C1772"/>
    <mergeCell ref="I1772:J1772"/>
    <mergeCell ref="K1772:L1772"/>
    <mergeCell ref="A1767:C1767"/>
    <mergeCell ref="K1767:L1767"/>
    <mergeCell ref="A1768:J1768"/>
    <mergeCell ref="K1768:L1768"/>
    <mergeCell ref="A1769:L1769"/>
    <mergeCell ref="A1770:C1770"/>
    <mergeCell ref="I1770:J1770"/>
    <mergeCell ref="K1770:L1770"/>
    <mergeCell ref="B1764:J1764"/>
    <mergeCell ref="B1765:C1765"/>
    <mergeCell ref="D1765:E1765"/>
    <mergeCell ref="F1765:G1765"/>
    <mergeCell ref="I1765:J1765"/>
    <mergeCell ref="A1766:L1766"/>
    <mergeCell ref="A1760:J1760"/>
    <mergeCell ref="K1760:L1760"/>
    <mergeCell ref="A1761:J1761"/>
    <mergeCell ref="K1761:L1761"/>
    <mergeCell ref="A1762:L1762"/>
    <mergeCell ref="B1763:L1763"/>
    <mergeCell ref="A1756:C1756"/>
    <mergeCell ref="A1757:J1757"/>
    <mergeCell ref="K1757:L1757"/>
    <mergeCell ref="A1758:L1758"/>
    <mergeCell ref="A1759:J1759"/>
    <mergeCell ref="K1759:L1759"/>
    <mergeCell ref="A1753:E1753"/>
    <mergeCell ref="I1753:J1753"/>
    <mergeCell ref="K1753:L1753"/>
    <mergeCell ref="A1754:J1754"/>
    <mergeCell ref="K1754:L1754"/>
    <mergeCell ref="A1755:L1755"/>
    <mergeCell ref="A1750:E1750"/>
    <mergeCell ref="I1750:J1750"/>
    <mergeCell ref="K1750:L1750"/>
    <mergeCell ref="A1751:J1751"/>
    <mergeCell ref="K1751:L1751"/>
    <mergeCell ref="A1752:L1752"/>
    <mergeCell ref="A1748:E1748"/>
    <mergeCell ref="I1748:J1748"/>
    <mergeCell ref="K1748:L1748"/>
    <mergeCell ref="A1749:E1749"/>
    <mergeCell ref="I1749:J1749"/>
    <mergeCell ref="K1749:L1749"/>
    <mergeCell ref="A1745:L1745"/>
    <mergeCell ref="A1746:E1746"/>
    <mergeCell ref="I1746:J1746"/>
    <mergeCell ref="K1746:L1746"/>
    <mergeCell ref="A1747:E1747"/>
    <mergeCell ref="I1747:J1747"/>
    <mergeCell ref="K1747:L1747"/>
    <mergeCell ref="A1742:J1742"/>
    <mergeCell ref="K1742:L1742"/>
    <mergeCell ref="A1743:J1743"/>
    <mergeCell ref="K1743:L1743"/>
    <mergeCell ref="A1744:J1744"/>
    <mergeCell ref="K1744:L1744"/>
    <mergeCell ref="A1739:C1739"/>
    <mergeCell ref="E1739:F1739"/>
    <mergeCell ref="J1739:L1739"/>
    <mergeCell ref="A1740:J1740"/>
    <mergeCell ref="K1740:L1740"/>
    <mergeCell ref="A1741:L1741"/>
    <mergeCell ref="A1736:C1736"/>
    <mergeCell ref="I1736:J1736"/>
    <mergeCell ref="K1736:L1736"/>
    <mergeCell ref="A1737:J1737"/>
    <mergeCell ref="K1737:L1737"/>
    <mergeCell ref="A1738:L1738"/>
    <mergeCell ref="A1734:C1734"/>
    <mergeCell ref="I1734:J1734"/>
    <mergeCell ref="K1734:L1734"/>
    <mergeCell ref="A1735:C1735"/>
    <mergeCell ref="I1735:J1735"/>
    <mergeCell ref="K1735:L1735"/>
    <mergeCell ref="A1730:L1730"/>
    <mergeCell ref="A1731:C1731"/>
    <mergeCell ref="K1731:L1731"/>
    <mergeCell ref="A1732:J1732"/>
    <mergeCell ref="K1732:L1732"/>
    <mergeCell ref="A1733:L1733"/>
    <mergeCell ref="A1726:L1726"/>
    <mergeCell ref="B1727:L1727"/>
    <mergeCell ref="B1728:J1728"/>
    <mergeCell ref="B1729:C1729"/>
    <mergeCell ref="D1729:E1729"/>
    <mergeCell ref="F1729:G1729"/>
    <mergeCell ref="I1729:J1729"/>
    <mergeCell ref="A1722:L1722"/>
    <mergeCell ref="A1723:J1723"/>
    <mergeCell ref="K1723:L1723"/>
    <mergeCell ref="A1724:J1724"/>
    <mergeCell ref="K1724:L1724"/>
    <mergeCell ref="A1725:J1725"/>
    <mergeCell ref="K1725:L1725"/>
    <mergeCell ref="A1718:J1718"/>
    <mergeCell ref="K1718:L1718"/>
    <mergeCell ref="A1719:L1719"/>
    <mergeCell ref="A1720:C1720"/>
    <mergeCell ref="A1721:J1721"/>
    <mergeCell ref="K1721:L1721"/>
    <mergeCell ref="A1715:J1715"/>
    <mergeCell ref="K1715:L1715"/>
    <mergeCell ref="A1716:L1716"/>
    <mergeCell ref="A1717:E1717"/>
    <mergeCell ref="I1717:J1717"/>
    <mergeCell ref="K1717:L1717"/>
    <mergeCell ref="A1713:E1713"/>
    <mergeCell ref="I1713:J1713"/>
    <mergeCell ref="K1713:L1713"/>
    <mergeCell ref="A1714:E1714"/>
    <mergeCell ref="I1714:J1714"/>
    <mergeCell ref="K1714:L1714"/>
    <mergeCell ref="A1711:E1711"/>
    <mergeCell ref="I1711:J1711"/>
    <mergeCell ref="K1711:L1711"/>
    <mergeCell ref="A1712:E1712"/>
    <mergeCell ref="I1712:J1712"/>
    <mergeCell ref="K1712:L1712"/>
    <mergeCell ref="A1708:J1708"/>
    <mergeCell ref="K1708:L1708"/>
    <mergeCell ref="A1709:L1709"/>
    <mergeCell ref="A1710:E1710"/>
    <mergeCell ref="I1710:J1710"/>
    <mergeCell ref="K1710:L1710"/>
    <mergeCell ref="A1704:J1704"/>
    <mergeCell ref="K1704:L1704"/>
    <mergeCell ref="A1705:L1705"/>
    <mergeCell ref="A1706:J1706"/>
    <mergeCell ref="K1706:L1706"/>
    <mergeCell ref="A1707:J1707"/>
    <mergeCell ref="K1707:L1707"/>
    <mergeCell ref="A1701:J1701"/>
    <mergeCell ref="K1701:L1701"/>
    <mergeCell ref="A1702:L1702"/>
    <mergeCell ref="A1703:C1703"/>
    <mergeCell ref="E1703:F1703"/>
    <mergeCell ref="J1703:L1703"/>
    <mergeCell ref="A1699:C1699"/>
    <mergeCell ref="I1699:J1699"/>
    <mergeCell ref="K1699:L1699"/>
    <mergeCell ref="A1700:C1700"/>
    <mergeCell ref="I1700:J1700"/>
    <mergeCell ref="K1700:L1700"/>
    <mergeCell ref="A1695:C1695"/>
    <mergeCell ref="K1695:L1695"/>
    <mergeCell ref="A1696:J1696"/>
    <mergeCell ref="K1696:L1696"/>
    <mergeCell ref="A1697:L1697"/>
    <mergeCell ref="A1698:C1698"/>
    <mergeCell ref="I1698:J1698"/>
    <mergeCell ref="K1698:L1698"/>
    <mergeCell ref="B1692:J1692"/>
    <mergeCell ref="B1693:C1693"/>
    <mergeCell ref="D1693:E1693"/>
    <mergeCell ref="F1693:G1693"/>
    <mergeCell ref="I1693:J1693"/>
    <mergeCell ref="A1694:L1694"/>
    <mergeCell ref="A1688:J1688"/>
    <mergeCell ref="K1688:L1688"/>
    <mergeCell ref="A1689:J1689"/>
    <mergeCell ref="K1689:L1689"/>
    <mergeCell ref="A1690:L1690"/>
    <mergeCell ref="B1691:L1691"/>
    <mergeCell ref="A1684:C1684"/>
    <mergeCell ref="A1685:J1685"/>
    <mergeCell ref="K1685:L1685"/>
    <mergeCell ref="A1686:L1686"/>
    <mergeCell ref="A1687:J1687"/>
    <mergeCell ref="K1687:L1687"/>
    <mergeCell ref="A1681:E1681"/>
    <mergeCell ref="I1681:J1681"/>
    <mergeCell ref="K1681:L1681"/>
    <mergeCell ref="A1682:J1682"/>
    <mergeCell ref="K1682:L1682"/>
    <mergeCell ref="A1683:L1683"/>
    <mergeCell ref="A1678:E1678"/>
    <mergeCell ref="I1678:J1678"/>
    <mergeCell ref="K1678:L1678"/>
    <mergeCell ref="A1679:J1679"/>
    <mergeCell ref="K1679:L1679"/>
    <mergeCell ref="A1680:L1680"/>
    <mergeCell ref="A1676:E1676"/>
    <mergeCell ref="I1676:J1676"/>
    <mergeCell ref="K1676:L1676"/>
    <mergeCell ref="A1677:E1677"/>
    <mergeCell ref="I1677:J1677"/>
    <mergeCell ref="K1677:L1677"/>
    <mergeCell ref="A1673:L1673"/>
    <mergeCell ref="A1674:E1674"/>
    <mergeCell ref="I1674:J1674"/>
    <mergeCell ref="K1674:L1674"/>
    <mergeCell ref="A1675:E1675"/>
    <mergeCell ref="I1675:J1675"/>
    <mergeCell ref="K1675:L1675"/>
    <mergeCell ref="A1670:J1670"/>
    <mergeCell ref="K1670:L1670"/>
    <mergeCell ref="A1671:J1671"/>
    <mergeCell ref="K1671:L1671"/>
    <mergeCell ref="A1672:J1672"/>
    <mergeCell ref="K1672:L1672"/>
    <mergeCell ref="A1667:C1667"/>
    <mergeCell ref="E1667:F1667"/>
    <mergeCell ref="J1667:L1667"/>
    <mergeCell ref="A1668:J1668"/>
    <mergeCell ref="K1668:L1668"/>
    <mergeCell ref="A1669:L1669"/>
    <mergeCell ref="A1664:C1664"/>
    <mergeCell ref="I1664:J1664"/>
    <mergeCell ref="K1664:L1664"/>
    <mergeCell ref="A1665:J1665"/>
    <mergeCell ref="K1665:L1665"/>
    <mergeCell ref="A1666:L1666"/>
    <mergeCell ref="A1662:C1662"/>
    <mergeCell ref="I1662:J1662"/>
    <mergeCell ref="K1662:L1662"/>
    <mergeCell ref="A1663:C1663"/>
    <mergeCell ref="I1663:J1663"/>
    <mergeCell ref="K1663:L1663"/>
    <mergeCell ref="A1658:L1658"/>
    <mergeCell ref="A1659:C1659"/>
    <mergeCell ref="K1659:L1659"/>
    <mergeCell ref="A1660:J1660"/>
    <mergeCell ref="K1660:L1660"/>
    <mergeCell ref="A1661:L1661"/>
    <mergeCell ref="A1654:L1654"/>
    <mergeCell ref="B1655:L1655"/>
    <mergeCell ref="B1656:J1656"/>
    <mergeCell ref="B1657:C1657"/>
    <mergeCell ref="D1657:E1657"/>
    <mergeCell ref="F1657:G1657"/>
    <mergeCell ref="I1657:J1657"/>
    <mergeCell ref="A1650:L1650"/>
    <mergeCell ref="A1651:J1651"/>
    <mergeCell ref="K1651:L1651"/>
    <mergeCell ref="A1652:J1652"/>
    <mergeCell ref="K1652:L1652"/>
    <mergeCell ref="A1653:J1653"/>
    <mergeCell ref="K1653:L1653"/>
    <mergeCell ref="A1646:J1646"/>
    <mergeCell ref="K1646:L1646"/>
    <mergeCell ref="A1647:L1647"/>
    <mergeCell ref="A1648:C1648"/>
    <mergeCell ref="A1649:J1649"/>
    <mergeCell ref="K1649:L1649"/>
    <mergeCell ref="A1643:J1643"/>
    <mergeCell ref="K1643:L1643"/>
    <mergeCell ref="A1644:L1644"/>
    <mergeCell ref="A1645:E1645"/>
    <mergeCell ref="I1645:J1645"/>
    <mergeCell ref="K1645:L1645"/>
    <mergeCell ref="A1641:E1641"/>
    <mergeCell ref="I1641:J1641"/>
    <mergeCell ref="K1641:L1641"/>
    <mergeCell ref="A1642:E1642"/>
    <mergeCell ref="I1642:J1642"/>
    <mergeCell ref="K1642:L1642"/>
    <mergeCell ref="A1639:E1639"/>
    <mergeCell ref="I1639:J1639"/>
    <mergeCell ref="K1639:L1639"/>
    <mergeCell ref="A1640:E1640"/>
    <mergeCell ref="I1640:J1640"/>
    <mergeCell ref="K1640:L1640"/>
    <mergeCell ref="A1636:L1636"/>
    <mergeCell ref="A1637:E1637"/>
    <mergeCell ref="I1637:J1637"/>
    <mergeCell ref="K1637:L1637"/>
    <mergeCell ref="A1638:E1638"/>
    <mergeCell ref="I1638:J1638"/>
    <mergeCell ref="K1638:L1638"/>
    <mergeCell ref="A1633:J1633"/>
    <mergeCell ref="K1633:L1633"/>
    <mergeCell ref="A1634:J1634"/>
    <mergeCell ref="K1634:L1634"/>
    <mergeCell ref="A1635:J1635"/>
    <mergeCell ref="K1635:L1635"/>
    <mergeCell ref="A1630:C1630"/>
    <mergeCell ref="E1630:F1630"/>
    <mergeCell ref="J1630:L1630"/>
    <mergeCell ref="A1631:J1631"/>
    <mergeCell ref="K1631:L1631"/>
    <mergeCell ref="A1632:L1632"/>
    <mergeCell ref="A1627:C1627"/>
    <mergeCell ref="I1627:J1627"/>
    <mergeCell ref="K1627:L1627"/>
    <mergeCell ref="A1628:J1628"/>
    <mergeCell ref="K1628:L1628"/>
    <mergeCell ref="A1629:L1629"/>
    <mergeCell ref="A1625:C1625"/>
    <mergeCell ref="I1625:J1625"/>
    <mergeCell ref="K1625:L1625"/>
    <mergeCell ref="A1626:C1626"/>
    <mergeCell ref="I1626:J1626"/>
    <mergeCell ref="K1626:L1626"/>
    <mergeCell ref="A1621:L1621"/>
    <mergeCell ref="A1622:C1622"/>
    <mergeCell ref="K1622:L1622"/>
    <mergeCell ref="A1623:J1623"/>
    <mergeCell ref="K1623:L1623"/>
    <mergeCell ref="A1624:L1624"/>
    <mergeCell ref="A1617:L1617"/>
    <mergeCell ref="B1618:L1618"/>
    <mergeCell ref="B1619:J1619"/>
    <mergeCell ref="B1620:C1620"/>
    <mergeCell ref="D1620:E1620"/>
    <mergeCell ref="F1620:G1620"/>
    <mergeCell ref="I1620:J1620"/>
    <mergeCell ref="A1613:L1613"/>
    <mergeCell ref="A1614:J1614"/>
    <mergeCell ref="K1614:L1614"/>
    <mergeCell ref="A1615:J1615"/>
    <mergeCell ref="K1615:L1615"/>
    <mergeCell ref="A1616:J1616"/>
    <mergeCell ref="K1616:L1616"/>
    <mergeCell ref="A1609:J1609"/>
    <mergeCell ref="K1609:L1609"/>
    <mergeCell ref="A1610:L1610"/>
    <mergeCell ref="A1611:C1611"/>
    <mergeCell ref="A1612:J1612"/>
    <mergeCell ref="K1612:L1612"/>
    <mergeCell ref="A1606:J1606"/>
    <mergeCell ref="K1606:L1606"/>
    <mergeCell ref="A1607:L1607"/>
    <mergeCell ref="A1608:E1608"/>
    <mergeCell ref="I1608:J1608"/>
    <mergeCell ref="K1608:L1608"/>
    <mergeCell ref="A1604:E1604"/>
    <mergeCell ref="I1604:J1604"/>
    <mergeCell ref="K1604:L1604"/>
    <mergeCell ref="A1605:E1605"/>
    <mergeCell ref="I1605:J1605"/>
    <mergeCell ref="K1605:L1605"/>
    <mergeCell ref="A1602:E1602"/>
    <mergeCell ref="I1602:J1602"/>
    <mergeCell ref="K1602:L1602"/>
    <mergeCell ref="A1603:E1603"/>
    <mergeCell ref="I1603:J1603"/>
    <mergeCell ref="K1603:L1603"/>
    <mergeCell ref="A1599:J1599"/>
    <mergeCell ref="K1599:L1599"/>
    <mergeCell ref="A1600:L1600"/>
    <mergeCell ref="A1601:E1601"/>
    <mergeCell ref="I1601:J1601"/>
    <mergeCell ref="K1601:L1601"/>
    <mergeCell ref="A1595:J1595"/>
    <mergeCell ref="K1595:L1595"/>
    <mergeCell ref="A1596:L1596"/>
    <mergeCell ref="A1597:J1597"/>
    <mergeCell ref="K1597:L1597"/>
    <mergeCell ref="A1598:J1598"/>
    <mergeCell ref="K1598:L1598"/>
    <mergeCell ref="A1592:J1592"/>
    <mergeCell ref="K1592:L1592"/>
    <mergeCell ref="A1593:L1593"/>
    <mergeCell ref="A1594:C1594"/>
    <mergeCell ref="E1594:F1594"/>
    <mergeCell ref="J1594:L1594"/>
    <mergeCell ref="A1590:C1590"/>
    <mergeCell ref="I1590:J1590"/>
    <mergeCell ref="K1590:L1590"/>
    <mergeCell ref="A1591:C1591"/>
    <mergeCell ref="I1591:J1591"/>
    <mergeCell ref="K1591:L1591"/>
    <mergeCell ref="A1586:C1586"/>
    <mergeCell ref="K1586:L1586"/>
    <mergeCell ref="A1587:J1587"/>
    <mergeCell ref="K1587:L1587"/>
    <mergeCell ref="A1588:L1588"/>
    <mergeCell ref="A1589:C1589"/>
    <mergeCell ref="I1589:J1589"/>
    <mergeCell ref="K1589:L1589"/>
    <mergeCell ref="B1583:J1583"/>
    <mergeCell ref="B1584:C1584"/>
    <mergeCell ref="D1584:E1584"/>
    <mergeCell ref="F1584:G1584"/>
    <mergeCell ref="I1584:J1584"/>
    <mergeCell ref="A1585:L1585"/>
    <mergeCell ref="A1579:J1579"/>
    <mergeCell ref="K1579:L1579"/>
    <mergeCell ref="A1580:J1580"/>
    <mergeCell ref="K1580:L1580"/>
    <mergeCell ref="A1581:L1581"/>
    <mergeCell ref="B1582:L1582"/>
    <mergeCell ref="A1575:C1575"/>
    <mergeCell ref="A1576:J1576"/>
    <mergeCell ref="K1576:L1576"/>
    <mergeCell ref="A1577:L1577"/>
    <mergeCell ref="A1578:J1578"/>
    <mergeCell ref="K1578:L1578"/>
    <mergeCell ref="A1572:E1572"/>
    <mergeCell ref="I1572:J1572"/>
    <mergeCell ref="K1572:L1572"/>
    <mergeCell ref="A1573:J1573"/>
    <mergeCell ref="K1573:L1573"/>
    <mergeCell ref="A1574:L1574"/>
    <mergeCell ref="A1569:E1569"/>
    <mergeCell ref="I1569:J1569"/>
    <mergeCell ref="K1569:L1569"/>
    <mergeCell ref="A1570:J1570"/>
    <mergeCell ref="K1570:L1570"/>
    <mergeCell ref="A1571:L1571"/>
    <mergeCell ref="A1567:E1567"/>
    <mergeCell ref="I1567:J1567"/>
    <mergeCell ref="K1567:L1567"/>
    <mergeCell ref="A1568:E1568"/>
    <mergeCell ref="I1568:J1568"/>
    <mergeCell ref="K1568:L1568"/>
    <mergeCell ref="A1564:L1564"/>
    <mergeCell ref="A1565:E1565"/>
    <mergeCell ref="I1565:J1565"/>
    <mergeCell ref="K1565:L1565"/>
    <mergeCell ref="A1566:E1566"/>
    <mergeCell ref="I1566:J1566"/>
    <mergeCell ref="K1566:L1566"/>
    <mergeCell ref="A1561:J1561"/>
    <mergeCell ref="K1561:L1561"/>
    <mergeCell ref="A1562:J1562"/>
    <mergeCell ref="K1562:L1562"/>
    <mergeCell ref="A1563:J1563"/>
    <mergeCell ref="K1563:L1563"/>
    <mergeCell ref="A1558:C1558"/>
    <mergeCell ref="E1558:F1558"/>
    <mergeCell ref="J1558:L1558"/>
    <mergeCell ref="A1559:J1559"/>
    <mergeCell ref="K1559:L1559"/>
    <mergeCell ref="A1560:L1560"/>
    <mergeCell ref="A1555:C1555"/>
    <mergeCell ref="I1555:J1555"/>
    <mergeCell ref="K1555:L1555"/>
    <mergeCell ref="A1556:J1556"/>
    <mergeCell ref="K1556:L1556"/>
    <mergeCell ref="A1557:L1557"/>
    <mergeCell ref="A1553:C1553"/>
    <mergeCell ref="I1553:J1553"/>
    <mergeCell ref="K1553:L1553"/>
    <mergeCell ref="A1554:C1554"/>
    <mergeCell ref="I1554:J1554"/>
    <mergeCell ref="K1554:L1554"/>
    <mergeCell ref="A1549:L1549"/>
    <mergeCell ref="A1550:C1550"/>
    <mergeCell ref="K1550:L1550"/>
    <mergeCell ref="A1551:J1551"/>
    <mergeCell ref="K1551:L1551"/>
    <mergeCell ref="A1552:L1552"/>
    <mergeCell ref="A1545:L1545"/>
    <mergeCell ref="B1546:L1546"/>
    <mergeCell ref="B1547:J1547"/>
    <mergeCell ref="B1548:C1548"/>
    <mergeCell ref="D1548:E1548"/>
    <mergeCell ref="F1548:G1548"/>
    <mergeCell ref="I1548:J1548"/>
    <mergeCell ref="A1541:L1541"/>
    <mergeCell ref="A1542:J1542"/>
    <mergeCell ref="K1542:L1542"/>
    <mergeCell ref="A1543:J1543"/>
    <mergeCell ref="K1543:L1543"/>
    <mergeCell ref="A1544:J1544"/>
    <mergeCell ref="K1544:L1544"/>
    <mergeCell ref="A1537:J1537"/>
    <mergeCell ref="K1537:L1537"/>
    <mergeCell ref="A1538:L1538"/>
    <mergeCell ref="A1539:C1539"/>
    <mergeCell ref="A1540:J1540"/>
    <mergeCell ref="K1540:L1540"/>
    <mergeCell ref="A1535:E1535"/>
    <mergeCell ref="I1535:J1535"/>
    <mergeCell ref="K1535:L1535"/>
    <mergeCell ref="A1536:E1536"/>
    <mergeCell ref="I1536:J1536"/>
    <mergeCell ref="K1536:L1536"/>
    <mergeCell ref="A1532:E1532"/>
    <mergeCell ref="I1532:J1532"/>
    <mergeCell ref="K1532:L1532"/>
    <mergeCell ref="A1533:J1533"/>
    <mergeCell ref="K1533:L1533"/>
    <mergeCell ref="A1534:L1534"/>
    <mergeCell ref="A1530:E1530"/>
    <mergeCell ref="I1530:J1530"/>
    <mergeCell ref="K1530:L1530"/>
    <mergeCell ref="A1531:E1531"/>
    <mergeCell ref="I1531:J1531"/>
    <mergeCell ref="K1531:L1531"/>
    <mergeCell ref="A1528:E1528"/>
    <mergeCell ref="I1528:J1528"/>
    <mergeCell ref="K1528:L1528"/>
    <mergeCell ref="A1529:E1529"/>
    <mergeCell ref="I1529:J1529"/>
    <mergeCell ref="K1529:L1529"/>
    <mergeCell ref="A1525:L1525"/>
    <mergeCell ref="A1526:E1526"/>
    <mergeCell ref="I1526:J1526"/>
    <mergeCell ref="K1526:L1526"/>
    <mergeCell ref="A1527:E1527"/>
    <mergeCell ref="I1527:J1527"/>
    <mergeCell ref="K1527:L1527"/>
    <mergeCell ref="A1522:J1522"/>
    <mergeCell ref="K1522:L1522"/>
    <mergeCell ref="A1523:J1523"/>
    <mergeCell ref="K1523:L1523"/>
    <mergeCell ref="A1524:J1524"/>
    <mergeCell ref="K1524:L1524"/>
    <mergeCell ref="A1519:C1519"/>
    <mergeCell ref="E1519:F1519"/>
    <mergeCell ref="J1519:L1519"/>
    <mergeCell ref="A1520:J1520"/>
    <mergeCell ref="K1520:L1520"/>
    <mergeCell ref="A1521:L1521"/>
    <mergeCell ref="A1516:C1516"/>
    <mergeCell ref="I1516:J1516"/>
    <mergeCell ref="K1516:L1516"/>
    <mergeCell ref="A1517:J1517"/>
    <mergeCell ref="K1517:L1517"/>
    <mergeCell ref="A1518:L1518"/>
    <mergeCell ref="A1514:C1514"/>
    <mergeCell ref="I1514:J1514"/>
    <mergeCell ref="K1514:L1514"/>
    <mergeCell ref="A1515:C1515"/>
    <mergeCell ref="I1515:J1515"/>
    <mergeCell ref="K1515:L1515"/>
    <mergeCell ref="A1510:C1510"/>
    <mergeCell ref="K1510:L1510"/>
    <mergeCell ref="A1511:J1511"/>
    <mergeCell ref="K1511:L1511"/>
    <mergeCell ref="A1512:L1512"/>
    <mergeCell ref="A1513:C1513"/>
    <mergeCell ref="I1513:J1513"/>
    <mergeCell ref="K1513:L1513"/>
    <mergeCell ref="B1507:J1507"/>
    <mergeCell ref="B1508:C1508"/>
    <mergeCell ref="D1508:E1508"/>
    <mergeCell ref="F1508:G1508"/>
    <mergeCell ref="I1508:J1508"/>
    <mergeCell ref="A1509:L1509"/>
    <mergeCell ref="A1503:J1503"/>
    <mergeCell ref="K1503:L1503"/>
    <mergeCell ref="A1504:J1504"/>
    <mergeCell ref="K1504:L1504"/>
    <mergeCell ref="A1505:L1505"/>
    <mergeCell ref="B1506:L1506"/>
    <mergeCell ref="A1499:C1499"/>
    <mergeCell ref="A1500:J1500"/>
    <mergeCell ref="K1500:L1500"/>
    <mergeCell ref="A1501:L1501"/>
    <mergeCell ref="A1502:J1502"/>
    <mergeCell ref="K1502:L1502"/>
    <mergeCell ref="A1496:E1496"/>
    <mergeCell ref="I1496:J1496"/>
    <mergeCell ref="K1496:L1496"/>
    <mergeCell ref="A1497:J1497"/>
    <mergeCell ref="K1497:L1497"/>
    <mergeCell ref="A1498:L1498"/>
    <mergeCell ref="A1493:E1493"/>
    <mergeCell ref="I1493:J1493"/>
    <mergeCell ref="K1493:L1493"/>
    <mergeCell ref="A1494:J1494"/>
    <mergeCell ref="K1494:L1494"/>
    <mergeCell ref="A1495:L1495"/>
    <mergeCell ref="A1491:E1491"/>
    <mergeCell ref="I1491:J1491"/>
    <mergeCell ref="K1491:L1491"/>
    <mergeCell ref="A1492:E1492"/>
    <mergeCell ref="I1492:J1492"/>
    <mergeCell ref="K1492:L1492"/>
    <mergeCell ref="A1488:J1488"/>
    <mergeCell ref="K1488:L1488"/>
    <mergeCell ref="A1489:L1489"/>
    <mergeCell ref="A1490:E1490"/>
    <mergeCell ref="I1490:J1490"/>
    <mergeCell ref="K1490:L1490"/>
    <mergeCell ref="A1484:J1484"/>
    <mergeCell ref="K1484:L1484"/>
    <mergeCell ref="A1485:L1485"/>
    <mergeCell ref="A1486:J1486"/>
    <mergeCell ref="K1486:L1486"/>
    <mergeCell ref="A1487:J1487"/>
    <mergeCell ref="K1487:L1487"/>
    <mergeCell ref="A1481:J1481"/>
    <mergeCell ref="K1481:L1481"/>
    <mergeCell ref="A1482:L1482"/>
    <mergeCell ref="A1483:C1483"/>
    <mergeCell ref="E1483:F1483"/>
    <mergeCell ref="J1483:L1483"/>
    <mergeCell ref="A1479:C1479"/>
    <mergeCell ref="I1479:J1479"/>
    <mergeCell ref="K1479:L1479"/>
    <mergeCell ref="A1480:C1480"/>
    <mergeCell ref="I1480:J1480"/>
    <mergeCell ref="K1480:L1480"/>
    <mergeCell ref="A1475:C1475"/>
    <mergeCell ref="K1475:L1475"/>
    <mergeCell ref="A1476:J1476"/>
    <mergeCell ref="K1476:L1476"/>
    <mergeCell ref="A1477:L1477"/>
    <mergeCell ref="A1478:C1478"/>
    <mergeCell ref="I1478:J1478"/>
    <mergeCell ref="K1478:L1478"/>
    <mergeCell ref="B1472:J1472"/>
    <mergeCell ref="B1473:C1473"/>
    <mergeCell ref="D1473:E1473"/>
    <mergeCell ref="F1473:G1473"/>
    <mergeCell ref="I1473:J1473"/>
    <mergeCell ref="A1474:L1474"/>
    <mergeCell ref="A1468:J1468"/>
    <mergeCell ref="K1468:L1468"/>
    <mergeCell ref="A1469:J1469"/>
    <mergeCell ref="K1469:L1469"/>
    <mergeCell ref="A1470:L1470"/>
    <mergeCell ref="B1471:L1471"/>
    <mergeCell ref="A1464:C1464"/>
    <mergeCell ref="A1465:J1465"/>
    <mergeCell ref="K1465:L1465"/>
    <mergeCell ref="A1466:L1466"/>
    <mergeCell ref="A1467:J1467"/>
    <mergeCell ref="K1467:L1467"/>
    <mergeCell ref="A1461:E1461"/>
    <mergeCell ref="I1461:J1461"/>
    <mergeCell ref="K1461:L1461"/>
    <mergeCell ref="A1462:J1462"/>
    <mergeCell ref="K1462:L1462"/>
    <mergeCell ref="A1463:L1463"/>
    <mergeCell ref="A1458:E1458"/>
    <mergeCell ref="I1458:J1458"/>
    <mergeCell ref="K1458:L1458"/>
    <mergeCell ref="A1459:J1459"/>
    <mergeCell ref="K1459:L1459"/>
    <mergeCell ref="A1460:L1460"/>
    <mergeCell ref="A1456:E1456"/>
    <mergeCell ref="I1456:J1456"/>
    <mergeCell ref="K1456:L1456"/>
    <mergeCell ref="A1457:E1457"/>
    <mergeCell ref="I1457:J1457"/>
    <mergeCell ref="K1457:L1457"/>
    <mergeCell ref="A1453:J1453"/>
    <mergeCell ref="K1453:L1453"/>
    <mergeCell ref="A1454:L1454"/>
    <mergeCell ref="A1455:E1455"/>
    <mergeCell ref="I1455:J1455"/>
    <mergeCell ref="K1455:L1455"/>
    <mergeCell ref="A1449:J1449"/>
    <mergeCell ref="K1449:L1449"/>
    <mergeCell ref="A1450:L1450"/>
    <mergeCell ref="A1451:J1451"/>
    <mergeCell ref="K1451:L1451"/>
    <mergeCell ref="A1452:J1452"/>
    <mergeCell ref="K1452:L1452"/>
    <mergeCell ref="A1446:J1446"/>
    <mergeCell ref="K1446:L1446"/>
    <mergeCell ref="A1447:L1447"/>
    <mergeCell ref="A1448:C1448"/>
    <mergeCell ref="E1448:F1448"/>
    <mergeCell ref="J1448:L1448"/>
    <mergeCell ref="A1444:C1444"/>
    <mergeCell ref="I1444:J1444"/>
    <mergeCell ref="K1444:L1444"/>
    <mergeCell ref="A1445:C1445"/>
    <mergeCell ref="I1445:J1445"/>
    <mergeCell ref="K1445:L1445"/>
    <mergeCell ref="A1440:C1440"/>
    <mergeCell ref="K1440:L1440"/>
    <mergeCell ref="A1441:J1441"/>
    <mergeCell ref="K1441:L1441"/>
    <mergeCell ref="A1442:L1442"/>
    <mergeCell ref="A1443:C1443"/>
    <mergeCell ref="I1443:J1443"/>
    <mergeCell ref="K1443:L1443"/>
    <mergeCell ref="B1437:J1437"/>
    <mergeCell ref="B1438:C1438"/>
    <mergeCell ref="D1438:E1438"/>
    <mergeCell ref="F1438:G1438"/>
    <mergeCell ref="I1438:J1438"/>
    <mergeCell ref="A1439:L1439"/>
    <mergeCell ref="A1433:J1433"/>
    <mergeCell ref="K1433:L1433"/>
    <mergeCell ref="A1434:J1434"/>
    <mergeCell ref="K1434:L1434"/>
    <mergeCell ref="A1435:L1435"/>
    <mergeCell ref="B1436:L1436"/>
    <mergeCell ref="A1429:C1429"/>
    <mergeCell ref="A1430:J1430"/>
    <mergeCell ref="K1430:L1430"/>
    <mergeCell ref="A1431:L1431"/>
    <mergeCell ref="A1432:J1432"/>
    <mergeCell ref="K1432:L1432"/>
    <mergeCell ref="A1426:E1426"/>
    <mergeCell ref="I1426:J1426"/>
    <mergeCell ref="K1426:L1426"/>
    <mergeCell ref="A1427:J1427"/>
    <mergeCell ref="K1427:L1427"/>
    <mergeCell ref="A1428:L1428"/>
    <mergeCell ref="A1423:J1423"/>
    <mergeCell ref="K1423:L1423"/>
    <mergeCell ref="A1424:L1424"/>
    <mergeCell ref="A1425:E1425"/>
    <mergeCell ref="I1425:J1425"/>
    <mergeCell ref="K1425:L1425"/>
    <mergeCell ref="A1420:J1420"/>
    <mergeCell ref="K1420:L1420"/>
    <mergeCell ref="A1421:L1421"/>
    <mergeCell ref="A1422:E1422"/>
    <mergeCell ref="I1422:J1422"/>
    <mergeCell ref="K1422:L1422"/>
    <mergeCell ref="A1416:J1416"/>
    <mergeCell ref="K1416:L1416"/>
    <mergeCell ref="A1417:L1417"/>
    <mergeCell ref="A1418:J1418"/>
    <mergeCell ref="K1418:L1418"/>
    <mergeCell ref="A1419:J1419"/>
    <mergeCell ref="K1419:L1419"/>
    <mergeCell ref="A1413:J1413"/>
    <mergeCell ref="K1413:L1413"/>
    <mergeCell ref="A1414:L1414"/>
    <mergeCell ref="A1415:C1415"/>
    <mergeCell ref="E1415:F1415"/>
    <mergeCell ref="J1415:L1415"/>
    <mergeCell ref="A1409:C1409"/>
    <mergeCell ref="K1409:L1409"/>
    <mergeCell ref="A1410:J1410"/>
    <mergeCell ref="K1410:L1410"/>
    <mergeCell ref="A1411:L1411"/>
    <mergeCell ref="A1412:C1412"/>
    <mergeCell ref="I1412:J1412"/>
    <mergeCell ref="K1412:L1412"/>
    <mergeCell ref="B1406:J1406"/>
    <mergeCell ref="B1407:C1407"/>
    <mergeCell ref="D1407:E1407"/>
    <mergeCell ref="F1407:G1407"/>
    <mergeCell ref="I1407:J1407"/>
    <mergeCell ref="A1408:L1408"/>
    <mergeCell ref="A1402:J1402"/>
    <mergeCell ref="K1402:L1402"/>
    <mergeCell ref="A1403:J1403"/>
    <mergeCell ref="K1403:L1403"/>
    <mergeCell ref="A1404:L1404"/>
    <mergeCell ref="B1405:L1405"/>
    <mergeCell ref="A1398:C1398"/>
    <mergeCell ref="A1399:J1399"/>
    <mergeCell ref="K1399:L1399"/>
    <mergeCell ref="A1400:L1400"/>
    <mergeCell ref="A1401:J1401"/>
    <mergeCell ref="K1401:L1401"/>
    <mergeCell ref="A1395:E1395"/>
    <mergeCell ref="I1395:J1395"/>
    <mergeCell ref="K1395:L1395"/>
    <mergeCell ref="A1396:J1396"/>
    <mergeCell ref="K1396:L1396"/>
    <mergeCell ref="A1397:L1397"/>
    <mergeCell ref="A1392:E1392"/>
    <mergeCell ref="I1392:J1392"/>
    <mergeCell ref="K1392:L1392"/>
    <mergeCell ref="A1393:J1393"/>
    <mergeCell ref="K1393:L1393"/>
    <mergeCell ref="A1394:L1394"/>
    <mergeCell ref="A1389:L1389"/>
    <mergeCell ref="A1390:E1390"/>
    <mergeCell ref="I1390:J1390"/>
    <mergeCell ref="K1390:L1390"/>
    <mergeCell ref="A1391:E1391"/>
    <mergeCell ref="I1391:J1391"/>
    <mergeCell ref="K1391:L1391"/>
    <mergeCell ref="A1386:J1386"/>
    <mergeCell ref="K1386:L1386"/>
    <mergeCell ref="A1387:J1387"/>
    <mergeCell ref="K1387:L1387"/>
    <mergeCell ref="A1388:J1388"/>
    <mergeCell ref="K1388:L1388"/>
    <mergeCell ref="A1383:C1383"/>
    <mergeCell ref="E1383:F1383"/>
    <mergeCell ref="J1383:L1383"/>
    <mergeCell ref="A1384:J1384"/>
    <mergeCell ref="K1384:L1384"/>
    <mergeCell ref="A1385:L1385"/>
    <mergeCell ref="A1380:C1380"/>
    <mergeCell ref="I1380:J1380"/>
    <mergeCell ref="K1380:L1380"/>
    <mergeCell ref="A1381:J1381"/>
    <mergeCell ref="K1381:L1381"/>
    <mergeCell ref="A1382:L1382"/>
    <mergeCell ref="A1378:C1378"/>
    <mergeCell ref="I1378:J1378"/>
    <mergeCell ref="K1378:L1378"/>
    <mergeCell ref="A1379:C1379"/>
    <mergeCell ref="I1379:J1379"/>
    <mergeCell ref="K1379:L1379"/>
    <mergeCell ref="A1374:L1374"/>
    <mergeCell ref="A1375:C1375"/>
    <mergeCell ref="K1375:L1375"/>
    <mergeCell ref="A1376:J1376"/>
    <mergeCell ref="K1376:L1376"/>
    <mergeCell ref="A1377:L1377"/>
    <mergeCell ref="A1370:L1370"/>
    <mergeCell ref="B1371:L1371"/>
    <mergeCell ref="B1372:J1372"/>
    <mergeCell ref="B1373:C1373"/>
    <mergeCell ref="D1373:E1373"/>
    <mergeCell ref="F1373:G1373"/>
    <mergeCell ref="I1373:J1373"/>
    <mergeCell ref="A1366:L1366"/>
    <mergeCell ref="A1367:J1367"/>
    <mergeCell ref="K1367:L1367"/>
    <mergeCell ref="A1368:J1368"/>
    <mergeCell ref="K1368:L1368"/>
    <mergeCell ref="A1369:J1369"/>
    <mergeCell ref="K1369:L1369"/>
    <mergeCell ref="A1362:J1362"/>
    <mergeCell ref="K1362:L1362"/>
    <mergeCell ref="A1363:L1363"/>
    <mergeCell ref="A1364:C1364"/>
    <mergeCell ref="A1365:J1365"/>
    <mergeCell ref="K1365:L1365"/>
    <mergeCell ref="A1359:J1359"/>
    <mergeCell ref="K1359:L1359"/>
    <mergeCell ref="A1360:L1360"/>
    <mergeCell ref="A1361:E1361"/>
    <mergeCell ref="I1361:J1361"/>
    <mergeCell ref="K1361:L1361"/>
    <mergeCell ref="A1357:E1357"/>
    <mergeCell ref="I1357:J1357"/>
    <mergeCell ref="K1357:L1357"/>
    <mergeCell ref="A1358:E1358"/>
    <mergeCell ref="I1358:J1358"/>
    <mergeCell ref="K1358:L1358"/>
    <mergeCell ref="A1355:E1355"/>
    <mergeCell ref="I1355:J1355"/>
    <mergeCell ref="K1355:L1355"/>
    <mergeCell ref="A1356:E1356"/>
    <mergeCell ref="I1356:J1356"/>
    <mergeCell ref="K1356:L1356"/>
    <mergeCell ref="A1352:J1352"/>
    <mergeCell ref="K1352:L1352"/>
    <mergeCell ref="A1353:L1353"/>
    <mergeCell ref="A1354:E1354"/>
    <mergeCell ref="I1354:J1354"/>
    <mergeCell ref="K1354:L1354"/>
    <mergeCell ref="A1348:J1348"/>
    <mergeCell ref="K1348:L1348"/>
    <mergeCell ref="A1349:L1349"/>
    <mergeCell ref="A1350:J1350"/>
    <mergeCell ref="K1350:L1350"/>
    <mergeCell ref="A1351:J1351"/>
    <mergeCell ref="K1351:L1351"/>
    <mergeCell ref="A1345:J1345"/>
    <mergeCell ref="K1345:L1345"/>
    <mergeCell ref="A1346:L1346"/>
    <mergeCell ref="A1347:C1347"/>
    <mergeCell ref="E1347:F1347"/>
    <mergeCell ref="J1347:L1347"/>
    <mergeCell ref="A1343:C1343"/>
    <mergeCell ref="I1343:J1343"/>
    <mergeCell ref="K1343:L1343"/>
    <mergeCell ref="A1344:C1344"/>
    <mergeCell ref="I1344:J1344"/>
    <mergeCell ref="K1344:L1344"/>
    <mergeCell ref="A1339:C1339"/>
    <mergeCell ref="K1339:L1339"/>
    <mergeCell ref="A1340:J1340"/>
    <mergeCell ref="K1340:L1340"/>
    <mergeCell ref="A1341:L1341"/>
    <mergeCell ref="A1342:C1342"/>
    <mergeCell ref="I1342:J1342"/>
    <mergeCell ref="K1342:L1342"/>
    <mergeCell ref="B1336:J1336"/>
    <mergeCell ref="B1337:C1337"/>
    <mergeCell ref="D1337:E1337"/>
    <mergeCell ref="F1337:G1337"/>
    <mergeCell ref="I1337:J1337"/>
    <mergeCell ref="A1338:L1338"/>
    <mergeCell ref="A1332:J1332"/>
    <mergeCell ref="K1332:L1332"/>
    <mergeCell ref="A1333:J1333"/>
    <mergeCell ref="K1333:L1333"/>
    <mergeCell ref="A1334:L1334"/>
    <mergeCell ref="B1335:L1335"/>
    <mergeCell ref="A1328:C1328"/>
    <mergeCell ref="A1329:J1329"/>
    <mergeCell ref="K1329:L1329"/>
    <mergeCell ref="A1330:L1330"/>
    <mergeCell ref="A1331:J1331"/>
    <mergeCell ref="K1331:L1331"/>
    <mergeCell ref="A1325:E1325"/>
    <mergeCell ref="I1325:J1325"/>
    <mergeCell ref="K1325:L1325"/>
    <mergeCell ref="A1326:J1326"/>
    <mergeCell ref="K1326:L1326"/>
    <mergeCell ref="A1327:L1327"/>
    <mergeCell ref="A1322:E1322"/>
    <mergeCell ref="I1322:J1322"/>
    <mergeCell ref="K1322:L1322"/>
    <mergeCell ref="A1323:J1323"/>
    <mergeCell ref="K1323:L1323"/>
    <mergeCell ref="A1324:L1324"/>
    <mergeCell ref="A1320:E1320"/>
    <mergeCell ref="I1320:J1320"/>
    <mergeCell ref="K1320:L1320"/>
    <mergeCell ref="A1321:E1321"/>
    <mergeCell ref="I1321:J1321"/>
    <mergeCell ref="K1321:L1321"/>
    <mergeCell ref="A1317:J1317"/>
    <mergeCell ref="K1317:L1317"/>
    <mergeCell ref="A1318:L1318"/>
    <mergeCell ref="A1319:E1319"/>
    <mergeCell ref="I1319:J1319"/>
    <mergeCell ref="K1319:L1319"/>
    <mergeCell ref="A1313:J1313"/>
    <mergeCell ref="K1313:L1313"/>
    <mergeCell ref="A1314:L1314"/>
    <mergeCell ref="A1315:J1315"/>
    <mergeCell ref="K1315:L1315"/>
    <mergeCell ref="A1316:J1316"/>
    <mergeCell ref="K1316:L1316"/>
    <mergeCell ref="A1310:J1310"/>
    <mergeCell ref="K1310:L1310"/>
    <mergeCell ref="A1311:L1311"/>
    <mergeCell ref="A1312:C1312"/>
    <mergeCell ref="E1312:F1312"/>
    <mergeCell ref="J1312:L1312"/>
    <mergeCell ref="A1308:C1308"/>
    <mergeCell ref="I1308:J1308"/>
    <mergeCell ref="K1308:L1308"/>
    <mergeCell ref="A1309:C1309"/>
    <mergeCell ref="I1309:J1309"/>
    <mergeCell ref="K1309:L1309"/>
    <mergeCell ref="A1304:C1304"/>
    <mergeCell ref="K1304:L1304"/>
    <mergeCell ref="A1305:J1305"/>
    <mergeCell ref="K1305:L1305"/>
    <mergeCell ref="A1306:L1306"/>
    <mergeCell ref="A1307:C1307"/>
    <mergeCell ref="I1307:J1307"/>
    <mergeCell ref="K1307:L1307"/>
    <mergeCell ref="B1301:J1301"/>
    <mergeCell ref="B1302:C1302"/>
    <mergeCell ref="D1302:E1302"/>
    <mergeCell ref="F1302:G1302"/>
    <mergeCell ref="I1302:J1302"/>
    <mergeCell ref="A1303:L1303"/>
    <mergeCell ref="A1297:J1297"/>
    <mergeCell ref="K1297:L1297"/>
    <mergeCell ref="A1298:J1298"/>
    <mergeCell ref="K1298:L1298"/>
    <mergeCell ref="A1299:L1299"/>
    <mergeCell ref="B1300:L1300"/>
    <mergeCell ref="A1293:C1293"/>
    <mergeCell ref="A1294:J1294"/>
    <mergeCell ref="K1294:L1294"/>
    <mergeCell ref="A1295:L1295"/>
    <mergeCell ref="A1296:J1296"/>
    <mergeCell ref="K1296:L1296"/>
    <mergeCell ref="A1290:E1290"/>
    <mergeCell ref="I1290:J1290"/>
    <mergeCell ref="K1290:L1290"/>
    <mergeCell ref="A1291:J1291"/>
    <mergeCell ref="K1291:L1291"/>
    <mergeCell ref="A1292:L1292"/>
    <mergeCell ref="A1287:E1287"/>
    <mergeCell ref="I1287:J1287"/>
    <mergeCell ref="K1287:L1287"/>
    <mergeCell ref="A1288:J1288"/>
    <mergeCell ref="K1288:L1288"/>
    <mergeCell ref="A1289:L1289"/>
    <mergeCell ref="A1285:E1285"/>
    <mergeCell ref="I1285:J1285"/>
    <mergeCell ref="K1285:L1285"/>
    <mergeCell ref="A1286:E1286"/>
    <mergeCell ref="I1286:J1286"/>
    <mergeCell ref="K1286:L1286"/>
    <mergeCell ref="A1283:E1283"/>
    <mergeCell ref="I1283:J1283"/>
    <mergeCell ref="K1283:L1283"/>
    <mergeCell ref="A1284:E1284"/>
    <mergeCell ref="I1284:J1284"/>
    <mergeCell ref="K1284:L1284"/>
    <mergeCell ref="A1280:J1280"/>
    <mergeCell ref="K1280:L1280"/>
    <mergeCell ref="A1281:L1281"/>
    <mergeCell ref="A1282:E1282"/>
    <mergeCell ref="I1282:J1282"/>
    <mergeCell ref="K1282:L1282"/>
    <mergeCell ref="A1276:J1276"/>
    <mergeCell ref="K1276:L1276"/>
    <mergeCell ref="A1277:L1277"/>
    <mergeCell ref="A1278:J1278"/>
    <mergeCell ref="K1278:L1278"/>
    <mergeCell ref="A1279:J1279"/>
    <mergeCell ref="K1279:L1279"/>
    <mergeCell ref="A1273:J1273"/>
    <mergeCell ref="K1273:L1273"/>
    <mergeCell ref="A1274:L1274"/>
    <mergeCell ref="A1275:C1275"/>
    <mergeCell ref="E1275:F1275"/>
    <mergeCell ref="J1275:L1275"/>
    <mergeCell ref="A1271:C1271"/>
    <mergeCell ref="I1271:J1271"/>
    <mergeCell ref="K1271:L1271"/>
    <mergeCell ref="A1272:C1272"/>
    <mergeCell ref="I1272:J1272"/>
    <mergeCell ref="K1272:L1272"/>
    <mergeCell ref="A1267:C1267"/>
    <mergeCell ref="K1267:L1267"/>
    <mergeCell ref="A1268:J1268"/>
    <mergeCell ref="K1268:L1268"/>
    <mergeCell ref="A1269:L1269"/>
    <mergeCell ref="A1270:C1270"/>
    <mergeCell ref="I1270:J1270"/>
    <mergeCell ref="K1270:L1270"/>
    <mergeCell ref="B1264:J1264"/>
    <mergeCell ref="B1265:C1265"/>
    <mergeCell ref="D1265:E1265"/>
    <mergeCell ref="F1265:G1265"/>
    <mergeCell ref="I1265:J1265"/>
    <mergeCell ref="A1266:L1266"/>
    <mergeCell ref="A1260:J1260"/>
    <mergeCell ref="K1260:L1260"/>
    <mergeCell ref="A1261:J1261"/>
    <mergeCell ref="K1261:L1261"/>
    <mergeCell ref="A1262:L1262"/>
    <mergeCell ref="B1263:L1263"/>
    <mergeCell ref="A1256:C1256"/>
    <mergeCell ref="A1257:J1257"/>
    <mergeCell ref="K1257:L1257"/>
    <mergeCell ref="A1258:L1258"/>
    <mergeCell ref="A1259:J1259"/>
    <mergeCell ref="K1259:L1259"/>
    <mergeCell ref="A1253:E1253"/>
    <mergeCell ref="I1253:J1253"/>
    <mergeCell ref="K1253:L1253"/>
    <mergeCell ref="A1254:J1254"/>
    <mergeCell ref="K1254:L1254"/>
    <mergeCell ref="A1255:L1255"/>
    <mergeCell ref="A1250:E1250"/>
    <mergeCell ref="I1250:J1250"/>
    <mergeCell ref="K1250:L1250"/>
    <mergeCell ref="A1251:J1251"/>
    <mergeCell ref="K1251:L1251"/>
    <mergeCell ref="A1252:L1252"/>
    <mergeCell ref="A1248:E1248"/>
    <mergeCell ref="I1248:J1248"/>
    <mergeCell ref="K1248:L1248"/>
    <mergeCell ref="A1249:E1249"/>
    <mergeCell ref="I1249:J1249"/>
    <mergeCell ref="K1249:L1249"/>
    <mergeCell ref="A1245:J1245"/>
    <mergeCell ref="K1245:L1245"/>
    <mergeCell ref="A1246:L1246"/>
    <mergeCell ref="A1247:E1247"/>
    <mergeCell ref="I1247:J1247"/>
    <mergeCell ref="K1247:L1247"/>
    <mergeCell ref="A1241:J1241"/>
    <mergeCell ref="K1241:L1241"/>
    <mergeCell ref="A1242:L1242"/>
    <mergeCell ref="A1243:J1243"/>
    <mergeCell ref="K1243:L1243"/>
    <mergeCell ref="A1244:J1244"/>
    <mergeCell ref="K1244:L1244"/>
    <mergeCell ref="A1238:J1238"/>
    <mergeCell ref="K1238:L1238"/>
    <mergeCell ref="A1239:L1239"/>
    <mergeCell ref="A1240:C1240"/>
    <mergeCell ref="E1240:F1240"/>
    <mergeCell ref="J1240:L1240"/>
    <mergeCell ref="A1236:C1236"/>
    <mergeCell ref="I1236:J1236"/>
    <mergeCell ref="K1236:L1236"/>
    <mergeCell ref="A1237:C1237"/>
    <mergeCell ref="I1237:J1237"/>
    <mergeCell ref="K1237:L1237"/>
    <mergeCell ref="A1232:C1232"/>
    <mergeCell ref="K1232:L1232"/>
    <mergeCell ref="A1233:J1233"/>
    <mergeCell ref="K1233:L1233"/>
    <mergeCell ref="A1234:L1234"/>
    <mergeCell ref="A1235:C1235"/>
    <mergeCell ref="I1235:J1235"/>
    <mergeCell ref="K1235:L1235"/>
    <mergeCell ref="B1229:J1229"/>
    <mergeCell ref="B1230:C1230"/>
    <mergeCell ref="D1230:E1230"/>
    <mergeCell ref="F1230:G1230"/>
    <mergeCell ref="I1230:J1230"/>
    <mergeCell ref="A1231:L1231"/>
    <mergeCell ref="A1225:J1225"/>
    <mergeCell ref="K1225:L1225"/>
    <mergeCell ref="A1226:J1226"/>
    <mergeCell ref="K1226:L1226"/>
    <mergeCell ref="A1227:L1227"/>
    <mergeCell ref="B1228:L1228"/>
    <mergeCell ref="A1221:C1221"/>
    <mergeCell ref="A1222:J1222"/>
    <mergeCell ref="K1222:L1222"/>
    <mergeCell ref="A1223:L1223"/>
    <mergeCell ref="A1224:J1224"/>
    <mergeCell ref="K1224:L1224"/>
    <mergeCell ref="A1218:E1218"/>
    <mergeCell ref="I1218:J1218"/>
    <mergeCell ref="K1218:L1218"/>
    <mergeCell ref="A1219:J1219"/>
    <mergeCell ref="K1219:L1219"/>
    <mergeCell ref="A1220:L1220"/>
    <mergeCell ref="A1215:E1215"/>
    <mergeCell ref="I1215:J1215"/>
    <mergeCell ref="K1215:L1215"/>
    <mergeCell ref="A1216:J1216"/>
    <mergeCell ref="K1216:L1216"/>
    <mergeCell ref="A1217:L1217"/>
    <mergeCell ref="A1213:E1213"/>
    <mergeCell ref="I1213:J1213"/>
    <mergeCell ref="K1213:L1213"/>
    <mergeCell ref="A1214:E1214"/>
    <mergeCell ref="I1214:J1214"/>
    <mergeCell ref="K1214:L1214"/>
    <mergeCell ref="A1210:J1210"/>
    <mergeCell ref="K1210:L1210"/>
    <mergeCell ref="A1211:L1211"/>
    <mergeCell ref="A1212:E1212"/>
    <mergeCell ref="I1212:J1212"/>
    <mergeCell ref="K1212:L1212"/>
    <mergeCell ref="A1206:J1206"/>
    <mergeCell ref="K1206:L1206"/>
    <mergeCell ref="A1207:L1207"/>
    <mergeCell ref="A1208:J1208"/>
    <mergeCell ref="K1208:L1208"/>
    <mergeCell ref="A1209:J1209"/>
    <mergeCell ref="K1209:L1209"/>
    <mergeCell ref="A1203:J1203"/>
    <mergeCell ref="K1203:L1203"/>
    <mergeCell ref="A1204:L1204"/>
    <mergeCell ref="A1205:C1205"/>
    <mergeCell ref="E1205:F1205"/>
    <mergeCell ref="J1205:L1205"/>
    <mergeCell ref="A1201:C1201"/>
    <mergeCell ref="I1201:J1201"/>
    <mergeCell ref="K1201:L1201"/>
    <mergeCell ref="A1202:C1202"/>
    <mergeCell ref="I1202:J1202"/>
    <mergeCell ref="K1202:L1202"/>
    <mergeCell ref="A1197:C1197"/>
    <mergeCell ref="K1197:L1197"/>
    <mergeCell ref="A1198:J1198"/>
    <mergeCell ref="K1198:L1198"/>
    <mergeCell ref="A1199:L1199"/>
    <mergeCell ref="A1200:C1200"/>
    <mergeCell ref="I1200:J1200"/>
    <mergeCell ref="K1200:L1200"/>
    <mergeCell ref="B1194:J1194"/>
    <mergeCell ref="B1195:C1195"/>
    <mergeCell ref="D1195:E1195"/>
    <mergeCell ref="F1195:G1195"/>
    <mergeCell ref="I1195:J1195"/>
    <mergeCell ref="A1196:L1196"/>
    <mergeCell ref="A1190:J1190"/>
    <mergeCell ref="K1190:L1190"/>
    <mergeCell ref="A1191:J1191"/>
    <mergeCell ref="K1191:L1191"/>
    <mergeCell ref="A1192:L1192"/>
    <mergeCell ref="B1193:L1193"/>
    <mergeCell ref="A1186:C1186"/>
    <mergeCell ref="A1187:J1187"/>
    <mergeCell ref="K1187:L1187"/>
    <mergeCell ref="A1188:L1188"/>
    <mergeCell ref="A1189:J1189"/>
    <mergeCell ref="K1189:L1189"/>
    <mergeCell ref="A1183:E1183"/>
    <mergeCell ref="I1183:J1183"/>
    <mergeCell ref="K1183:L1183"/>
    <mergeCell ref="A1184:J1184"/>
    <mergeCell ref="K1184:L1184"/>
    <mergeCell ref="A1185:L1185"/>
    <mergeCell ref="A1180:E1180"/>
    <mergeCell ref="I1180:J1180"/>
    <mergeCell ref="K1180:L1180"/>
    <mergeCell ref="A1181:J1181"/>
    <mergeCell ref="K1181:L1181"/>
    <mergeCell ref="A1182:L1182"/>
    <mergeCell ref="A1177:L1177"/>
    <mergeCell ref="A1178:E1178"/>
    <mergeCell ref="I1178:J1178"/>
    <mergeCell ref="K1178:L1178"/>
    <mergeCell ref="A1179:E1179"/>
    <mergeCell ref="I1179:J1179"/>
    <mergeCell ref="K1179:L1179"/>
    <mergeCell ref="A1174:J1174"/>
    <mergeCell ref="K1174:L1174"/>
    <mergeCell ref="A1175:J1175"/>
    <mergeCell ref="K1175:L1175"/>
    <mergeCell ref="A1176:J1176"/>
    <mergeCell ref="K1176:L1176"/>
    <mergeCell ref="A1171:C1171"/>
    <mergeCell ref="E1171:F1171"/>
    <mergeCell ref="J1171:L1171"/>
    <mergeCell ref="A1172:J1172"/>
    <mergeCell ref="K1172:L1172"/>
    <mergeCell ref="A1173:L1173"/>
    <mergeCell ref="A1168:C1168"/>
    <mergeCell ref="I1168:J1168"/>
    <mergeCell ref="K1168:L1168"/>
    <mergeCell ref="A1169:J1169"/>
    <mergeCell ref="K1169:L1169"/>
    <mergeCell ref="A1170:L1170"/>
    <mergeCell ref="A1166:C1166"/>
    <mergeCell ref="I1166:J1166"/>
    <mergeCell ref="K1166:L1166"/>
    <mergeCell ref="A1167:C1167"/>
    <mergeCell ref="I1167:J1167"/>
    <mergeCell ref="K1167:L1167"/>
    <mergeCell ref="A1162:L1162"/>
    <mergeCell ref="A1163:C1163"/>
    <mergeCell ref="K1163:L1163"/>
    <mergeCell ref="A1164:J1164"/>
    <mergeCell ref="K1164:L1164"/>
    <mergeCell ref="A1165:L1165"/>
    <mergeCell ref="A1158:L1158"/>
    <mergeCell ref="B1159:L1159"/>
    <mergeCell ref="B1160:J1160"/>
    <mergeCell ref="B1161:C1161"/>
    <mergeCell ref="D1161:E1161"/>
    <mergeCell ref="F1161:G1161"/>
    <mergeCell ref="I1161:J1161"/>
    <mergeCell ref="A1154:L1154"/>
    <mergeCell ref="A1155:J1155"/>
    <mergeCell ref="K1155:L1155"/>
    <mergeCell ref="A1156:J1156"/>
    <mergeCell ref="K1156:L1156"/>
    <mergeCell ref="A1157:J1157"/>
    <mergeCell ref="K1157:L1157"/>
    <mergeCell ref="A1150:J1150"/>
    <mergeCell ref="K1150:L1150"/>
    <mergeCell ref="A1151:L1151"/>
    <mergeCell ref="A1152:C1152"/>
    <mergeCell ref="A1153:J1153"/>
    <mergeCell ref="K1153:L1153"/>
    <mergeCell ref="A1147:J1147"/>
    <mergeCell ref="K1147:L1147"/>
    <mergeCell ref="A1148:L1148"/>
    <mergeCell ref="A1149:E1149"/>
    <mergeCell ref="I1149:J1149"/>
    <mergeCell ref="K1149:L1149"/>
    <mergeCell ref="A1144:L1144"/>
    <mergeCell ref="A1145:E1145"/>
    <mergeCell ref="I1145:J1145"/>
    <mergeCell ref="K1145:L1145"/>
    <mergeCell ref="A1146:E1146"/>
    <mergeCell ref="I1146:J1146"/>
    <mergeCell ref="K1146:L1146"/>
    <mergeCell ref="A1141:J1141"/>
    <mergeCell ref="K1141:L1141"/>
    <mergeCell ref="A1142:J1142"/>
    <mergeCell ref="K1142:L1142"/>
    <mergeCell ref="A1143:J1143"/>
    <mergeCell ref="K1143:L1143"/>
    <mergeCell ref="A1138:C1138"/>
    <mergeCell ref="E1138:F1138"/>
    <mergeCell ref="J1138:L1138"/>
    <mergeCell ref="A1139:J1139"/>
    <mergeCell ref="K1139:L1139"/>
    <mergeCell ref="A1140:L1140"/>
    <mergeCell ref="A1135:C1135"/>
    <mergeCell ref="I1135:J1135"/>
    <mergeCell ref="K1135:L1135"/>
    <mergeCell ref="A1136:J1136"/>
    <mergeCell ref="K1136:L1136"/>
    <mergeCell ref="A1137:L1137"/>
    <mergeCell ref="A1131:L1131"/>
    <mergeCell ref="A1132:C1132"/>
    <mergeCell ref="K1132:L1132"/>
    <mergeCell ref="A1133:J1133"/>
    <mergeCell ref="K1133:L1133"/>
    <mergeCell ref="A1134:L1134"/>
    <mergeCell ref="A1127:L1127"/>
    <mergeCell ref="B1128:L1128"/>
    <mergeCell ref="B1129:J1129"/>
    <mergeCell ref="B1130:C1130"/>
    <mergeCell ref="D1130:E1130"/>
    <mergeCell ref="F1130:G1130"/>
    <mergeCell ref="I1130:J1130"/>
    <mergeCell ref="A1123:L1123"/>
    <mergeCell ref="A1124:J1124"/>
    <mergeCell ref="K1124:L1124"/>
    <mergeCell ref="A1125:J1125"/>
    <mergeCell ref="K1125:L1125"/>
    <mergeCell ref="A1126:J1126"/>
    <mergeCell ref="K1126:L1126"/>
    <mergeCell ref="A1119:J1119"/>
    <mergeCell ref="K1119:L1119"/>
    <mergeCell ref="A1120:L1120"/>
    <mergeCell ref="A1121:C1121"/>
    <mergeCell ref="A1122:J1122"/>
    <mergeCell ref="K1122:L1122"/>
    <mergeCell ref="A1116:J1116"/>
    <mergeCell ref="K1116:L1116"/>
    <mergeCell ref="A1117:L1117"/>
    <mergeCell ref="A1118:E1118"/>
    <mergeCell ref="I1118:J1118"/>
    <mergeCell ref="K1118:L1118"/>
    <mergeCell ref="A1113:L1113"/>
    <mergeCell ref="A1114:E1114"/>
    <mergeCell ref="I1114:J1114"/>
    <mergeCell ref="K1114:L1114"/>
    <mergeCell ref="A1115:E1115"/>
    <mergeCell ref="I1115:J1115"/>
    <mergeCell ref="K1115:L1115"/>
    <mergeCell ref="A1110:J1110"/>
    <mergeCell ref="K1110:L1110"/>
    <mergeCell ref="A1111:J1111"/>
    <mergeCell ref="K1111:L1111"/>
    <mergeCell ref="A1112:J1112"/>
    <mergeCell ref="K1112:L1112"/>
    <mergeCell ref="A1107:C1107"/>
    <mergeCell ref="E1107:F1107"/>
    <mergeCell ref="J1107:L1107"/>
    <mergeCell ref="A1108:J1108"/>
    <mergeCell ref="K1108:L1108"/>
    <mergeCell ref="A1109:L1109"/>
    <mergeCell ref="A1104:C1104"/>
    <mergeCell ref="I1104:J1104"/>
    <mergeCell ref="K1104:L1104"/>
    <mergeCell ref="A1105:J1105"/>
    <mergeCell ref="K1105:L1105"/>
    <mergeCell ref="A1106:L1106"/>
    <mergeCell ref="A1100:L1100"/>
    <mergeCell ref="A1101:C1101"/>
    <mergeCell ref="K1101:L1101"/>
    <mergeCell ref="A1102:J1102"/>
    <mergeCell ref="K1102:L1102"/>
    <mergeCell ref="A1103:L1103"/>
    <mergeCell ref="A1096:L1096"/>
    <mergeCell ref="B1097:L1097"/>
    <mergeCell ref="B1098:J1098"/>
    <mergeCell ref="B1099:C1099"/>
    <mergeCell ref="D1099:E1099"/>
    <mergeCell ref="F1099:G1099"/>
    <mergeCell ref="I1099:J1099"/>
    <mergeCell ref="A1092:L1092"/>
    <mergeCell ref="A1093:J1093"/>
    <mergeCell ref="K1093:L1093"/>
    <mergeCell ref="A1094:J1094"/>
    <mergeCell ref="K1094:L1094"/>
    <mergeCell ref="A1095:J1095"/>
    <mergeCell ref="K1095:L1095"/>
    <mergeCell ref="A1088:J1088"/>
    <mergeCell ref="K1088:L1088"/>
    <mergeCell ref="A1089:L1089"/>
    <mergeCell ref="A1090:C1090"/>
    <mergeCell ref="A1091:J1091"/>
    <mergeCell ref="K1091:L1091"/>
    <mergeCell ref="A1086:E1086"/>
    <mergeCell ref="I1086:J1086"/>
    <mergeCell ref="K1086:L1086"/>
    <mergeCell ref="A1087:E1087"/>
    <mergeCell ref="I1087:J1087"/>
    <mergeCell ref="K1087:L1087"/>
    <mergeCell ref="A1083:E1083"/>
    <mergeCell ref="I1083:J1083"/>
    <mergeCell ref="K1083:L1083"/>
    <mergeCell ref="A1084:J1084"/>
    <mergeCell ref="K1084:L1084"/>
    <mergeCell ref="A1085:L1085"/>
    <mergeCell ref="A1080:J1080"/>
    <mergeCell ref="K1080:L1080"/>
    <mergeCell ref="A1081:L1081"/>
    <mergeCell ref="A1082:E1082"/>
    <mergeCell ref="I1082:J1082"/>
    <mergeCell ref="K1082:L1082"/>
    <mergeCell ref="A1076:J1076"/>
    <mergeCell ref="K1076:L1076"/>
    <mergeCell ref="A1077:L1077"/>
    <mergeCell ref="A1078:J1078"/>
    <mergeCell ref="K1078:L1078"/>
    <mergeCell ref="A1079:J1079"/>
    <mergeCell ref="K1079:L1079"/>
    <mergeCell ref="A1073:J1073"/>
    <mergeCell ref="K1073:L1073"/>
    <mergeCell ref="A1074:L1074"/>
    <mergeCell ref="A1075:C1075"/>
    <mergeCell ref="E1075:F1075"/>
    <mergeCell ref="J1075:L1075"/>
    <mergeCell ref="A1069:C1069"/>
    <mergeCell ref="K1069:L1069"/>
    <mergeCell ref="A1070:J1070"/>
    <mergeCell ref="K1070:L1070"/>
    <mergeCell ref="A1071:L1071"/>
    <mergeCell ref="A1072:C1072"/>
    <mergeCell ref="I1072:J1072"/>
    <mergeCell ref="K1072:L1072"/>
    <mergeCell ref="B1066:J1066"/>
    <mergeCell ref="B1067:C1067"/>
    <mergeCell ref="D1067:E1067"/>
    <mergeCell ref="F1067:G1067"/>
    <mergeCell ref="I1067:J1067"/>
    <mergeCell ref="A1068:L1068"/>
    <mergeCell ref="A1062:J1062"/>
    <mergeCell ref="K1062:L1062"/>
    <mergeCell ref="A1063:J1063"/>
    <mergeCell ref="K1063:L1063"/>
    <mergeCell ref="A1064:L1064"/>
    <mergeCell ref="B1065:L1065"/>
    <mergeCell ref="A1058:C1058"/>
    <mergeCell ref="A1059:J1059"/>
    <mergeCell ref="K1059:L1059"/>
    <mergeCell ref="A1060:L1060"/>
    <mergeCell ref="A1061:J1061"/>
    <mergeCell ref="K1061:L1061"/>
    <mergeCell ref="A1055:E1055"/>
    <mergeCell ref="I1055:J1055"/>
    <mergeCell ref="K1055:L1055"/>
    <mergeCell ref="A1056:J1056"/>
    <mergeCell ref="K1056:L1056"/>
    <mergeCell ref="A1057:L1057"/>
    <mergeCell ref="A1052:E1052"/>
    <mergeCell ref="I1052:J1052"/>
    <mergeCell ref="K1052:L1052"/>
    <mergeCell ref="A1053:J1053"/>
    <mergeCell ref="K1053:L1053"/>
    <mergeCell ref="A1054:L1054"/>
    <mergeCell ref="A1050:E1050"/>
    <mergeCell ref="I1050:J1050"/>
    <mergeCell ref="K1050:L1050"/>
    <mergeCell ref="A1051:E1051"/>
    <mergeCell ref="I1051:J1051"/>
    <mergeCell ref="K1051:L1051"/>
    <mergeCell ref="A1047:J1047"/>
    <mergeCell ref="K1047:L1047"/>
    <mergeCell ref="A1048:L1048"/>
    <mergeCell ref="A1049:E1049"/>
    <mergeCell ref="I1049:J1049"/>
    <mergeCell ref="K1049:L1049"/>
    <mergeCell ref="A1043:J1043"/>
    <mergeCell ref="K1043:L1043"/>
    <mergeCell ref="A1044:L1044"/>
    <mergeCell ref="A1045:J1045"/>
    <mergeCell ref="K1045:L1045"/>
    <mergeCell ref="A1046:J1046"/>
    <mergeCell ref="K1046:L1046"/>
    <mergeCell ref="A1040:J1040"/>
    <mergeCell ref="K1040:L1040"/>
    <mergeCell ref="A1041:L1041"/>
    <mergeCell ref="A1042:C1042"/>
    <mergeCell ref="E1042:F1042"/>
    <mergeCell ref="J1042:L1042"/>
    <mergeCell ref="A1038:C1038"/>
    <mergeCell ref="I1038:J1038"/>
    <mergeCell ref="K1038:L1038"/>
    <mergeCell ref="A1039:C1039"/>
    <mergeCell ref="I1039:J1039"/>
    <mergeCell ref="K1039:L1039"/>
    <mergeCell ref="A1034:C1034"/>
    <mergeCell ref="K1034:L1034"/>
    <mergeCell ref="A1035:J1035"/>
    <mergeCell ref="K1035:L1035"/>
    <mergeCell ref="A1036:L1036"/>
    <mergeCell ref="A1037:C1037"/>
    <mergeCell ref="I1037:J1037"/>
    <mergeCell ref="K1037:L1037"/>
    <mergeCell ref="B1031:J1031"/>
    <mergeCell ref="B1032:C1032"/>
    <mergeCell ref="D1032:E1032"/>
    <mergeCell ref="F1032:G1032"/>
    <mergeCell ref="I1032:J1032"/>
    <mergeCell ref="A1033:L1033"/>
    <mergeCell ref="A1027:J1027"/>
    <mergeCell ref="K1027:L1027"/>
    <mergeCell ref="A1028:J1028"/>
    <mergeCell ref="K1028:L1028"/>
    <mergeCell ref="A1029:L1029"/>
    <mergeCell ref="B1030:L1030"/>
    <mergeCell ref="A1023:C1023"/>
    <mergeCell ref="A1024:J1024"/>
    <mergeCell ref="K1024:L1024"/>
    <mergeCell ref="A1025:L1025"/>
    <mergeCell ref="A1026:J1026"/>
    <mergeCell ref="K1026:L1026"/>
    <mergeCell ref="A1020:E1020"/>
    <mergeCell ref="I1020:J1020"/>
    <mergeCell ref="K1020:L1020"/>
    <mergeCell ref="A1021:J1021"/>
    <mergeCell ref="K1021:L1021"/>
    <mergeCell ref="A1022:L1022"/>
    <mergeCell ref="A1017:J1017"/>
    <mergeCell ref="K1017:L1017"/>
    <mergeCell ref="A1018:L1018"/>
    <mergeCell ref="A1019:E1019"/>
    <mergeCell ref="I1019:J1019"/>
    <mergeCell ref="K1019:L1019"/>
    <mergeCell ref="A1015:E1015"/>
    <mergeCell ref="I1015:J1015"/>
    <mergeCell ref="K1015:L1015"/>
    <mergeCell ref="A1016:E1016"/>
    <mergeCell ref="I1016:J1016"/>
    <mergeCell ref="K1016:L1016"/>
    <mergeCell ref="A1012:J1012"/>
    <mergeCell ref="K1012:L1012"/>
    <mergeCell ref="A1013:L1013"/>
    <mergeCell ref="A1014:E1014"/>
    <mergeCell ref="I1014:J1014"/>
    <mergeCell ref="K1014:L1014"/>
    <mergeCell ref="A1008:J1008"/>
    <mergeCell ref="K1008:L1008"/>
    <mergeCell ref="A1009:L1009"/>
    <mergeCell ref="A1010:J1010"/>
    <mergeCell ref="K1010:L1010"/>
    <mergeCell ref="A1011:J1011"/>
    <mergeCell ref="K1011:L1011"/>
    <mergeCell ref="A1005:J1005"/>
    <mergeCell ref="K1005:L1005"/>
    <mergeCell ref="A1006:L1006"/>
    <mergeCell ref="A1007:C1007"/>
    <mergeCell ref="E1007:F1007"/>
    <mergeCell ref="J1007:L1007"/>
    <mergeCell ref="A1001:C1001"/>
    <mergeCell ref="K1001:L1001"/>
    <mergeCell ref="A1002:J1002"/>
    <mergeCell ref="K1002:L1002"/>
    <mergeCell ref="A1003:L1003"/>
    <mergeCell ref="A1004:C1004"/>
    <mergeCell ref="I1004:J1004"/>
    <mergeCell ref="K1004:L1004"/>
    <mergeCell ref="B998:J998"/>
    <mergeCell ref="B999:C999"/>
    <mergeCell ref="D999:E999"/>
    <mergeCell ref="F999:G999"/>
    <mergeCell ref="I999:J999"/>
    <mergeCell ref="A1000:L1000"/>
    <mergeCell ref="A994:J994"/>
    <mergeCell ref="K994:L994"/>
    <mergeCell ref="A995:J995"/>
    <mergeCell ref="K995:L995"/>
    <mergeCell ref="A996:L996"/>
    <mergeCell ref="B997:L997"/>
    <mergeCell ref="A990:C990"/>
    <mergeCell ref="A991:J991"/>
    <mergeCell ref="K991:L991"/>
    <mergeCell ref="A992:L992"/>
    <mergeCell ref="A993:J993"/>
    <mergeCell ref="K993:L993"/>
    <mergeCell ref="A987:E987"/>
    <mergeCell ref="I987:J987"/>
    <mergeCell ref="K987:L987"/>
    <mergeCell ref="A988:J988"/>
    <mergeCell ref="K988:L988"/>
    <mergeCell ref="A989:L989"/>
    <mergeCell ref="A984:E984"/>
    <mergeCell ref="I984:J984"/>
    <mergeCell ref="K984:L984"/>
    <mergeCell ref="A985:J985"/>
    <mergeCell ref="K985:L985"/>
    <mergeCell ref="A986:L986"/>
    <mergeCell ref="A982:E982"/>
    <mergeCell ref="I982:J982"/>
    <mergeCell ref="K982:L982"/>
    <mergeCell ref="A983:E983"/>
    <mergeCell ref="I983:J983"/>
    <mergeCell ref="K983:L983"/>
    <mergeCell ref="A980:E980"/>
    <mergeCell ref="I980:J980"/>
    <mergeCell ref="K980:L980"/>
    <mergeCell ref="A981:E981"/>
    <mergeCell ref="I981:J981"/>
    <mergeCell ref="K981:L981"/>
    <mergeCell ref="A978:E978"/>
    <mergeCell ref="I978:J978"/>
    <mergeCell ref="K978:L978"/>
    <mergeCell ref="A979:E979"/>
    <mergeCell ref="I979:J979"/>
    <mergeCell ref="K979:L979"/>
    <mergeCell ref="A976:E976"/>
    <mergeCell ref="I976:J976"/>
    <mergeCell ref="K976:L976"/>
    <mergeCell ref="A977:E977"/>
    <mergeCell ref="I977:J977"/>
    <mergeCell ref="K977:L977"/>
    <mergeCell ref="A973:J973"/>
    <mergeCell ref="K973:L973"/>
    <mergeCell ref="A974:L974"/>
    <mergeCell ref="A975:E975"/>
    <mergeCell ref="I975:J975"/>
    <mergeCell ref="K975:L975"/>
    <mergeCell ref="A969:J969"/>
    <mergeCell ref="K969:L969"/>
    <mergeCell ref="A970:L970"/>
    <mergeCell ref="A971:J971"/>
    <mergeCell ref="K971:L971"/>
    <mergeCell ref="A972:J972"/>
    <mergeCell ref="K972:L972"/>
    <mergeCell ref="A967:C967"/>
    <mergeCell ref="E967:F967"/>
    <mergeCell ref="J967:L967"/>
    <mergeCell ref="A968:C968"/>
    <mergeCell ref="E968:F968"/>
    <mergeCell ref="J968:L968"/>
    <mergeCell ref="A964:C964"/>
    <mergeCell ref="I964:J964"/>
    <mergeCell ref="K964:L964"/>
    <mergeCell ref="A965:J965"/>
    <mergeCell ref="K965:L965"/>
    <mergeCell ref="A966:L966"/>
    <mergeCell ref="A962:C962"/>
    <mergeCell ref="I962:J962"/>
    <mergeCell ref="K962:L962"/>
    <mergeCell ref="A963:C963"/>
    <mergeCell ref="I963:J963"/>
    <mergeCell ref="K963:L963"/>
    <mergeCell ref="A958:L958"/>
    <mergeCell ref="A959:C959"/>
    <mergeCell ref="K959:L959"/>
    <mergeCell ref="A960:J960"/>
    <mergeCell ref="K960:L960"/>
    <mergeCell ref="A961:L961"/>
    <mergeCell ref="A954:L954"/>
    <mergeCell ref="B955:L955"/>
    <mergeCell ref="B956:J956"/>
    <mergeCell ref="B957:C957"/>
    <mergeCell ref="D957:E957"/>
    <mergeCell ref="F957:G957"/>
    <mergeCell ref="I957:J957"/>
    <mergeCell ref="A950:L950"/>
    <mergeCell ref="A951:J951"/>
    <mergeCell ref="K951:L951"/>
    <mergeCell ref="A952:J952"/>
    <mergeCell ref="K952:L952"/>
    <mergeCell ref="A953:J953"/>
    <mergeCell ref="K953:L953"/>
    <mergeCell ref="A946:J946"/>
    <mergeCell ref="K946:L946"/>
    <mergeCell ref="A947:L947"/>
    <mergeCell ref="A948:C948"/>
    <mergeCell ref="A949:J949"/>
    <mergeCell ref="K949:L949"/>
    <mergeCell ref="A943:J943"/>
    <mergeCell ref="K943:L943"/>
    <mergeCell ref="A944:L944"/>
    <mergeCell ref="A945:E945"/>
    <mergeCell ref="I945:J945"/>
    <mergeCell ref="K945:L945"/>
    <mergeCell ref="A941:E941"/>
    <mergeCell ref="I941:J941"/>
    <mergeCell ref="K941:L941"/>
    <mergeCell ref="A942:E942"/>
    <mergeCell ref="I942:J942"/>
    <mergeCell ref="K942:L942"/>
    <mergeCell ref="A939:E939"/>
    <mergeCell ref="I939:J939"/>
    <mergeCell ref="K939:L939"/>
    <mergeCell ref="A940:E940"/>
    <mergeCell ref="I940:J940"/>
    <mergeCell ref="K940:L940"/>
    <mergeCell ref="A937:E937"/>
    <mergeCell ref="I937:J937"/>
    <mergeCell ref="K937:L937"/>
    <mergeCell ref="A938:E938"/>
    <mergeCell ref="I938:J938"/>
    <mergeCell ref="K938:L938"/>
    <mergeCell ref="A934:J934"/>
    <mergeCell ref="K934:L934"/>
    <mergeCell ref="A935:L935"/>
    <mergeCell ref="A936:E936"/>
    <mergeCell ref="I936:J936"/>
    <mergeCell ref="K936:L936"/>
    <mergeCell ref="A930:J930"/>
    <mergeCell ref="K930:L930"/>
    <mergeCell ref="A931:L931"/>
    <mergeCell ref="A932:J932"/>
    <mergeCell ref="K932:L932"/>
    <mergeCell ref="A933:J933"/>
    <mergeCell ref="K933:L933"/>
    <mergeCell ref="A928:C928"/>
    <mergeCell ref="E928:F928"/>
    <mergeCell ref="J928:L928"/>
    <mergeCell ref="A929:C929"/>
    <mergeCell ref="E929:F929"/>
    <mergeCell ref="J929:L929"/>
    <mergeCell ref="A925:C925"/>
    <mergeCell ref="I925:J925"/>
    <mergeCell ref="K925:L925"/>
    <mergeCell ref="A926:J926"/>
    <mergeCell ref="K926:L926"/>
    <mergeCell ref="A927:L927"/>
    <mergeCell ref="A923:C923"/>
    <mergeCell ref="I923:J923"/>
    <mergeCell ref="K923:L923"/>
    <mergeCell ref="A924:C924"/>
    <mergeCell ref="I924:J924"/>
    <mergeCell ref="K924:L924"/>
    <mergeCell ref="A919:L919"/>
    <mergeCell ref="A920:C920"/>
    <mergeCell ref="K920:L920"/>
    <mergeCell ref="A921:J921"/>
    <mergeCell ref="K921:L921"/>
    <mergeCell ref="A922:L922"/>
    <mergeCell ref="A915:L915"/>
    <mergeCell ref="B916:L916"/>
    <mergeCell ref="B917:J917"/>
    <mergeCell ref="B918:C918"/>
    <mergeCell ref="D918:E918"/>
    <mergeCell ref="F918:G918"/>
    <mergeCell ref="I918:J918"/>
    <mergeCell ref="A911:L911"/>
    <mergeCell ref="A912:J912"/>
    <mergeCell ref="K912:L912"/>
    <mergeCell ref="A913:J913"/>
    <mergeCell ref="K913:L913"/>
    <mergeCell ref="A914:J914"/>
    <mergeCell ref="K914:L914"/>
    <mergeCell ref="A907:J907"/>
    <mergeCell ref="K907:L907"/>
    <mergeCell ref="A908:L908"/>
    <mergeCell ref="A909:C909"/>
    <mergeCell ref="A910:J910"/>
    <mergeCell ref="K910:L910"/>
    <mergeCell ref="A904:L904"/>
    <mergeCell ref="A905:E905"/>
    <mergeCell ref="I905:J905"/>
    <mergeCell ref="K905:L905"/>
    <mergeCell ref="A906:E906"/>
    <mergeCell ref="I906:J906"/>
    <mergeCell ref="K906:L906"/>
    <mergeCell ref="A901:L901"/>
    <mergeCell ref="A902:E902"/>
    <mergeCell ref="I902:J902"/>
    <mergeCell ref="K902:L902"/>
    <mergeCell ref="A903:J903"/>
    <mergeCell ref="K903:L903"/>
    <mergeCell ref="A898:J898"/>
    <mergeCell ref="K898:L898"/>
    <mergeCell ref="A899:J899"/>
    <mergeCell ref="K899:L899"/>
    <mergeCell ref="A900:J900"/>
    <mergeCell ref="K900:L900"/>
    <mergeCell ref="A895:C895"/>
    <mergeCell ref="E895:F895"/>
    <mergeCell ref="J895:L895"/>
    <mergeCell ref="A896:J896"/>
    <mergeCell ref="K896:L896"/>
    <mergeCell ref="A897:L897"/>
    <mergeCell ref="A892:C892"/>
    <mergeCell ref="I892:J892"/>
    <mergeCell ref="K892:L892"/>
    <mergeCell ref="A893:J893"/>
    <mergeCell ref="K893:L893"/>
    <mergeCell ref="A894:L894"/>
    <mergeCell ref="A888:L888"/>
    <mergeCell ref="A889:C889"/>
    <mergeCell ref="K889:L889"/>
    <mergeCell ref="A890:J890"/>
    <mergeCell ref="K890:L890"/>
    <mergeCell ref="A891:L891"/>
    <mergeCell ref="A884:L884"/>
    <mergeCell ref="B885:L885"/>
    <mergeCell ref="B886:J886"/>
    <mergeCell ref="B887:C887"/>
    <mergeCell ref="D887:E887"/>
    <mergeCell ref="F887:G887"/>
    <mergeCell ref="I887:J887"/>
    <mergeCell ref="A880:L880"/>
    <mergeCell ref="A881:J881"/>
    <mergeCell ref="K881:L881"/>
    <mergeCell ref="A882:J882"/>
    <mergeCell ref="K882:L882"/>
    <mergeCell ref="A883:J883"/>
    <mergeCell ref="K883:L883"/>
    <mergeCell ref="A876:J876"/>
    <mergeCell ref="K876:L876"/>
    <mergeCell ref="A877:L877"/>
    <mergeCell ref="A878:C878"/>
    <mergeCell ref="A879:J879"/>
    <mergeCell ref="K879:L879"/>
    <mergeCell ref="A874:E874"/>
    <mergeCell ref="I874:J874"/>
    <mergeCell ref="K874:L874"/>
    <mergeCell ref="A875:E875"/>
    <mergeCell ref="I875:J875"/>
    <mergeCell ref="K875:L875"/>
    <mergeCell ref="A871:E871"/>
    <mergeCell ref="I871:J871"/>
    <mergeCell ref="K871:L871"/>
    <mergeCell ref="A872:J872"/>
    <mergeCell ref="K872:L872"/>
    <mergeCell ref="A873:L873"/>
    <mergeCell ref="A868:J868"/>
    <mergeCell ref="K868:L868"/>
    <mergeCell ref="A869:L869"/>
    <mergeCell ref="A870:E870"/>
    <mergeCell ref="I870:J870"/>
    <mergeCell ref="K870:L870"/>
    <mergeCell ref="A864:J864"/>
    <mergeCell ref="K864:L864"/>
    <mergeCell ref="A865:L865"/>
    <mergeCell ref="A866:J866"/>
    <mergeCell ref="K866:L866"/>
    <mergeCell ref="A867:J867"/>
    <mergeCell ref="K867:L867"/>
    <mergeCell ref="A861:J861"/>
    <mergeCell ref="K861:L861"/>
    <mergeCell ref="A862:L862"/>
    <mergeCell ref="A863:C863"/>
    <mergeCell ref="E863:F863"/>
    <mergeCell ref="J863:L863"/>
    <mergeCell ref="A857:C857"/>
    <mergeCell ref="K857:L857"/>
    <mergeCell ref="A858:J858"/>
    <mergeCell ref="K858:L858"/>
    <mergeCell ref="A859:L859"/>
    <mergeCell ref="A860:C860"/>
    <mergeCell ref="I860:J860"/>
    <mergeCell ref="K860:L860"/>
    <mergeCell ref="B854:J854"/>
    <mergeCell ref="B855:C855"/>
    <mergeCell ref="D855:E855"/>
    <mergeCell ref="F855:G855"/>
    <mergeCell ref="I855:J855"/>
    <mergeCell ref="A856:L856"/>
    <mergeCell ref="A850:J850"/>
    <mergeCell ref="K850:L850"/>
    <mergeCell ref="A851:J851"/>
    <mergeCell ref="K851:L851"/>
    <mergeCell ref="A852:L852"/>
    <mergeCell ref="B853:L853"/>
    <mergeCell ref="A846:C846"/>
    <mergeCell ref="A847:J847"/>
    <mergeCell ref="K847:L847"/>
    <mergeCell ref="A848:L848"/>
    <mergeCell ref="A849:J849"/>
    <mergeCell ref="K849:L849"/>
    <mergeCell ref="A843:E843"/>
    <mergeCell ref="I843:J843"/>
    <mergeCell ref="K843:L843"/>
    <mergeCell ref="A844:J844"/>
    <mergeCell ref="K844:L844"/>
    <mergeCell ref="A845:L845"/>
    <mergeCell ref="A841:E841"/>
    <mergeCell ref="I841:J841"/>
    <mergeCell ref="K841:L841"/>
    <mergeCell ref="A842:E842"/>
    <mergeCell ref="I842:J842"/>
    <mergeCell ref="K842:L842"/>
    <mergeCell ref="A838:J838"/>
    <mergeCell ref="K838:L838"/>
    <mergeCell ref="A839:L839"/>
    <mergeCell ref="A840:E840"/>
    <mergeCell ref="I840:J840"/>
    <mergeCell ref="K840:L840"/>
    <mergeCell ref="A836:E836"/>
    <mergeCell ref="I836:J836"/>
    <mergeCell ref="K836:L836"/>
    <mergeCell ref="A837:E837"/>
    <mergeCell ref="I837:J837"/>
    <mergeCell ref="K837:L837"/>
    <mergeCell ref="A833:J833"/>
    <mergeCell ref="K833:L833"/>
    <mergeCell ref="A834:L834"/>
    <mergeCell ref="A835:E835"/>
    <mergeCell ref="I835:J835"/>
    <mergeCell ref="K835:L835"/>
    <mergeCell ref="A829:J829"/>
    <mergeCell ref="K829:L829"/>
    <mergeCell ref="A830:L830"/>
    <mergeCell ref="A831:J831"/>
    <mergeCell ref="K831:L831"/>
    <mergeCell ref="A832:J832"/>
    <mergeCell ref="K832:L832"/>
    <mergeCell ref="A826:J826"/>
    <mergeCell ref="K826:L826"/>
    <mergeCell ref="A827:L827"/>
    <mergeCell ref="A828:C828"/>
    <mergeCell ref="E828:F828"/>
    <mergeCell ref="J828:L828"/>
    <mergeCell ref="A824:C824"/>
    <mergeCell ref="I824:J824"/>
    <mergeCell ref="K824:L824"/>
    <mergeCell ref="A825:C825"/>
    <mergeCell ref="I825:J825"/>
    <mergeCell ref="K825:L825"/>
    <mergeCell ref="A820:L820"/>
    <mergeCell ref="A821:C821"/>
    <mergeCell ref="K821:L821"/>
    <mergeCell ref="A822:J822"/>
    <mergeCell ref="K822:L822"/>
    <mergeCell ref="A823:L823"/>
    <mergeCell ref="A816:L816"/>
    <mergeCell ref="B817:L817"/>
    <mergeCell ref="B818:J818"/>
    <mergeCell ref="B819:C819"/>
    <mergeCell ref="D819:E819"/>
    <mergeCell ref="F819:G819"/>
    <mergeCell ref="I819:J819"/>
    <mergeCell ref="A812:L812"/>
    <mergeCell ref="A813:J813"/>
    <mergeCell ref="K813:L813"/>
    <mergeCell ref="A814:J814"/>
    <mergeCell ref="K814:L814"/>
    <mergeCell ref="A815:J815"/>
    <mergeCell ref="K815:L815"/>
    <mergeCell ref="A808:J808"/>
    <mergeCell ref="K808:L808"/>
    <mergeCell ref="A809:L809"/>
    <mergeCell ref="A810:C810"/>
    <mergeCell ref="A811:J811"/>
    <mergeCell ref="K811:L811"/>
    <mergeCell ref="A805:J805"/>
    <mergeCell ref="K805:L805"/>
    <mergeCell ref="A806:L806"/>
    <mergeCell ref="A807:E807"/>
    <mergeCell ref="I807:J807"/>
    <mergeCell ref="K807:L807"/>
    <mergeCell ref="A803:E803"/>
    <mergeCell ref="I803:J803"/>
    <mergeCell ref="K803:L803"/>
    <mergeCell ref="A804:E804"/>
    <mergeCell ref="I804:J804"/>
    <mergeCell ref="K804:L804"/>
    <mergeCell ref="A801:E801"/>
    <mergeCell ref="I801:J801"/>
    <mergeCell ref="K801:L801"/>
    <mergeCell ref="A802:E802"/>
    <mergeCell ref="I802:J802"/>
    <mergeCell ref="K802:L802"/>
    <mergeCell ref="A799:E799"/>
    <mergeCell ref="I799:J799"/>
    <mergeCell ref="K799:L799"/>
    <mergeCell ref="A800:E800"/>
    <mergeCell ref="I800:J800"/>
    <mergeCell ref="K800:L800"/>
    <mergeCell ref="A796:J796"/>
    <mergeCell ref="K796:L796"/>
    <mergeCell ref="A797:L797"/>
    <mergeCell ref="A798:E798"/>
    <mergeCell ref="I798:J798"/>
    <mergeCell ref="K798:L798"/>
    <mergeCell ref="A792:J792"/>
    <mergeCell ref="K792:L792"/>
    <mergeCell ref="A793:L793"/>
    <mergeCell ref="A794:J794"/>
    <mergeCell ref="K794:L794"/>
    <mergeCell ref="A795:J795"/>
    <mergeCell ref="K795:L795"/>
    <mergeCell ref="A789:J789"/>
    <mergeCell ref="K789:L789"/>
    <mergeCell ref="A790:L790"/>
    <mergeCell ref="A791:C791"/>
    <mergeCell ref="E791:F791"/>
    <mergeCell ref="J791:L791"/>
    <mergeCell ref="A787:C787"/>
    <mergeCell ref="I787:J787"/>
    <mergeCell ref="K787:L787"/>
    <mergeCell ref="A788:C788"/>
    <mergeCell ref="I788:J788"/>
    <mergeCell ref="K788:L788"/>
    <mergeCell ref="A783:C783"/>
    <mergeCell ref="K783:L783"/>
    <mergeCell ref="A784:J784"/>
    <mergeCell ref="K784:L784"/>
    <mergeCell ref="A785:L785"/>
    <mergeCell ref="A786:C786"/>
    <mergeCell ref="I786:J786"/>
    <mergeCell ref="K786:L786"/>
    <mergeCell ref="B780:J780"/>
    <mergeCell ref="B781:C781"/>
    <mergeCell ref="D781:E781"/>
    <mergeCell ref="F781:G781"/>
    <mergeCell ref="I781:J781"/>
    <mergeCell ref="A782:L782"/>
    <mergeCell ref="A776:J776"/>
    <mergeCell ref="K776:L776"/>
    <mergeCell ref="A777:J777"/>
    <mergeCell ref="K777:L777"/>
    <mergeCell ref="A778:L778"/>
    <mergeCell ref="B779:L779"/>
    <mergeCell ref="A772:C772"/>
    <mergeCell ref="A773:J773"/>
    <mergeCell ref="K773:L773"/>
    <mergeCell ref="A774:L774"/>
    <mergeCell ref="A775:J775"/>
    <mergeCell ref="K775:L775"/>
    <mergeCell ref="A769:E769"/>
    <mergeCell ref="I769:J769"/>
    <mergeCell ref="K769:L769"/>
    <mergeCell ref="A770:J770"/>
    <mergeCell ref="K770:L770"/>
    <mergeCell ref="A771:L771"/>
    <mergeCell ref="A766:J766"/>
    <mergeCell ref="K766:L766"/>
    <mergeCell ref="A767:L767"/>
    <mergeCell ref="A768:E768"/>
    <mergeCell ref="I768:J768"/>
    <mergeCell ref="K768:L768"/>
    <mergeCell ref="A763:L763"/>
    <mergeCell ref="A764:E764"/>
    <mergeCell ref="I764:J764"/>
    <mergeCell ref="K764:L764"/>
    <mergeCell ref="A765:E765"/>
    <mergeCell ref="I765:J765"/>
    <mergeCell ref="K765:L765"/>
    <mergeCell ref="A760:J760"/>
    <mergeCell ref="K760:L760"/>
    <mergeCell ref="A761:J761"/>
    <mergeCell ref="K761:L761"/>
    <mergeCell ref="A762:J762"/>
    <mergeCell ref="K762:L762"/>
    <mergeCell ref="A757:C757"/>
    <mergeCell ref="E757:F757"/>
    <mergeCell ref="J757:L757"/>
    <mergeCell ref="A758:J758"/>
    <mergeCell ref="K758:L758"/>
    <mergeCell ref="A759:L759"/>
    <mergeCell ref="A754:C754"/>
    <mergeCell ref="I754:J754"/>
    <mergeCell ref="K754:L754"/>
    <mergeCell ref="A755:J755"/>
    <mergeCell ref="K755:L755"/>
    <mergeCell ref="A756:L756"/>
    <mergeCell ref="A752:C752"/>
    <mergeCell ref="I752:J752"/>
    <mergeCell ref="K752:L752"/>
    <mergeCell ref="A753:C753"/>
    <mergeCell ref="I753:J753"/>
    <mergeCell ref="K753:L753"/>
    <mergeCell ref="A748:L748"/>
    <mergeCell ref="A749:C749"/>
    <mergeCell ref="K749:L749"/>
    <mergeCell ref="A750:J750"/>
    <mergeCell ref="K750:L750"/>
    <mergeCell ref="A751:L751"/>
    <mergeCell ref="A744:L744"/>
    <mergeCell ref="B745:L745"/>
    <mergeCell ref="B746:J746"/>
    <mergeCell ref="B747:C747"/>
    <mergeCell ref="D747:E747"/>
    <mergeCell ref="F747:G747"/>
    <mergeCell ref="I747:J747"/>
    <mergeCell ref="A740:L740"/>
    <mergeCell ref="A741:J741"/>
    <mergeCell ref="K741:L741"/>
    <mergeCell ref="A742:J742"/>
    <mergeCell ref="K742:L742"/>
    <mergeCell ref="A743:J743"/>
    <mergeCell ref="K743:L743"/>
    <mergeCell ref="A736:J736"/>
    <mergeCell ref="K736:L736"/>
    <mergeCell ref="A737:L737"/>
    <mergeCell ref="A738:C738"/>
    <mergeCell ref="A739:J739"/>
    <mergeCell ref="K739:L739"/>
    <mergeCell ref="A734:E734"/>
    <mergeCell ref="I734:J734"/>
    <mergeCell ref="K734:L734"/>
    <mergeCell ref="A735:E735"/>
    <mergeCell ref="I735:J735"/>
    <mergeCell ref="K735:L735"/>
    <mergeCell ref="A732:E732"/>
    <mergeCell ref="I732:J732"/>
    <mergeCell ref="K732:L732"/>
    <mergeCell ref="A733:E733"/>
    <mergeCell ref="I733:J733"/>
    <mergeCell ref="K733:L733"/>
    <mergeCell ref="A729:E729"/>
    <mergeCell ref="I729:J729"/>
    <mergeCell ref="K729:L729"/>
    <mergeCell ref="A730:J730"/>
    <mergeCell ref="K730:L730"/>
    <mergeCell ref="A731:L731"/>
    <mergeCell ref="A726:L726"/>
    <mergeCell ref="A727:E727"/>
    <mergeCell ref="I727:J727"/>
    <mergeCell ref="K727:L727"/>
    <mergeCell ref="A728:E728"/>
    <mergeCell ref="I728:J728"/>
    <mergeCell ref="K728:L728"/>
    <mergeCell ref="A723:J723"/>
    <mergeCell ref="K723:L723"/>
    <mergeCell ref="A724:J724"/>
    <mergeCell ref="K724:L724"/>
    <mergeCell ref="A725:J725"/>
    <mergeCell ref="K725:L725"/>
    <mergeCell ref="A720:C720"/>
    <mergeCell ref="E720:F720"/>
    <mergeCell ref="J720:L720"/>
    <mergeCell ref="A721:J721"/>
    <mergeCell ref="K721:L721"/>
    <mergeCell ref="A722:L722"/>
    <mergeCell ref="A717:C717"/>
    <mergeCell ref="I717:J717"/>
    <mergeCell ref="K717:L717"/>
    <mergeCell ref="A718:J718"/>
    <mergeCell ref="K718:L718"/>
    <mergeCell ref="A719:L719"/>
    <mergeCell ref="A715:C715"/>
    <mergeCell ref="I715:J715"/>
    <mergeCell ref="K715:L715"/>
    <mergeCell ref="A716:C716"/>
    <mergeCell ref="I716:J716"/>
    <mergeCell ref="K716:L716"/>
    <mergeCell ref="A711:L711"/>
    <mergeCell ref="A712:C712"/>
    <mergeCell ref="K712:L712"/>
    <mergeCell ref="A713:J713"/>
    <mergeCell ref="K713:L713"/>
    <mergeCell ref="A714:L714"/>
    <mergeCell ref="A707:L707"/>
    <mergeCell ref="B708:L708"/>
    <mergeCell ref="B709:J709"/>
    <mergeCell ref="B710:C710"/>
    <mergeCell ref="D710:E710"/>
    <mergeCell ref="F710:G710"/>
    <mergeCell ref="I710:J710"/>
    <mergeCell ref="A703:L703"/>
    <mergeCell ref="A704:J704"/>
    <mergeCell ref="K704:L704"/>
    <mergeCell ref="A705:J705"/>
    <mergeCell ref="K705:L705"/>
    <mergeCell ref="A706:J706"/>
    <mergeCell ref="K706:L706"/>
    <mergeCell ref="A699:J699"/>
    <mergeCell ref="K699:L699"/>
    <mergeCell ref="A700:L700"/>
    <mergeCell ref="A701:C701"/>
    <mergeCell ref="A702:J702"/>
    <mergeCell ref="K702:L702"/>
    <mergeCell ref="A696:J696"/>
    <mergeCell ref="K696:L696"/>
    <mergeCell ref="A697:L697"/>
    <mergeCell ref="A698:E698"/>
    <mergeCell ref="I698:J698"/>
    <mergeCell ref="K698:L698"/>
    <mergeCell ref="A693:L693"/>
    <mergeCell ref="A694:E694"/>
    <mergeCell ref="I694:J694"/>
    <mergeCell ref="K694:L694"/>
    <mergeCell ref="A695:E695"/>
    <mergeCell ref="I695:J695"/>
    <mergeCell ref="K695:L695"/>
    <mergeCell ref="A690:J690"/>
    <mergeCell ref="K690:L690"/>
    <mergeCell ref="A691:J691"/>
    <mergeCell ref="K691:L691"/>
    <mergeCell ref="A692:J692"/>
    <mergeCell ref="K692:L692"/>
    <mergeCell ref="A687:C687"/>
    <mergeCell ref="E687:F687"/>
    <mergeCell ref="J687:L687"/>
    <mergeCell ref="A688:J688"/>
    <mergeCell ref="K688:L688"/>
    <mergeCell ref="A689:L689"/>
    <mergeCell ref="A684:C684"/>
    <mergeCell ref="I684:J684"/>
    <mergeCell ref="K684:L684"/>
    <mergeCell ref="A685:J685"/>
    <mergeCell ref="K685:L685"/>
    <mergeCell ref="A686:L686"/>
    <mergeCell ref="A680:C680"/>
    <mergeCell ref="K680:L680"/>
    <mergeCell ref="A681:J681"/>
    <mergeCell ref="K681:L681"/>
    <mergeCell ref="A682:L682"/>
    <mergeCell ref="A683:C683"/>
    <mergeCell ref="I683:J683"/>
    <mergeCell ref="K683:L683"/>
    <mergeCell ref="B677:J677"/>
    <mergeCell ref="B678:C678"/>
    <mergeCell ref="D678:E678"/>
    <mergeCell ref="F678:G678"/>
    <mergeCell ref="I678:J678"/>
    <mergeCell ref="A679:L679"/>
    <mergeCell ref="A673:J673"/>
    <mergeCell ref="K673:L673"/>
    <mergeCell ref="A674:J674"/>
    <mergeCell ref="K674:L674"/>
    <mergeCell ref="A675:L675"/>
    <mergeCell ref="B676:L676"/>
    <mergeCell ref="A668:L668"/>
    <mergeCell ref="A669:C669"/>
    <mergeCell ref="A670:J670"/>
    <mergeCell ref="K670:L670"/>
    <mergeCell ref="A671:L671"/>
    <mergeCell ref="A672:J672"/>
    <mergeCell ref="K672:L672"/>
    <mergeCell ref="A665:L665"/>
    <mergeCell ref="A666:E666"/>
    <mergeCell ref="I666:J666"/>
    <mergeCell ref="K666:L666"/>
    <mergeCell ref="A667:J667"/>
    <mergeCell ref="K667:L667"/>
    <mergeCell ref="A662:L662"/>
    <mergeCell ref="A663:E663"/>
    <mergeCell ref="I663:J663"/>
    <mergeCell ref="K663:L663"/>
    <mergeCell ref="A664:J664"/>
    <mergeCell ref="K664:L664"/>
    <mergeCell ref="A659:J659"/>
    <mergeCell ref="K659:L659"/>
    <mergeCell ref="A660:J660"/>
    <mergeCell ref="K660:L660"/>
    <mergeCell ref="A661:J661"/>
    <mergeCell ref="K661:L661"/>
    <mergeCell ref="A656:C656"/>
    <mergeCell ref="E656:F656"/>
    <mergeCell ref="J656:L656"/>
    <mergeCell ref="A657:J657"/>
    <mergeCell ref="K657:L657"/>
    <mergeCell ref="A658:L658"/>
    <mergeCell ref="A653:C653"/>
    <mergeCell ref="I653:J653"/>
    <mergeCell ref="K653:L653"/>
    <mergeCell ref="A654:J654"/>
    <mergeCell ref="K654:L654"/>
    <mergeCell ref="A655:L655"/>
    <mergeCell ref="A649:C649"/>
    <mergeCell ref="K649:L649"/>
    <mergeCell ref="A650:J650"/>
    <mergeCell ref="K650:L650"/>
    <mergeCell ref="A651:L651"/>
    <mergeCell ref="A652:C652"/>
    <mergeCell ref="I652:J652"/>
    <mergeCell ref="K652:L652"/>
    <mergeCell ref="B646:J646"/>
    <mergeCell ref="B647:C647"/>
    <mergeCell ref="D647:E647"/>
    <mergeCell ref="F647:G647"/>
    <mergeCell ref="I647:J647"/>
    <mergeCell ref="A648:L648"/>
    <mergeCell ref="A642:J642"/>
    <mergeCell ref="K642:L642"/>
    <mergeCell ref="A643:J643"/>
    <mergeCell ref="K643:L643"/>
    <mergeCell ref="A644:L644"/>
    <mergeCell ref="B645:L645"/>
    <mergeCell ref="A637:L637"/>
    <mergeCell ref="A638:C638"/>
    <mergeCell ref="A639:J639"/>
    <mergeCell ref="K639:L639"/>
    <mergeCell ref="A640:L640"/>
    <mergeCell ref="A641:J641"/>
    <mergeCell ref="K641:L641"/>
    <mergeCell ref="A634:L634"/>
    <mergeCell ref="A635:E635"/>
    <mergeCell ref="I635:J635"/>
    <mergeCell ref="K635:L635"/>
    <mergeCell ref="A636:J636"/>
    <mergeCell ref="K636:L636"/>
    <mergeCell ref="A631:L631"/>
    <mergeCell ref="A632:E632"/>
    <mergeCell ref="I632:J632"/>
    <mergeCell ref="K632:L632"/>
    <mergeCell ref="A633:J633"/>
    <mergeCell ref="K633:L633"/>
    <mergeCell ref="A628:J628"/>
    <mergeCell ref="K628:L628"/>
    <mergeCell ref="A629:J629"/>
    <mergeCell ref="K629:L629"/>
    <mergeCell ref="A630:J630"/>
    <mergeCell ref="K630:L630"/>
    <mergeCell ref="A625:C625"/>
    <mergeCell ref="E625:F625"/>
    <mergeCell ref="J625:L625"/>
    <mergeCell ref="A626:J626"/>
    <mergeCell ref="K626:L626"/>
    <mergeCell ref="A627:L627"/>
    <mergeCell ref="A622:C622"/>
    <mergeCell ref="I622:J622"/>
    <mergeCell ref="K622:L622"/>
    <mergeCell ref="A623:J623"/>
    <mergeCell ref="K623:L623"/>
    <mergeCell ref="A624:L624"/>
    <mergeCell ref="A618:C618"/>
    <mergeCell ref="K618:L618"/>
    <mergeCell ref="A619:J619"/>
    <mergeCell ref="K619:L619"/>
    <mergeCell ref="A620:L620"/>
    <mergeCell ref="A621:C621"/>
    <mergeCell ref="I621:J621"/>
    <mergeCell ref="K621:L621"/>
    <mergeCell ref="B615:J615"/>
    <mergeCell ref="B616:C616"/>
    <mergeCell ref="D616:E616"/>
    <mergeCell ref="F616:G616"/>
    <mergeCell ref="I616:J616"/>
    <mergeCell ref="A617:L617"/>
    <mergeCell ref="A611:J611"/>
    <mergeCell ref="K611:L611"/>
    <mergeCell ref="A612:J612"/>
    <mergeCell ref="K612:L612"/>
    <mergeCell ref="A613:L613"/>
    <mergeCell ref="B614:L614"/>
    <mergeCell ref="A606:L606"/>
    <mergeCell ref="A607:C607"/>
    <mergeCell ref="A608:J608"/>
    <mergeCell ref="K608:L608"/>
    <mergeCell ref="A609:L609"/>
    <mergeCell ref="A610:J610"/>
    <mergeCell ref="K610:L610"/>
    <mergeCell ref="A603:L603"/>
    <mergeCell ref="A604:E604"/>
    <mergeCell ref="I604:J604"/>
    <mergeCell ref="K604:L604"/>
    <mergeCell ref="A605:J605"/>
    <mergeCell ref="K605:L605"/>
    <mergeCell ref="A600:L600"/>
    <mergeCell ref="A601:E601"/>
    <mergeCell ref="I601:J601"/>
    <mergeCell ref="K601:L601"/>
    <mergeCell ref="A602:J602"/>
    <mergeCell ref="K602:L602"/>
    <mergeCell ref="A597:J597"/>
    <mergeCell ref="K597:L597"/>
    <mergeCell ref="A598:J598"/>
    <mergeCell ref="K598:L598"/>
    <mergeCell ref="A599:J599"/>
    <mergeCell ref="K599:L599"/>
    <mergeCell ref="A594:C594"/>
    <mergeCell ref="E594:F594"/>
    <mergeCell ref="J594:L594"/>
    <mergeCell ref="A595:J595"/>
    <mergeCell ref="K595:L595"/>
    <mergeCell ref="A596:L596"/>
    <mergeCell ref="A591:C591"/>
    <mergeCell ref="I591:J591"/>
    <mergeCell ref="K591:L591"/>
    <mergeCell ref="A592:J592"/>
    <mergeCell ref="K592:L592"/>
    <mergeCell ref="A593:L593"/>
    <mergeCell ref="A587:C587"/>
    <mergeCell ref="K587:L587"/>
    <mergeCell ref="A588:J588"/>
    <mergeCell ref="K588:L588"/>
    <mergeCell ref="A589:L589"/>
    <mergeCell ref="A590:C590"/>
    <mergeCell ref="I590:J590"/>
    <mergeCell ref="K590:L590"/>
    <mergeCell ref="B584:J584"/>
    <mergeCell ref="B585:C585"/>
    <mergeCell ref="D585:E585"/>
    <mergeCell ref="F585:G585"/>
    <mergeCell ref="I585:J585"/>
    <mergeCell ref="A586:L586"/>
    <mergeCell ref="A580:J580"/>
    <mergeCell ref="K580:L580"/>
    <mergeCell ref="A581:J581"/>
    <mergeCell ref="K581:L581"/>
    <mergeCell ref="A582:L582"/>
    <mergeCell ref="B583:L583"/>
    <mergeCell ref="A576:C576"/>
    <mergeCell ref="A577:J577"/>
    <mergeCell ref="K577:L577"/>
    <mergeCell ref="A578:L578"/>
    <mergeCell ref="A579:J579"/>
    <mergeCell ref="K579:L579"/>
    <mergeCell ref="A573:E573"/>
    <mergeCell ref="I573:J573"/>
    <mergeCell ref="K573:L573"/>
    <mergeCell ref="A574:J574"/>
    <mergeCell ref="K574:L574"/>
    <mergeCell ref="A575:L575"/>
    <mergeCell ref="A570:E570"/>
    <mergeCell ref="I570:J570"/>
    <mergeCell ref="K570:L570"/>
    <mergeCell ref="A571:J571"/>
    <mergeCell ref="K571:L571"/>
    <mergeCell ref="A572:L572"/>
    <mergeCell ref="A567:J567"/>
    <mergeCell ref="K567:L567"/>
    <mergeCell ref="A568:L568"/>
    <mergeCell ref="A569:E569"/>
    <mergeCell ref="I569:J569"/>
    <mergeCell ref="K569:L569"/>
    <mergeCell ref="A563:J563"/>
    <mergeCell ref="K563:L563"/>
    <mergeCell ref="A564:L564"/>
    <mergeCell ref="A565:J565"/>
    <mergeCell ref="K565:L565"/>
    <mergeCell ref="A566:J566"/>
    <mergeCell ref="K566:L566"/>
    <mergeCell ref="A560:J560"/>
    <mergeCell ref="K560:L560"/>
    <mergeCell ref="A561:L561"/>
    <mergeCell ref="A562:C562"/>
    <mergeCell ref="E562:F562"/>
    <mergeCell ref="J562:L562"/>
    <mergeCell ref="A556:C556"/>
    <mergeCell ref="K556:L556"/>
    <mergeCell ref="A557:J557"/>
    <mergeCell ref="K557:L557"/>
    <mergeCell ref="A558:L558"/>
    <mergeCell ref="A559:C559"/>
    <mergeCell ref="I559:J559"/>
    <mergeCell ref="K559:L559"/>
    <mergeCell ref="B553:J553"/>
    <mergeCell ref="B554:C554"/>
    <mergeCell ref="D554:E554"/>
    <mergeCell ref="F554:G554"/>
    <mergeCell ref="I554:J554"/>
    <mergeCell ref="A555:L555"/>
    <mergeCell ref="A549:J549"/>
    <mergeCell ref="K549:L549"/>
    <mergeCell ref="A550:J550"/>
    <mergeCell ref="K550:L550"/>
    <mergeCell ref="A551:L551"/>
    <mergeCell ref="B552:L552"/>
    <mergeCell ref="A544:L544"/>
    <mergeCell ref="A545:C545"/>
    <mergeCell ref="A546:J546"/>
    <mergeCell ref="K546:L546"/>
    <mergeCell ref="A547:L547"/>
    <mergeCell ref="A548:J548"/>
    <mergeCell ref="K548:L548"/>
    <mergeCell ref="A541:L541"/>
    <mergeCell ref="A542:E542"/>
    <mergeCell ref="I542:J542"/>
    <mergeCell ref="K542:L542"/>
    <mergeCell ref="A543:J543"/>
    <mergeCell ref="K543:L543"/>
    <mergeCell ref="A538:L538"/>
    <mergeCell ref="A539:E539"/>
    <mergeCell ref="I539:J539"/>
    <mergeCell ref="K539:L539"/>
    <mergeCell ref="A540:J540"/>
    <mergeCell ref="K540:L540"/>
    <mergeCell ref="A535:J535"/>
    <mergeCell ref="K535:L535"/>
    <mergeCell ref="A536:J536"/>
    <mergeCell ref="K536:L536"/>
    <mergeCell ref="A537:J537"/>
    <mergeCell ref="K537:L537"/>
    <mergeCell ref="A532:C532"/>
    <mergeCell ref="E532:F532"/>
    <mergeCell ref="J532:L532"/>
    <mergeCell ref="A533:J533"/>
    <mergeCell ref="K533:L533"/>
    <mergeCell ref="A534:L534"/>
    <mergeCell ref="A529:C529"/>
    <mergeCell ref="I529:J529"/>
    <mergeCell ref="K529:L529"/>
    <mergeCell ref="A530:J530"/>
    <mergeCell ref="K530:L530"/>
    <mergeCell ref="A531:L531"/>
    <mergeCell ref="A527:C527"/>
    <mergeCell ref="I527:J527"/>
    <mergeCell ref="K527:L527"/>
    <mergeCell ref="A528:C528"/>
    <mergeCell ref="I528:J528"/>
    <mergeCell ref="K528:L528"/>
    <mergeCell ref="A523:L523"/>
    <mergeCell ref="A524:C524"/>
    <mergeCell ref="K524:L524"/>
    <mergeCell ref="A525:J525"/>
    <mergeCell ref="K525:L525"/>
    <mergeCell ref="A526:L526"/>
    <mergeCell ref="A519:L519"/>
    <mergeCell ref="B520:L520"/>
    <mergeCell ref="B521:J521"/>
    <mergeCell ref="B522:C522"/>
    <mergeCell ref="D522:E522"/>
    <mergeCell ref="F522:G522"/>
    <mergeCell ref="I522:J522"/>
    <mergeCell ref="A515:L515"/>
    <mergeCell ref="A516:J516"/>
    <mergeCell ref="K516:L516"/>
    <mergeCell ref="A517:J517"/>
    <mergeCell ref="K517:L517"/>
    <mergeCell ref="A518:J518"/>
    <mergeCell ref="K518:L518"/>
    <mergeCell ref="A511:J511"/>
    <mergeCell ref="K511:L511"/>
    <mergeCell ref="A512:L512"/>
    <mergeCell ref="A513:C513"/>
    <mergeCell ref="A514:J514"/>
    <mergeCell ref="K514:L514"/>
    <mergeCell ref="A508:J508"/>
    <mergeCell ref="K508:L508"/>
    <mergeCell ref="A509:L509"/>
    <mergeCell ref="A510:E510"/>
    <mergeCell ref="I510:J510"/>
    <mergeCell ref="K510:L510"/>
    <mergeCell ref="A505:J505"/>
    <mergeCell ref="K505:L505"/>
    <mergeCell ref="A506:L506"/>
    <mergeCell ref="A507:E507"/>
    <mergeCell ref="I507:J507"/>
    <mergeCell ref="K507:L507"/>
    <mergeCell ref="A501:J501"/>
    <mergeCell ref="K501:L501"/>
    <mergeCell ref="A502:L502"/>
    <mergeCell ref="A503:J503"/>
    <mergeCell ref="K503:L503"/>
    <mergeCell ref="A504:J504"/>
    <mergeCell ref="K504:L504"/>
    <mergeCell ref="A498:J498"/>
    <mergeCell ref="K498:L498"/>
    <mergeCell ref="A499:L499"/>
    <mergeCell ref="A500:C500"/>
    <mergeCell ref="E500:F500"/>
    <mergeCell ref="J500:L500"/>
    <mergeCell ref="A496:C496"/>
    <mergeCell ref="I496:J496"/>
    <mergeCell ref="K496:L496"/>
    <mergeCell ref="A497:C497"/>
    <mergeCell ref="I497:J497"/>
    <mergeCell ref="K497:L497"/>
    <mergeCell ref="A492:C492"/>
    <mergeCell ref="K492:L492"/>
    <mergeCell ref="A493:J493"/>
    <mergeCell ref="K493:L493"/>
    <mergeCell ref="A494:L494"/>
    <mergeCell ref="A495:C495"/>
    <mergeCell ref="I495:J495"/>
    <mergeCell ref="K495:L495"/>
    <mergeCell ref="B489:J489"/>
    <mergeCell ref="B490:C490"/>
    <mergeCell ref="D490:E490"/>
    <mergeCell ref="F490:G490"/>
    <mergeCell ref="I490:J490"/>
    <mergeCell ref="A491:L491"/>
    <mergeCell ref="A485:J485"/>
    <mergeCell ref="K485:L485"/>
    <mergeCell ref="A486:J486"/>
    <mergeCell ref="K486:L486"/>
    <mergeCell ref="A487:L487"/>
    <mergeCell ref="B488:L488"/>
    <mergeCell ref="A481:C481"/>
    <mergeCell ref="A482:J482"/>
    <mergeCell ref="K482:L482"/>
    <mergeCell ref="A483:L483"/>
    <mergeCell ref="A484:J484"/>
    <mergeCell ref="K484:L484"/>
    <mergeCell ref="A478:E478"/>
    <mergeCell ref="I478:J478"/>
    <mergeCell ref="K478:L478"/>
    <mergeCell ref="A479:J479"/>
    <mergeCell ref="K479:L479"/>
    <mergeCell ref="A480:L480"/>
    <mergeCell ref="A475:J475"/>
    <mergeCell ref="K475:L475"/>
    <mergeCell ref="A476:L476"/>
    <mergeCell ref="A477:E477"/>
    <mergeCell ref="I477:J477"/>
    <mergeCell ref="K477:L477"/>
    <mergeCell ref="A472:J472"/>
    <mergeCell ref="K472:L472"/>
    <mergeCell ref="A473:L473"/>
    <mergeCell ref="A474:E474"/>
    <mergeCell ref="I474:J474"/>
    <mergeCell ref="K474:L474"/>
    <mergeCell ref="A468:J468"/>
    <mergeCell ref="K468:L468"/>
    <mergeCell ref="A469:L469"/>
    <mergeCell ref="A470:J470"/>
    <mergeCell ref="K470:L470"/>
    <mergeCell ref="A471:J471"/>
    <mergeCell ref="K471:L471"/>
    <mergeCell ref="A465:J465"/>
    <mergeCell ref="K465:L465"/>
    <mergeCell ref="A466:L466"/>
    <mergeCell ref="A467:C467"/>
    <mergeCell ref="E467:F467"/>
    <mergeCell ref="J467:L467"/>
    <mergeCell ref="A461:C461"/>
    <mergeCell ref="K461:L461"/>
    <mergeCell ref="A462:J462"/>
    <mergeCell ref="K462:L462"/>
    <mergeCell ref="A463:L463"/>
    <mergeCell ref="A464:C464"/>
    <mergeCell ref="I464:J464"/>
    <mergeCell ref="K464:L464"/>
    <mergeCell ref="B458:J458"/>
    <mergeCell ref="B459:C459"/>
    <mergeCell ref="D459:E459"/>
    <mergeCell ref="F459:G459"/>
    <mergeCell ref="I459:J459"/>
    <mergeCell ref="A460:L460"/>
    <mergeCell ref="A454:J454"/>
    <mergeCell ref="K454:L454"/>
    <mergeCell ref="A455:J455"/>
    <mergeCell ref="K455:L455"/>
    <mergeCell ref="A456:L456"/>
    <mergeCell ref="B457:L457"/>
    <mergeCell ref="A449:L449"/>
    <mergeCell ref="A450:C450"/>
    <mergeCell ref="A451:J451"/>
    <mergeCell ref="K451:L451"/>
    <mergeCell ref="A452:L452"/>
    <mergeCell ref="A453:J453"/>
    <mergeCell ref="K453:L453"/>
    <mergeCell ref="A446:L446"/>
    <mergeCell ref="A447:E447"/>
    <mergeCell ref="I447:J447"/>
    <mergeCell ref="K447:L447"/>
    <mergeCell ref="A448:J448"/>
    <mergeCell ref="K448:L448"/>
    <mergeCell ref="A443:L443"/>
    <mergeCell ref="A444:E444"/>
    <mergeCell ref="I444:J444"/>
    <mergeCell ref="K444:L444"/>
    <mergeCell ref="A445:J445"/>
    <mergeCell ref="K445:L445"/>
    <mergeCell ref="A440:J440"/>
    <mergeCell ref="K440:L440"/>
    <mergeCell ref="A441:J441"/>
    <mergeCell ref="K441:L441"/>
    <mergeCell ref="A442:J442"/>
    <mergeCell ref="K442:L442"/>
    <mergeCell ref="A437:C437"/>
    <mergeCell ref="E437:F437"/>
    <mergeCell ref="J437:L437"/>
    <mergeCell ref="A438:J438"/>
    <mergeCell ref="K438:L438"/>
    <mergeCell ref="A439:L439"/>
    <mergeCell ref="A434:C434"/>
    <mergeCell ref="I434:J434"/>
    <mergeCell ref="K434:L434"/>
    <mergeCell ref="A435:J435"/>
    <mergeCell ref="K435:L435"/>
    <mergeCell ref="A436:L436"/>
    <mergeCell ref="A432:C432"/>
    <mergeCell ref="I432:J432"/>
    <mergeCell ref="K432:L432"/>
    <mergeCell ref="A433:C433"/>
    <mergeCell ref="I433:J433"/>
    <mergeCell ref="K433:L433"/>
    <mergeCell ref="A428:L428"/>
    <mergeCell ref="A429:C429"/>
    <mergeCell ref="K429:L429"/>
    <mergeCell ref="A430:J430"/>
    <mergeCell ref="K430:L430"/>
    <mergeCell ref="A431:L431"/>
    <mergeCell ref="A424:L424"/>
    <mergeCell ref="B425:L425"/>
    <mergeCell ref="B426:J426"/>
    <mergeCell ref="B427:C427"/>
    <mergeCell ref="D427:E427"/>
    <mergeCell ref="F427:G427"/>
    <mergeCell ref="I427:J427"/>
    <mergeCell ref="A420:L420"/>
    <mergeCell ref="A421:J421"/>
    <mergeCell ref="K421:L421"/>
    <mergeCell ref="A422:J422"/>
    <mergeCell ref="K422:L422"/>
    <mergeCell ref="A423:J423"/>
    <mergeCell ref="K423:L423"/>
    <mergeCell ref="A416:J416"/>
    <mergeCell ref="K416:L416"/>
    <mergeCell ref="A417:L417"/>
    <mergeCell ref="A418:C418"/>
    <mergeCell ref="A419:J419"/>
    <mergeCell ref="K419:L419"/>
    <mergeCell ref="A413:J413"/>
    <mergeCell ref="K413:L413"/>
    <mergeCell ref="A414:L414"/>
    <mergeCell ref="A415:E415"/>
    <mergeCell ref="I415:J415"/>
    <mergeCell ref="K415:L415"/>
    <mergeCell ref="A410:J410"/>
    <mergeCell ref="K410:L410"/>
    <mergeCell ref="A411:L411"/>
    <mergeCell ref="A412:E412"/>
    <mergeCell ref="I412:J412"/>
    <mergeCell ref="K412:L412"/>
    <mergeCell ref="A406:J406"/>
    <mergeCell ref="K406:L406"/>
    <mergeCell ref="A407:L407"/>
    <mergeCell ref="A408:J408"/>
    <mergeCell ref="K408:L408"/>
    <mergeCell ref="A409:J409"/>
    <mergeCell ref="K409:L409"/>
    <mergeCell ref="A403:J403"/>
    <mergeCell ref="K403:L403"/>
    <mergeCell ref="A404:L404"/>
    <mergeCell ref="A405:C405"/>
    <mergeCell ref="E405:F405"/>
    <mergeCell ref="J405:L405"/>
    <mergeCell ref="A401:C401"/>
    <mergeCell ref="I401:J401"/>
    <mergeCell ref="K401:L401"/>
    <mergeCell ref="A402:C402"/>
    <mergeCell ref="I402:J402"/>
    <mergeCell ref="K402:L402"/>
    <mergeCell ref="A397:L397"/>
    <mergeCell ref="A398:C398"/>
    <mergeCell ref="K398:L398"/>
    <mergeCell ref="A399:J399"/>
    <mergeCell ref="K399:L399"/>
    <mergeCell ref="A400:L400"/>
    <mergeCell ref="A393:L393"/>
    <mergeCell ref="B394:L394"/>
    <mergeCell ref="B395:J395"/>
    <mergeCell ref="B396:C396"/>
    <mergeCell ref="D396:E396"/>
    <mergeCell ref="F396:G396"/>
    <mergeCell ref="I396:J396"/>
    <mergeCell ref="A389:L389"/>
    <mergeCell ref="A390:J390"/>
    <mergeCell ref="K390:L390"/>
    <mergeCell ref="A391:J391"/>
    <mergeCell ref="K391:L391"/>
    <mergeCell ref="A392:J392"/>
    <mergeCell ref="K392:L392"/>
    <mergeCell ref="A385:J385"/>
    <mergeCell ref="K385:L385"/>
    <mergeCell ref="A386:L386"/>
    <mergeCell ref="A387:C387"/>
    <mergeCell ref="A388:J388"/>
    <mergeCell ref="K388:L388"/>
    <mergeCell ref="A382:J382"/>
    <mergeCell ref="K382:L382"/>
    <mergeCell ref="A383:L383"/>
    <mergeCell ref="A384:E384"/>
    <mergeCell ref="I384:J384"/>
    <mergeCell ref="K384:L384"/>
    <mergeCell ref="A379:J379"/>
    <mergeCell ref="K379:L379"/>
    <mergeCell ref="A380:L380"/>
    <mergeCell ref="A381:E381"/>
    <mergeCell ref="I381:J381"/>
    <mergeCell ref="K381:L381"/>
    <mergeCell ref="A375:J375"/>
    <mergeCell ref="K375:L375"/>
    <mergeCell ref="A376:L376"/>
    <mergeCell ref="A377:J377"/>
    <mergeCell ref="K377:L377"/>
    <mergeCell ref="A378:J378"/>
    <mergeCell ref="K378:L378"/>
    <mergeCell ref="A372:J372"/>
    <mergeCell ref="K372:L372"/>
    <mergeCell ref="A373:L373"/>
    <mergeCell ref="A374:C374"/>
    <mergeCell ref="E374:F374"/>
    <mergeCell ref="J374:L374"/>
    <mergeCell ref="A370:C370"/>
    <mergeCell ref="I370:J370"/>
    <mergeCell ref="K370:L370"/>
    <mergeCell ref="A371:C371"/>
    <mergeCell ref="I371:J371"/>
    <mergeCell ref="K371:L371"/>
    <mergeCell ref="A366:C366"/>
    <mergeCell ref="K366:L366"/>
    <mergeCell ref="A367:J367"/>
    <mergeCell ref="K367:L367"/>
    <mergeCell ref="A368:L368"/>
    <mergeCell ref="A369:C369"/>
    <mergeCell ref="I369:J369"/>
    <mergeCell ref="K369:L369"/>
    <mergeCell ref="B363:J363"/>
    <mergeCell ref="B364:C364"/>
    <mergeCell ref="D364:E364"/>
    <mergeCell ref="F364:G364"/>
    <mergeCell ref="I364:J364"/>
    <mergeCell ref="A365:L365"/>
    <mergeCell ref="A359:J359"/>
    <mergeCell ref="K359:L359"/>
    <mergeCell ref="A360:J360"/>
    <mergeCell ref="K360:L360"/>
    <mergeCell ref="A361:L361"/>
    <mergeCell ref="B362:L362"/>
    <mergeCell ref="A354:L354"/>
    <mergeCell ref="A355:C355"/>
    <mergeCell ref="A356:J356"/>
    <mergeCell ref="K356:L356"/>
    <mergeCell ref="A357:L357"/>
    <mergeCell ref="A358:J358"/>
    <mergeCell ref="K358:L358"/>
    <mergeCell ref="A351:L351"/>
    <mergeCell ref="A352:E352"/>
    <mergeCell ref="I352:J352"/>
    <mergeCell ref="K352:L352"/>
    <mergeCell ref="A353:J353"/>
    <mergeCell ref="K353:L353"/>
    <mergeCell ref="A348:L348"/>
    <mergeCell ref="A349:E349"/>
    <mergeCell ref="I349:J349"/>
    <mergeCell ref="K349:L349"/>
    <mergeCell ref="A350:J350"/>
    <mergeCell ref="K350:L350"/>
    <mergeCell ref="A345:J345"/>
    <mergeCell ref="K345:L345"/>
    <mergeCell ref="A346:J346"/>
    <mergeCell ref="K346:L346"/>
    <mergeCell ref="A347:J347"/>
    <mergeCell ref="K347:L347"/>
    <mergeCell ref="A342:C342"/>
    <mergeCell ref="E342:F342"/>
    <mergeCell ref="J342:L342"/>
    <mergeCell ref="A343:J343"/>
    <mergeCell ref="K343:L343"/>
    <mergeCell ref="A344:L344"/>
    <mergeCell ref="A339:C339"/>
    <mergeCell ref="I339:J339"/>
    <mergeCell ref="K339:L339"/>
    <mergeCell ref="A340:J340"/>
    <mergeCell ref="K340:L340"/>
    <mergeCell ref="A341:L341"/>
    <mergeCell ref="A337:C337"/>
    <mergeCell ref="I337:J337"/>
    <mergeCell ref="K337:L337"/>
    <mergeCell ref="A338:C338"/>
    <mergeCell ref="I338:J338"/>
    <mergeCell ref="K338:L338"/>
    <mergeCell ref="A333:L333"/>
    <mergeCell ref="A334:C334"/>
    <mergeCell ref="K334:L334"/>
    <mergeCell ref="A335:J335"/>
    <mergeCell ref="K335:L335"/>
    <mergeCell ref="A336:L336"/>
    <mergeCell ref="A329:L329"/>
    <mergeCell ref="B330:L330"/>
    <mergeCell ref="B331:J331"/>
    <mergeCell ref="B332:C332"/>
    <mergeCell ref="D332:E332"/>
    <mergeCell ref="F332:G332"/>
    <mergeCell ref="I332:J332"/>
    <mergeCell ref="A325:L325"/>
    <mergeCell ref="A326:J326"/>
    <mergeCell ref="K326:L326"/>
    <mergeCell ref="A327:J327"/>
    <mergeCell ref="K327:L327"/>
    <mergeCell ref="A328:J328"/>
    <mergeCell ref="K328:L328"/>
    <mergeCell ref="A321:J321"/>
    <mergeCell ref="K321:L321"/>
    <mergeCell ref="A322:L322"/>
    <mergeCell ref="A323:C323"/>
    <mergeCell ref="A324:J324"/>
    <mergeCell ref="K324:L324"/>
    <mergeCell ref="A318:J318"/>
    <mergeCell ref="K318:L318"/>
    <mergeCell ref="A319:L319"/>
    <mergeCell ref="A320:E320"/>
    <mergeCell ref="I320:J320"/>
    <mergeCell ref="K320:L320"/>
    <mergeCell ref="A315:L315"/>
    <mergeCell ref="A316:E316"/>
    <mergeCell ref="I316:J316"/>
    <mergeCell ref="K316:L316"/>
    <mergeCell ref="A317:E317"/>
    <mergeCell ref="I317:J317"/>
    <mergeCell ref="K317:L317"/>
    <mergeCell ref="A312:J312"/>
    <mergeCell ref="K312:L312"/>
    <mergeCell ref="A313:J313"/>
    <mergeCell ref="K313:L313"/>
    <mergeCell ref="A314:J314"/>
    <mergeCell ref="K314:L314"/>
    <mergeCell ref="A309:C309"/>
    <mergeCell ref="E309:F309"/>
    <mergeCell ref="J309:L309"/>
    <mergeCell ref="A310:J310"/>
    <mergeCell ref="K310:L310"/>
    <mergeCell ref="A311:L311"/>
    <mergeCell ref="A306:C306"/>
    <mergeCell ref="I306:J306"/>
    <mergeCell ref="K306:L306"/>
    <mergeCell ref="A307:J307"/>
    <mergeCell ref="K307:L307"/>
    <mergeCell ref="A308:L308"/>
    <mergeCell ref="A304:C304"/>
    <mergeCell ref="I304:J304"/>
    <mergeCell ref="K304:L304"/>
    <mergeCell ref="A305:C305"/>
    <mergeCell ref="I305:J305"/>
    <mergeCell ref="K305:L305"/>
    <mergeCell ref="A300:L300"/>
    <mergeCell ref="A301:C301"/>
    <mergeCell ref="K301:L301"/>
    <mergeCell ref="A302:J302"/>
    <mergeCell ref="K302:L302"/>
    <mergeCell ref="A303:L303"/>
    <mergeCell ref="A296:L296"/>
    <mergeCell ref="B297:L297"/>
    <mergeCell ref="B298:J298"/>
    <mergeCell ref="B299:C299"/>
    <mergeCell ref="D299:E299"/>
    <mergeCell ref="F299:G299"/>
    <mergeCell ref="I299:J299"/>
    <mergeCell ref="A292:L292"/>
    <mergeCell ref="A293:J293"/>
    <mergeCell ref="K293:L293"/>
    <mergeCell ref="A294:J294"/>
    <mergeCell ref="K294:L294"/>
    <mergeCell ref="A295:J295"/>
    <mergeCell ref="K295:L295"/>
    <mergeCell ref="A288:J288"/>
    <mergeCell ref="K288:L288"/>
    <mergeCell ref="A289:L289"/>
    <mergeCell ref="A290:C290"/>
    <mergeCell ref="A291:J291"/>
    <mergeCell ref="K291:L291"/>
    <mergeCell ref="A285:J285"/>
    <mergeCell ref="K285:L285"/>
    <mergeCell ref="A286:L286"/>
    <mergeCell ref="A287:E287"/>
    <mergeCell ref="I287:J287"/>
    <mergeCell ref="K287:L287"/>
    <mergeCell ref="A282:J282"/>
    <mergeCell ref="K282:L282"/>
    <mergeCell ref="A283:L283"/>
    <mergeCell ref="A284:E284"/>
    <mergeCell ref="I284:J284"/>
    <mergeCell ref="K284:L284"/>
    <mergeCell ref="A278:J278"/>
    <mergeCell ref="K278:L278"/>
    <mergeCell ref="A279:L279"/>
    <mergeCell ref="A280:J280"/>
    <mergeCell ref="K280:L280"/>
    <mergeCell ref="A281:J281"/>
    <mergeCell ref="K281:L281"/>
    <mergeCell ref="A275:J275"/>
    <mergeCell ref="K275:L275"/>
    <mergeCell ref="A276:L276"/>
    <mergeCell ref="A277:C277"/>
    <mergeCell ref="E277:F277"/>
    <mergeCell ref="J277:L277"/>
    <mergeCell ref="A273:C273"/>
    <mergeCell ref="I273:J273"/>
    <mergeCell ref="K273:L273"/>
    <mergeCell ref="A274:C274"/>
    <mergeCell ref="I274:J274"/>
    <mergeCell ref="K274:L274"/>
    <mergeCell ref="A269:C269"/>
    <mergeCell ref="K269:L269"/>
    <mergeCell ref="A270:J270"/>
    <mergeCell ref="K270:L270"/>
    <mergeCell ref="A271:L271"/>
    <mergeCell ref="A272:C272"/>
    <mergeCell ref="I272:J272"/>
    <mergeCell ref="K272:L272"/>
    <mergeCell ref="B266:J266"/>
    <mergeCell ref="B267:C267"/>
    <mergeCell ref="D267:E267"/>
    <mergeCell ref="F267:G267"/>
    <mergeCell ref="I267:J267"/>
    <mergeCell ref="A268:L268"/>
    <mergeCell ref="A262:J262"/>
    <mergeCell ref="K262:L262"/>
    <mergeCell ref="A263:J263"/>
    <mergeCell ref="K263:L263"/>
    <mergeCell ref="A264:L264"/>
    <mergeCell ref="B265:L265"/>
    <mergeCell ref="A257:L257"/>
    <mergeCell ref="A258:C258"/>
    <mergeCell ref="A259:J259"/>
    <mergeCell ref="K259:L259"/>
    <mergeCell ref="A260:L260"/>
    <mergeCell ref="A261:J261"/>
    <mergeCell ref="K261:L261"/>
    <mergeCell ref="A254:L254"/>
    <mergeCell ref="A255:E255"/>
    <mergeCell ref="I255:J255"/>
    <mergeCell ref="K255:L255"/>
    <mergeCell ref="A256:J256"/>
    <mergeCell ref="K256:L256"/>
    <mergeCell ref="A251:L251"/>
    <mergeCell ref="A252:E252"/>
    <mergeCell ref="I252:J252"/>
    <mergeCell ref="K252:L252"/>
    <mergeCell ref="A253:J253"/>
    <mergeCell ref="K253:L253"/>
    <mergeCell ref="A248:J248"/>
    <mergeCell ref="K248:L248"/>
    <mergeCell ref="A249:J249"/>
    <mergeCell ref="K249:L249"/>
    <mergeCell ref="A250:J250"/>
    <mergeCell ref="K250:L250"/>
    <mergeCell ref="A245:C245"/>
    <mergeCell ref="E245:F245"/>
    <mergeCell ref="J245:L245"/>
    <mergeCell ref="A246:J246"/>
    <mergeCell ref="K246:L246"/>
    <mergeCell ref="A247:L247"/>
    <mergeCell ref="A242:C242"/>
    <mergeCell ref="I242:J242"/>
    <mergeCell ref="K242:L242"/>
    <mergeCell ref="A243:J243"/>
    <mergeCell ref="K243:L243"/>
    <mergeCell ref="A244:L244"/>
    <mergeCell ref="A240:C240"/>
    <mergeCell ref="I240:J240"/>
    <mergeCell ref="K240:L240"/>
    <mergeCell ref="A241:C241"/>
    <mergeCell ref="I241:J241"/>
    <mergeCell ref="K241:L241"/>
    <mergeCell ref="A236:L236"/>
    <mergeCell ref="A237:C237"/>
    <mergeCell ref="K237:L237"/>
    <mergeCell ref="A238:J238"/>
    <mergeCell ref="K238:L238"/>
    <mergeCell ref="A239:L239"/>
    <mergeCell ref="A232:L232"/>
    <mergeCell ref="B233:L233"/>
    <mergeCell ref="B234:J234"/>
    <mergeCell ref="B235:C235"/>
    <mergeCell ref="D235:E235"/>
    <mergeCell ref="F235:G235"/>
    <mergeCell ref="I235:J235"/>
    <mergeCell ref="A228:L228"/>
    <mergeCell ref="A229:J229"/>
    <mergeCell ref="K229:L229"/>
    <mergeCell ref="A230:J230"/>
    <mergeCell ref="K230:L230"/>
    <mergeCell ref="A231:J231"/>
    <mergeCell ref="K231:L231"/>
    <mergeCell ref="A224:J224"/>
    <mergeCell ref="K224:L224"/>
    <mergeCell ref="A225:L225"/>
    <mergeCell ref="A226:C226"/>
    <mergeCell ref="A227:J227"/>
    <mergeCell ref="K227:L227"/>
    <mergeCell ref="A221:J221"/>
    <mergeCell ref="K221:L221"/>
    <mergeCell ref="A222:L222"/>
    <mergeCell ref="A223:E223"/>
    <mergeCell ref="I223:J223"/>
    <mergeCell ref="K223:L223"/>
    <mergeCell ref="A218:J218"/>
    <mergeCell ref="K218:L218"/>
    <mergeCell ref="A219:L219"/>
    <mergeCell ref="A220:E220"/>
    <mergeCell ref="I220:J220"/>
    <mergeCell ref="K220:L220"/>
    <mergeCell ref="A214:J214"/>
    <mergeCell ref="K214:L214"/>
    <mergeCell ref="A215:L215"/>
    <mergeCell ref="A216:J216"/>
    <mergeCell ref="K216:L216"/>
    <mergeCell ref="A217:J217"/>
    <mergeCell ref="K217:L217"/>
    <mergeCell ref="A211:J211"/>
    <mergeCell ref="K211:L211"/>
    <mergeCell ref="A212:L212"/>
    <mergeCell ref="A213:C213"/>
    <mergeCell ref="E213:F213"/>
    <mergeCell ref="J213:L213"/>
    <mergeCell ref="A209:C209"/>
    <mergeCell ref="I209:J209"/>
    <mergeCell ref="K209:L209"/>
    <mergeCell ref="A210:C210"/>
    <mergeCell ref="I210:J210"/>
    <mergeCell ref="K210:L210"/>
    <mergeCell ref="A205:C205"/>
    <mergeCell ref="K205:L205"/>
    <mergeCell ref="A206:J206"/>
    <mergeCell ref="K206:L206"/>
    <mergeCell ref="A207:L207"/>
    <mergeCell ref="A208:C208"/>
    <mergeCell ref="I208:J208"/>
    <mergeCell ref="K208:L208"/>
    <mergeCell ref="B202:J202"/>
    <mergeCell ref="B203:C203"/>
    <mergeCell ref="D203:E203"/>
    <mergeCell ref="F203:G203"/>
    <mergeCell ref="I203:J203"/>
    <mergeCell ref="A204:L204"/>
    <mergeCell ref="A198:J198"/>
    <mergeCell ref="K198:L198"/>
    <mergeCell ref="A199:J199"/>
    <mergeCell ref="K199:L199"/>
    <mergeCell ref="A200:L200"/>
    <mergeCell ref="B201:L201"/>
    <mergeCell ref="A193:L193"/>
    <mergeCell ref="A194:C194"/>
    <mergeCell ref="A195:J195"/>
    <mergeCell ref="K195:L195"/>
    <mergeCell ref="A196:L196"/>
    <mergeCell ref="A197:J197"/>
    <mergeCell ref="K197:L197"/>
    <mergeCell ref="A190:L190"/>
    <mergeCell ref="A191:E191"/>
    <mergeCell ref="I191:J191"/>
    <mergeCell ref="K191:L191"/>
    <mergeCell ref="A192:J192"/>
    <mergeCell ref="K192:L192"/>
    <mergeCell ref="A187:L187"/>
    <mergeCell ref="A188:E188"/>
    <mergeCell ref="I188:J188"/>
    <mergeCell ref="K188:L188"/>
    <mergeCell ref="A189:J189"/>
    <mergeCell ref="K189:L189"/>
    <mergeCell ref="A184:J184"/>
    <mergeCell ref="K184:L184"/>
    <mergeCell ref="A185:J185"/>
    <mergeCell ref="K185:L185"/>
    <mergeCell ref="A186:J186"/>
    <mergeCell ref="K186:L186"/>
    <mergeCell ref="A181:C181"/>
    <mergeCell ref="E181:F181"/>
    <mergeCell ref="J181:L181"/>
    <mergeCell ref="A182:J182"/>
    <mergeCell ref="K182:L182"/>
    <mergeCell ref="A183:L183"/>
    <mergeCell ref="A178:C178"/>
    <mergeCell ref="I178:J178"/>
    <mergeCell ref="K178:L178"/>
    <mergeCell ref="A179:J179"/>
    <mergeCell ref="K179:L179"/>
    <mergeCell ref="A180:L180"/>
    <mergeCell ref="A176:C176"/>
    <mergeCell ref="I176:J176"/>
    <mergeCell ref="K176:L176"/>
    <mergeCell ref="A177:C177"/>
    <mergeCell ref="I177:J177"/>
    <mergeCell ref="K177:L177"/>
    <mergeCell ref="A172:L172"/>
    <mergeCell ref="A173:C173"/>
    <mergeCell ref="K173:L173"/>
    <mergeCell ref="A174:J174"/>
    <mergeCell ref="K174:L174"/>
    <mergeCell ref="A175:L175"/>
    <mergeCell ref="A168:L168"/>
    <mergeCell ref="B169:L169"/>
    <mergeCell ref="B170:J170"/>
    <mergeCell ref="B171:C171"/>
    <mergeCell ref="D171:E171"/>
    <mergeCell ref="F171:G171"/>
    <mergeCell ref="I171:J171"/>
    <mergeCell ref="A164:L164"/>
    <mergeCell ref="A165:J165"/>
    <mergeCell ref="K165:L165"/>
    <mergeCell ref="A166:J166"/>
    <mergeCell ref="K166:L166"/>
    <mergeCell ref="A167:J167"/>
    <mergeCell ref="K167:L167"/>
    <mergeCell ref="A160:J160"/>
    <mergeCell ref="K160:L160"/>
    <mergeCell ref="A161:L161"/>
    <mergeCell ref="A162:C162"/>
    <mergeCell ref="A163:J163"/>
    <mergeCell ref="K163:L163"/>
    <mergeCell ref="A157:J157"/>
    <mergeCell ref="K157:L157"/>
    <mergeCell ref="A158:L158"/>
    <mergeCell ref="A159:E159"/>
    <mergeCell ref="I159:J159"/>
    <mergeCell ref="K159:L159"/>
    <mergeCell ref="A154:J154"/>
    <mergeCell ref="K154:L154"/>
    <mergeCell ref="A155:L155"/>
    <mergeCell ref="A156:E156"/>
    <mergeCell ref="I156:J156"/>
    <mergeCell ref="K156:L156"/>
    <mergeCell ref="A150:J150"/>
    <mergeCell ref="K150:L150"/>
    <mergeCell ref="A151:L151"/>
    <mergeCell ref="A152:J152"/>
    <mergeCell ref="K152:L152"/>
    <mergeCell ref="A153:J153"/>
    <mergeCell ref="K153:L153"/>
    <mergeCell ref="A147:J147"/>
    <mergeCell ref="K147:L147"/>
    <mergeCell ref="A148:L148"/>
    <mergeCell ref="A149:C149"/>
    <mergeCell ref="E149:F149"/>
    <mergeCell ref="J149:L149"/>
    <mergeCell ref="A145:C145"/>
    <mergeCell ref="I145:J145"/>
    <mergeCell ref="K145:L145"/>
    <mergeCell ref="A146:C146"/>
    <mergeCell ref="I146:J146"/>
    <mergeCell ref="K146:L146"/>
    <mergeCell ref="A141:C141"/>
    <mergeCell ref="K141:L141"/>
    <mergeCell ref="A142:J142"/>
    <mergeCell ref="K142:L142"/>
    <mergeCell ref="A143:L143"/>
    <mergeCell ref="A144:C144"/>
    <mergeCell ref="I144:J144"/>
    <mergeCell ref="K144:L144"/>
    <mergeCell ref="B138:J138"/>
    <mergeCell ref="B139:C139"/>
    <mergeCell ref="D139:E139"/>
    <mergeCell ref="F139:G139"/>
    <mergeCell ref="I139:J139"/>
    <mergeCell ref="A140:L140"/>
    <mergeCell ref="A134:J134"/>
    <mergeCell ref="K134:L134"/>
    <mergeCell ref="A135:J135"/>
    <mergeCell ref="K135:L135"/>
    <mergeCell ref="A136:L136"/>
    <mergeCell ref="B137:L137"/>
    <mergeCell ref="A129:L129"/>
    <mergeCell ref="A130:C130"/>
    <mergeCell ref="A131:J131"/>
    <mergeCell ref="K131:L131"/>
    <mergeCell ref="A132:L132"/>
    <mergeCell ref="A133:J133"/>
    <mergeCell ref="K133:L133"/>
    <mergeCell ref="A126:L126"/>
    <mergeCell ref="A127:E127"/>
    <mergeCell ref="I127:J127"/>
    <mergeCell ref="K127:L127"/>
    <mergeCell ref="A128:J128"/>
    <mergeCell ref="K128:L128"/>
    <mergeCell ref="A123:L123"/>
    <mergeCell ref="A124:E124"/>
    <mergeCell ref="I124:J124"/>
    <mergeCell ref="K124:L124"/>
    <mergeCell ref="A125:J125"/>
    <mergeCell ref="K125:L125"/>
    <mergeCell ref="A120:J120"/>
    <mergeCell ref="K120:L120"/>
    <mergeCell ref="A121:J121"/>
    <mergeCell ref="K121:L121"/>
    <mergeCell ref="A122:J122"/>
    <mergeCell ref="K122:L122"/>
    <mergeCell ref="A117:C117"/>
    <mergeCell ref="E117:F117"/>
    <mergeCell ref="J117:L117"/>
    <mergeCell ref="A118:J118"/>
    <mergeCell ref="K118:L118"/>
    <mergeCell ref="A119:L119"/>
    <mergeCell ref="A114:C114"/>
    <mergeCell ref="I114:J114"/>
    <mergeCell ref="K114:L114"/>
    <mergeCell ref="A115:J115"/>
    <mergeCell ref="K115:L115"/>
    <mergeCell ref="A116:L116"/>
    <mergeCell ref="A112:C112"/>
    <mergeCell ref="I112:J112"/>
    <mergeCell ref="K112:L112"/>
    <mergeCell ref="A113:C113"/>
    <mergeCell ref="I113:J113"/>
    <mergeCell ref="K113:L113"/>
    <mergeCell ref="A108:L108"/>
    <mergeCell ref="A109:C109"/>
    <mergeCell ref="K109:L109"/>
    <mergeCell ref="A110:J110"/>
    <mergeCell ref="K110:L110"/>
    <mergeCell ref="A111:L111"/>
    <mergeCell ref="A104:L104"/>
    <mergeCell ref="B105:L105"/>
    <mergeCell ref="B106:J106"/>
    <mergeCell ref="B107:C107"/>
    <mergeCell ref="D107:E107"/>
    <mergeCell ref="F107:G107"/>
    <mergeCell ref="I107:J107"/>
    <mergeCell ref="A100:L100"/>
    <mergeCell ref="A101:J101"/>
    <mergeCell ref="K101:L101"/>
    <mergeCell ref="A102:J102"/>
    <mergeCell ref="K102:L102"/>
    <mergeCell ref="A103:J103"/>
    <mergeCell ref="K103:L103"/>
    <mergeCell ref="A96:J96"/>
    <mergeCell ref="K96:L96"/>
    <mergeCell ref="A97:L97"/>
    <mergeCell ref="A98:C98"/>
    <mergeCell ref="A99:J99"/>
    <mergeCell ref="K99:L99"/>
    <mergeCell ref="A93:J93"/>
    <mergeCell ref="K93:L93"/>
    <mergeCell ref="A94:L94"/>
    <mergeCell ref="A95:E95"/>
    <mergeCell ref="I95:J95"/>
    <mergeCell ref="K95:L95"/>
    <mergeCell ref="A90:J90"/>
    <mergeCell ref="K90:L90"/>
    <mergeCell ref="A91:L91"/>
    <mergeCell ref="A92:E92"/>
    <mergeCell ref="I92:J92"/>
    <mergeCell ref="K92:L92"/>
    <mergeCell ref="A86:J86"/>
    <mergeCell ref="K86:L86"/>
    <mergeCell ref="A87:L87"/>
    <mergeCell ref="A88:J88"/>
    <mergeCell ref="K88:L88"/>
    <mergeCell ref="A89:J89"/>
    <mergeCell ref="K89:L89"/>
    <mergeCell ref="A83:J83"/>
    <mergeCell ref="K83:L83"/>
    <mergeCell ref="A84:L84"/>
    <mergeCell ref="A85:C85"/>
    <mergeCell ref="E85:F85"/>
    <mergeCell ref="J85:L85"/>
    <mergeCell ref="A81:C81"/>
    <mergeCell ref="I81:J81"/>
    <mergeCell ref="K81:L81"/>
    <mergeCell ref="A82:C82"/>
    <mergeCell ref="I82:J82"/>
    <mergeCell ref="K82:L82"/>
    <mergeCell ref="A77:C77"/>
    <mergeCell ref="K77:L77"/>
    <mergeCell ref="A78:J78"/>
    <mergeCell ref="K78:L78"/>
    <mergeCell ref="A79:L79"/>
    <mergeCell ref="A80:C80"/>
    <mergeCell ref="I80:J80"/>
    <mergeCell ref="K80:L80"/>
    <mergeCell ref="B74:J74"/>
    <mergeCell ref="B75:C75"/>
    <mergeCell ref="D75:E75"/>
    <mergeCell ref="F75:G75"/>
    <mergeCell ref="I75:J75"/>
    <mergeCell ref="A76:L76"/>
    <mergeCell ref="A70:J70"/>
    <mergeCell ref="K70:L70"/>
    <mergeCell ref="A71:J71"/>
    <mergeCell ref="K71:L71"/>
    <mergeCell ref="A72:L72"/>
    <mergeCell ref="B73:L73"/>
    <mergeCell ref="A65:L65"/>
    <mergeCell ref="A66:C66"/>
    <mergeCell ref="A67:J67"/>
    <mergeCell ref="K67:L67"/>
    <mergeCell ref="A68:L68"/>
    <mergeCell ref="A69:J69"/>
    <mergeCell ref="K69:L69"/>
    <mergeCell ref="A62:L62"/>
    <mergeCell ref="A63:E63"/>
    <mergeCell ref="I63:J63"/>
    <mergeCell ref="K63:L63"/>
    <mergeCell ref="A64:J64"/>
    <mergeCell ref="K64:L64"/>
    <mergeCell ref="A59:L59"/>
    <mergeCell ref="A60:E60"/>
    <mergeCell ref="I60:J60"/>
    <mergeCell ref="K60:L60"/>
    <mergeCell ref="A61:J61"/>
    <mergeCell ref="K61:L61"/>
    <mergeCell ref="A56:J56"/>
    <mergeCell ref="K56:L56"/>
    <mergeCell ref="A57:J57"/>
    <mergeCell ref="K57:L57"/>
    <mergeCell ref="A58:J58"/>
    <mergeCell ref="K58:L58"/>
    <mergeCell ref="A53:C53"/>
    <mergeCell ref="E53:F53"/>
    <mergeCell ref="J53:L53"/>
    <mergeCell ref="A54:J54"/>
    <mergeCell ref="K54:L54"/>
    <mergeCell ref="A55:L55"/>
    <mergeCell ref="A50:C50"/>
    <mergeCell ref="I50:J50"/>
    <mergeCell ref="K50:L50"/>
    <mergeCell ref="A51:J51"/>
    <mergeCell ref="K51:L51"/>
    <mergeCell ref="A52:L52"/>
    <mergeCell ref="A48:C48"/>
    <mergeCell ref="I48:J48"/>
    <mergeCell ref="K48:L48"/>
    <mergeCell ref="A49:C49"/>
    <mergeCell ref="I49:J49"/>
    <mergeCell ref="K49:L49"/>
    <mergeCell ref="A44:L44"/>
    <mergeCell ref="A45:C45"/>
    <mergeCell ref="K45:L45"/>
    <mergeCell ref="A46:J46"/>
    <mergeCell ref="K46:L46"/>
    <mergeCell ref="A47:L47"/>
    <mergeCell ref="A40:L40"/>
    <mergeCell ref="B41:L41"/>
    <mergeCell ref="B42:J42"/>
    <mergeCell ref="B43:C43"/>
    <mergeCell ref="D43:E43"/>
    <mergeCell ref="F43:G43"/>
    <mergeCell ref="I43:J43"/>
    <mergeCell ref="A36:L36"/>
    <mergeCell ref="A37:J37"/>
    <mergeCell ref="K37:L37"/>
    <mergeCell ref="A38:J38"/>
    <mergeCell ref="K38:L38"/>
    <mergeCell ref="A39:J39"/>
    <mergeCell ref="K39:L39"/>
    <mergeCell ref="A32:J32"/>
    <mergeCell ref="K32:L32"/>
    <mergeCell ref="A33:L33"/>
    <mergeCell ref="A34:C34"/>
    <mergeCell ref="A35:J35"/>
    <mergeCell ref="K35:L35"/>
    <mergeCell ref="A29:J29"/>
    <mergeCell ref="K29:L29"/>
    <mergeCell ref="A30:L30"/>
    <mergeCell ref="A31:E31"/>
    <mergeCell ref="I31:J31"/>
    <mergeCell ref="K31:L31"/>
    <mergeCell ref="A26:J26"/>
    <mergeCell ref="K26:L26"/>
    <mergeCell ref="A27:L27"/>
    <mergeCell ref="A28:E28"/>
    <mergeCell ref="I28:J28"/>
    <mergeCell ref="K28:L28"/>
    <mergeCell ref="A22:J22"/>
    <mergeCell ref="K22:L22"/>
    <mergeCell ref="A23:L23"/>
    <mergeCell ref="A24:J24"/>
    <mergeCell ref="K24:L24"/>
    <mergeCell ref="A25:J25"/>
    <mergeCell ref="K25:L25"/>
    <mergeCell ref="A19:J19"/>
    <mergeCell ref="K19:L19"/>
    <mergeCell ref="A20:L20"/>
    <mergeCell ref="A21:C21"/>
    <mergeCell ref="E21:F21"/>
    <mergeCell ref="J21:L21"/>
    <mergeCell ref="A17:C17"/>
    <mergeCell ref="I17:J17"/>
    <mergeCell ref="K17:L17"/>
    <mergeCell ref="A18:C18"/>
    <mergeCell ref="I18:J18"/>
    <mergeCell ref="K18:L18"/>
    <mergeCell ref="A14:J14"/>
    <mergeCell ref="K14:L14"/>
    <mergeCell ref="A15:L15"/>
    <mergeCell ref="A16:C16"/>
    <mergeCell ref="I16:J16"/>
    <mergeCell ref="K16:L16"/>
    <mergeCell ref="B11:C11"/>
    <mergeCell ref="D11:E11"/>
    <mergeCell ref="F11:G11"/>
    <mergeCell ref="I11:J11"/>
    <mergeCell ref="A12:L12"/>
    <mergeCell ref="A13:C13"/>
    <mergeCell ref="K13:L13"/>
    <mergeCell ref="A7:D7"/>
    <mergeCell ref="E7:I7"/>
    <mergeCell ref="J7:L7"/>
    <mergeCell ref="A8:L8"/>
    <mergeCell ref="B9:L9"/>
    <mergeCell ref="B10:J10"/>
    <mergeCell ref="A1:L1"/>
    <mergeCell ref="A2:L2"/>
    <mergeCell ref="A3:L3"/>
    <mergeCell ref="A4:L4"/>
    <mergeCell ref="A5:L5"/>
    <mergeCell ref="A6:L6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Chagas</dc:creator>
  <cp:lastModifiedBy>Kiara Chagas</cp:lastModifiedBy>
  <dcterms:created xsi:type="dcterms:W3CDTF">2025-12-03T13:21:19Z</dcterms:created>
  <dcterms:modified xsi:type="dcterms:W3CDTF">2025-12-03T13:21:25Z</dcterms:modified>
</cp:coreProperties>
</file>